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THIS" sheetId="1" r:id="rId5"/>
    <sheet state="visible" name="ALL KOL -" sheetId="2" r:id="rId6"/>
    <sheet state="visible" name="Lifestyle Female " sheetId="3" r:id="rId7"/>
    <sheet state="visible" name="Lifestyle Male" sheetId="4" r:id="rId8"/>
    <sheet state="visible" name="Beauty -" sheetId="5" r:id="rId9"/>
    <sheet state="visible" name="FnB -" sheetId="6" r:id="rId10"/>
    <sheet state="visible" name="VISIT" sheetId="7" r:id="rId11"/>
    <sheet state="hidden" name="ALL KOL" sheetId="8" r:id="rId12"/>
    <sheet state="hidden" name="FnB" sheetId="9" r:id="rId13"/>
    <sheet state="hidden" name="Fashion Wanita" sheetId="10" r:id="rId14"/>
    <sheet state="hidden" name="Fashion Pria" sheetId="11" r:id="rId15"/>
    <sheet state="hidden" name="Place Review" sheetId="12" r:id="rId16"/>
    <sheet state="hidden" name="Beauty" sheetId="13" r:id="rId17"/>
    <sheet state="hidden" name="Lifestyle (Female)" sheetId="14" r:id="rId18"/>
    <sheet state="hidden" name="Lifestyle (Male)" sheetId="15" r:id="rId19"/>
    <sheet state="hidden" name="Family" sheetId="16" r:id="rId20"/>
    <sheet state="hidden" name="Pasutri" sheetId="17" r:id="rId21"/>
    <sheet state="hidden" name="Mom &amp; Kids" sheetId="18" r:id="rId22"/>
    <sheet state="hidden" name="Data talent Mom &amp; Kids" sheetId="19" r:id="rId23"/>
    <sheet state="hidden" name="Cooking" sheetId="20" r:id="rId24"/>
    <sheet state="hidden" name="Health &amp; Sport" sheetId="21" r:id="rId25"/>
    <sheet state="hidden" name="Homeliving" sheetId="22" r:id="rId26"/>
    <sheet state="hidden" name="Comedy" sheetId="23" r:id="rId27"/>
    <sheet state="hidden" name="Education" sheetId="24" r:id="rId28"/>
    <sheet state="hidden" name="Entrepreneur" sheetId="25" r:id="rId29"/>
    <sheet state="hidden" name="Premium Looks" sheetId="26" r:id="rId30"/>
    <sheet state="hidden" name="Gaming" sheetId="27" r:id="rId31"/>
    <sheet state="hidden" name="ActorActress" sheetId="28" r:id="rId32"/>
    <sheet state="visible" name="Fashion Wanita -" sheetId="29" r:id="rId33"/>
    <sheet state="visible" name="Fashion Pria -" sheetId="30" r:id="rId34"/>
    <sheet state="visible" name="Place Review -" sheetId="31" r:id="rId35"/>
    <sheet state="visible" name="Family -" sheetId="32" r:id="rId36"/>
    <sheet state="visible" name="Pasutri " sheetId="33" r:id="rId37"/>
    <sheet state="visible" name="Mom &amp; Kids " sheetId="34" r:id="rId38"/>
    <sheet state="visible" name="Health &amp; Sport " sheetId="35" r:id="rId39"/>
    <sheet state="visible" name="Cooking " sheetId="36" r:id="rId40"/>
    <sheet state="visible" name="Homeliving " sheetId="37" r:id="rId41"/>
    <sheet state="visible" name="Comedy " sheetId="38" r:id="rId42"/>
    <sheet state="visible" name="Education " sheetId="39" r:id="rId43"/>
    <sheet state="visible" name="Entrepreneur " sheetId="40" r:id="rId44"/>
    <sheet state="visible" name="Gaming " sheetId="41" r:id="rId45"/>
    <sheet state="visible" name="ActorActress " sheetId="42" r:id="rId46"/>
  </sheets>
  <definedNames/>
  <calcPr/>
</workbook>
</file>

<file path=xl/sharedStrings.xml><?xml version="1.0" encoding="utf-8"?>
<sst xmlns="http://schemas.openxmlformats.org/spreadsheetml/2006/main" count="3384" uniqueCount="612">
  <si>
    <r>
      <rPr>
        <rFont val="Arial"/>
        <b/>
        <color rgb="FFCC0000"/>
        <sz val="14.0"/>
      </rPr>
      <t>BENEFIT bekerja sama melalui Indorse Management:</t>
    </r>
    <r>
      <rPr>
        <rFont val="Arial"/>
      </rPr>
      <t xml:space="preserve">
</t>
    </r>
    <r>
      <rPr>
        <rFont val="Arial"/>
        <b/>
        <sz val="12.0"/>
      </rPr>
      <t>1. Tanpa management fee</t>
    </r>
    <r>
      <rPr>
        <rFont val="Arial"/>
        <sz val="12.0"/>
      </rPr>
      <t xml:space="preserve">
Tidak ada biaya tambahan apa pun dari Indorse Management.
</t>
    </r>
    <r>
      <rPr>
        <rFont val="Arial"/>
        <b/>
        <sz val="12.0"/>
      </rPr>
      <t>2. Harga dijamin sama</t>
    </r>
    <r>
      <rPr>
        <rFont val="Arial"/>
        <sz val="12.0"/>
      </rPr>
      <t xml:space="preserve">
Harga yang Indorse berikan 100% sama dengan harga jika brand melakukan approach langsung ke influencer. Tidak ada markup.
</t>
    </r>
    <r>
      <rPr>
        <rFont val="Arial"/>
        <b/>
        <sz val="12.0"/>
      </rPr>
      <t>3. Satu pintu komunikasi</t>
    </r>
    <r>
      <rPr>
        <rFont val="Arial"/>
        <sz val="12.0"/>
      </rPr>
      <t xml:space="preserve">
Brand nggak perlu bolak-balik chat banyak talent.
Semua brief, revisi, dan timeline dihandle lewat Indorse.
</t>
    </r>
    <r>
      <rPr>
        <rFont val="Arial"/>
        <b/>
        <sz val="12.0"/>
      </rPr>
      <t>4. Berpengalaman &amp; terpercaya</t>
    </r>
    <r>
      <rPr>
        <rFont val="Arial"/>
        <sz val="12.0"/>
      </rPr>
      <t xml:space="preserve">
Indorse Management telah bekerja sama dengan 100+ brand ternama, dari berbagai industri, dan terbukti membantu brand mencapai objektif campaign mereka.</t>
    </r>
    <r>
      <rPr>
        <rFont val="Arial"/>
      </rPr>
      <t xml:space="preserve">
</t>
    </r>
    <r>
      <rPr>
        <rFont val="Arial"/>
        <b/>
        <color rgb="FFCC4125"/>
        <sz val="14.0"/>
      </rPr>
      <t>Testimony &amp; Portfolio Indorse Management</t>
    </r>
    <r>
      <rPr>
        <rFont val="Arial"/>
      </rPr>
      <t xml:space="preserve">
</t>
    </r>
    <r>
      <rPr>
        <rFont val="Arial"/>
        <sz val="12.0"/>
      </rPr>
      <t>Untuk melihat hasil kerja sama kami sebelumnya, termasuk testimoni klien dan portofolio campaign, dapat diakses melalui link berikut:</t>
    </r>
    <r>
      <rPr>
        <rFont val="Arial"/>
      </rPr>
      <t xml:space="preserve">
</t>
    </r>
    <r>
      <rPr>
        <rFont val="Arial"/>
        <color rgb="FF1155CC"/>
        <sz val="12.0"/>
        <u/>
      </rPr>
      <t>https://bit.ly/TestimonyPortfolioIndorse</t>
    </r>
    <r>
      <rPr>
        <rFont val="Arial"/>
        <sz val="12.0"/>
      </rPr>
      <t xml:space="preserve"> </t>
    </r>
    <r>
      <rPr>
        <rFont val="Arial"/>
      </rPr>
      <t xml:space="preserve">
</t>
    </r>
    <r>
      <rPr>
        <rFont val="Arial"/>
        <b/>
        <color rgb="FFCC4125"/>
        <sz val="14.0"/>
      </rPr>
      <t>Contact person:</t>
    </r>
    <r>
      <rPr>
        <rFont val="Arial"/>
        <b/>
        <sz val="14.0"/>
      </rPr>
      <t xml:space="preserve">
</t>
    </r>
    <r>
      <rPr>
        <rFont val="Arial"/>
        <sz val="12.0"/>
      </rPr>
      <t xml:space="preserve">Whatsapp: 0851-7172-5696 (Fast Response)
atau klik link </t>
    </r>
    <r>
      <rPr>
        <rFont val="Arial"/>
        <color rgb="FF1155CC"/>
        <sz val="12.0"/>
        <u/>
      </rPr>
      <t xml:space="preserve">https://bit.ly/WhatsAppIndorse
</t>
    </r>
    <r>
      <rPr>
        <rFont val="Arial"/>
        <sz val="12.0"/>
      </rPr>
      <t xml:space="preserve">Instagram: @indorse.management
</t>
    </r>
    <r>
      <rPr>
        <rFont val="Arial"/>
        <b/>
        <color rgb="FFCC4125"/>
        <sz val="16.0"/>
      </rPr>
      <t>Silahkan cek sheets selanjutnya untuk melihat ratecard KOL sesuai kategori yang dicari.</t>
    </r>
  </si>
  <si>
    <t>GREY CELL = ASK FOR DISCUSSION</t>
  </si>
  <si>
    <t>No</t>
  </si>
  <si>
    <t>Influencer</t>
  </si>
  <si>
    <t>Ratecard PP IG</t>
  </si>
  <si>
    <t>Ratecard Endorse IG</t>
  </si>
  <si>
    <t>Ratecard Endorse Tiktok</t>
  </si>
  <si>
    <t>IG</t>
  </si>
  <si>
    <t>Followers</t>
  </si>
  <si>
    <t>Tier</t>
  </si>
  <si>
    <t>TikTok</t>
  </si>
  <si>
    <t>Domisili</t>
  </si>
  <si>
    <t>Kategori</t>
  </si>
  <si>
    <t>Story (incl Link)</t>
  </si>
  <si>
    <t>Story</t>
  </si>
  <si>
    <t>Story Session</t>
  </si>
  <si>
    <t>+Tap Link</t>
  </si>
  <si>
    <t>Feeds</t>
  </si>
  <si>
    <t>Feeds Carousel</t>
  </si>
  <si>
    <t>Reels</t>
  </si>
  <si>
    <t>+Invite Collab</t>
  </si>
  <si>
    <t>TikTok mirror Reels</t>
  </si>
  <si>
    <t>Live</t>
  </si>
  <si>
    <t>+Owning Content</t>
  </si>
  <si>
    <t>+Boost Ads</t>
  </si>
  <si>
    <t>+Yellow cart TikTok</t>
  </si>
  <si>
    <t>+Visit</t>
  </si>
  <si>
    <t>YouTube Shorts</t>
  </si>
  <si>
    <t>BRAND</t>
  </si>
  <si>
    <t>Username Instagram</t>
  </si>
  <si>
    <t>Username TikTok</t>
  </si>
  <si>
    <t>Story Visit</t>
  </si>
  <si>
    <t>IG Feeds Visit</t>
  </si>
  <si>
    <t>IG Reels Visit</t>
  </si>
  <si>
    <t>TikTok Visit</t>
  </si>
  <si>
    <t>Reels + TikTok Visit</t>
  </si>
  <si>
    <t>Ratecard Endorse Youtube</t>
  </si>
  <si>
    <t>Shorts</t>
  </si>
  <si>
    <t>fadlyfsl_</t>
  </si>
  <si>
    <t>Jakarta</t>
  </si>
  <si>
    <t>- Lifestyle (Male)</t>
  </si>
  <si>
    <t>Rp10,000,000/15s</t>
  </si>
  <si>
    <t>Rp35,000,000 (max. 30s)</t>
  </si>
  <si>
    <t>Rp40,000,000/jam</t>
  </si>
  <si>
    <t>rklopperr</t>
  </si>
  <si>
    <t>rkloppperr</t>
  </si>
  <si>
    <t>Tangerang</t>
  </si>
  <si>
    <t>- Lifestyle (female)
- Fashion 
- Beauty</t>
  </si>
  <si>
    <t>saritiw</t>
  </si>
  <si>
    <t>sariendahpratiwi</t>
  </si>
  <si>
    <t>Bandung</t>
  </si>
  <si>
    <t>Lifestyle (Female), Fashion</t>
  </si>
  <si>
    <t>FREE</t>
  </si>
  <si>
    <t>nadianraulya</t>
  </si>
  <si>
    <t>nadianuraulyaa</t>
  </si>
  <si>
    <t>- Lifestyle (Female), 
- Mom &amp; Kids
- Beauty</t>
  </si>
  <si>
    <t>gelialinn</t>
  </si>
  <si>
    <t>gelialinda</t>
  </si>
  <si>
    <t>Tasikmalaya</t>
  </si>
  <si>
    <t>- Lifestyle (Female), Family
- Fashion
- Beauty
- FnB (review)</t>
  </si>
  <si>
    <t>imasfahriaty_</t>
  </si>
  <si>
    <t>- Lifestyle (Female), Pasutri, 
- FnB Review
- Fashion
- Beauty</t>
  </si>
  <si>
    <t>-</t>
  </si>
  <si>
    <t>100% ratecard</t>
  </si>
  <si>
    <t>1.000.000 (jabodetabek) 2.000.000 (luar jabodetabek)</t>
  </si>
  <si>
    <t>kekevaangelista</t>
  </si>
  <si>
    <t>Bogor</t>
  </si>
  <si>
    <t>- Lifestyle (Female), Pasutri, Family
- Mom &amp; Kids
- Fashion</t>
  </si>
  <si>
    <t>putrinahari</t>
  </si>
  <si>
    <t>- Lifestyle (Female), Pasutri
- Fashion
- Beauty</t>
  </si>
  <si>
    <t>trishaazia</t>
  </si>
  <si>
    <t>trishaaazia</t>
  </si>
  <si>
    <t>Depok</t>
  </si>
  <si>
    <t>- Lifestyle (Female), Family
- Fashion
- Beauty</t>
  </si>
  <si>
    <t>annisaoy</t>
  </si>
  <si>
    <t>542K</t>
  </si>
  <si>
    <t>Macro</t>
  </si>
  <si>
    <t>annisaoyy</t>
  </si>
  <si>
    <t>4.5M</t>
  </si>
  <si>
    <t>Mega</t>
  </si>
  <si>
    <t>Lifestyle (Female)</t>
  </si>
  <si>
    <t>Ka.reys</t>
  </si>
  <si>
    <t>kayesssss</t>
  </si>
  <si>
    <t>Bekasi</t>
  </si>
  <si>
    <t>- Lifestyle (Female), Family, Pasutri
- Fashion
- Beauty</t>
  </si>
  <si>
    <t>nadiladrn</t>
  </si>
  <si>
    <t>dileeedrn</t>
  </si>
  <si>
    <t>Siantar</t>
  </si>
  <si>
    <t>- Lifestyle (Female), Fashion
- Beauty
- Place Review</t>
  </si>
  <si>
    <t>Rp1.500.000 - Rp2.500.000</t>
  </si>
  <si>
    <t>fazmifebriana_</t>
  </si>
  <si>
    <t>fazmif_</t>
  </si>
  <si>
    <t>- Fashion Pria</t>
  </si>
  <si>
    <t>aisyafputri</t>
  </si>
  <si>
    <t>- Lifestyle (Female), Family
- Mom and kids
- Fashion</t>
  </si>
  <si>
    <t>willenlen</t>
  </si>
  <si>
    <t>FnB</t>
  </si>
  <si>
    <t>Rp1,350,000 (3 story)</t>
  </si>
  <si>
    <t>+Rp500,000/slide</t>
  </si>
  <si>
    <t>Rp1,000,000/jam</t>
  </si>
  <si>
    <t>Free one month
Rp500,000/month</t>
  </si>
  <si>
    <t>Rp500,000/month</t>
  </si>
  <si>
    <t>Jakarta Rp700,000
Tangerang Rp500,000</t>
  </si>
  <si>
    <t>fauzanakhdan</t>
  </si>
  <si>
    <t>- Lifestyle (Male), Family
- Fashion Pria</t>
  </si>
  <si>
    <t>nabilabellai_</t>
  </si>
  <si>
    <t>- Beauty, lifestyle, fashion</t>
  </si>
  <si>
    <t>Pake Code Boost</t>
  </si>
  <si>
    <t>seviqfebinita</t>
  </si>
  <si>
    <t>- Lifestyle female, fashion</t>
  </si>
  <si>
    <t>Rp10,000,000/2 jam</t>
  </si>
  <si>
    <t>+100%</t>
  </si>
  <si>
    <t>alminetaaz</t>
  </si>
  <si>
    <t>almineta</t>
  </si>
  <si>
    <t>- Fashion, Lifestyle (Female), Pasutri
- Beauty
- Lifestyle (Couple)</t>
  </si>
  <si>
    <t>Rp700,000/slide</t>
  </si>
  <si>
    <t>elyanisa_</t>
  </si>
  <si>
    <t>elyanisaa</t>
  </si>
  <si>
    <t>Cimahi</t>
  </si>
  <si>
    <t>+Rp1,000,000 - Rp3,000,000</t>
  </si>
  <si>
    <t>faridnuralimm_</t>
  </si>
  <si>
    <t>aidnnn2</t>
  </si>
  <si>
    <t>- Lifestyle (Male), Comedy</t>
  </si>
  <si>
    <t>Akun brand: Rp7.000.000
Akun sendiri: Rp5.000.000</t>
  </si>
  <si>
    <t>100% rate</t>
  </si>
  <si>
    <t>bellzky16</t>
  </si>
  <si>
    <t>hellodhanii</t>
  </si>
  <si>
    <t>hellodhani</t>
  </si>
  <si>
    <t>2.4M</t>
  </si>
  <si>
    <t>- Beauty, Lifestyle (Female)
- Fashion</t>
  </si>
  <si>
    <t>100% SOW</t>
  </si>
  <si>
    <t>jelitawidiaw</t>
  </si>
  <si>
    <t>- Lifestyle (Female)
- Lifestyle (Pasutri and entrepreneur)
- Beauty
- FnB (Review)</t>
  </si>
  <si>
    <t>Rp17,000,000
Rp5,000,000 (FnB)</t>
  </si>
  <si>
    <t>nennyzoe</t>
  </si>
  <si>
    <t>- Fashion, lifestyle (female)
- Beauty
- Lifestyle (Family)</t>
  </si>
  <si>
    <t>bbyjiangel_</t>
  </si>
  <si>
    <t>jiyaakila</t>
  </si>
  <si>
    <t>Padang</t>
  </si>
  <si>
    <t>- Fashion
- Beauty</t>
  </si>
  <si>
    <t>ojankeke</t>
  </si>
  <si>
    <t>- Family, Pasutri</t>
  </si>
  <si>
    <t>elnandautomo</t>
  </si>
  <si>
    <t>elnandautomoo</t>
  </si>
  <si>
    <t>Lifestyle (Male)</t>
  </si>
  <si>
    <t>angelicamanopo</t>
  </si>
  <si>
    <t>Jakarta Timur</t>
  </si>
  <si>
    <t>- Lifestyle Female, Mom n Kids, Premium Looks</t>
  </si>
  <si>
    <t>juandadaly</t>
  </si>
  <si>
    <t xml:space="preserve">Bogor </t>
  </si>
  <si>
    <t>- Lifestyle (Male), Health &amp; Sport
- Lifestyle (family)
- Fashion (Pria)</t>
  </si>
  <si>
    <t>Rp1.000.000 (Jabodetabek)</t>
  </si>
  <si>
    <t>viaazulviani</t>
  </si>
  <si>
    <t>Medan</t>
  </si>
  <si>
    <t>- Fashion, Lifestyle (female)
- Beauty
- Mom &amp; Kids</t>
  </si>
  <si>
    <t>cyntiaar</t>
  </si>
  <si>
    <t>cyntiaar_</t>
  </si>
  <si>
    <t>- Beauty, lifestyle (female)
- Fashion
- Lifetyle (Couple)</t>
  </si>
  <si>
    <t>Add 6.500.000</t>
  </si>
  <si>
    <t>ask</t>
  </si>
  <si>
    <t>Add 2.500.000</t>
  </si>
  <si>
    <t>vsbvi</t>
  </si>
  <si>
    <t>vsbvix</t>
  </si>
  <si>
    <t>kulinernyaberdua</t>
  </si>
  <si>
    <t>kulinernyaber2</t>
  </si>
  <si>
    <t>FnB
Place Review</t>
  </si>
  <si>
    <t>IG Story + Reels + TikTok: Rp1,500,000
IG Story + Reels + TikTok + Collab: Rp1.650.000</t>
  </si>
  <si>
    <t>nabilabyaaa</t>
  </si>
  <si>
    <t>Malang</t>
  </si>
  <si>
    <t>Indoor: Rp1.000.000
Outdoor: Rp1.200.000</t>
  </si>
  <si>
    <t>redcah</t>
  </si>
  <si>
    <t>- Lifestyle (Male), Pasutri
- Fashion Pria</t>
  </si>
  <si>
    <t>frdhuha</t>
  </si>
  <si>
    <t>faridahuha</t>
  </si>
  <si>
    <t>- Lifestyle (Female) 
- Pasutri
Entrepreneur
- FnB Review/visit store 
- Beauty</t>
  </si>
  <si>
    <t>S.sraaa</t>
  </si>
  <si>
    <t>Sssiraa</t>
  </si>
  <si>
    <t>- Fashion
- Beauty
- Place Review</t>
  </si>
  <si>
    <t>lordjajan</t>
  </si>
  <si>
    <t>lordjajanofficial</t>
  </si>
  <si>
    <t>- FnB</t>
  </si>
  <si>
    <t>sylvamulachelaa</t>
  </si>
  <si>
    <t>keziagc</t>
  </si>
  <si>
    <t>- Mom &amp; Kids
- Homeliving
- Fashion</t>
  </si>
  <si>
    <t>andiniajengg</t>
  </si>
  <si>
    <t>andini__ajeng</t>
  </si>
  <si>
    <t>-Fashion
- Beauty</t>
  </si>
  <si>
    <t>luthfy.20</t>
  </si>
  <si>
    <t>luthfy.h20</t>
  </si>
  <si>
    <t>rizkywahyudinata_</t>
  </si>
  <si>
    <t>amoskiduy0512</t>
  </si>
  <si>
    <t>- Pasutri</t>
  </si>
  <si>
    <t>ulyaslsss__</t>
  </si>
  <si>
    <t>ulyasalsabilaa</t>
  </si>
  <si>
    <t>- Fashion, Lifestyle (Female)
- Beauty</t>
  </si>
  <si>
    <t>rizkeeeyyyyyyyy</t>
  </si>
  <si>
    <t>rizkeeeyyyyyy</t>
  </si>
  <si>
    <t>Tangerang Selatan</t>
  </si>
  <si>
    <t>-FnB</t>
  </si>
  <si>
    <t>Rp4,500,000</t>
  </si>
  <si>
    <t>Rp8,000,000 (3 slide, 15s/slide)</t>
  </si>
  <si>
    <t>FREE (if mirror)</t>
  </si>
  <si>
    <t>mutiarasgt</t>
  </si>
  <si>
    <t>aiue.oyyy</t>
  </si>
  <si>
    <t>jessicashainaa</t>
  </si>
  <si>
    <t>jessivns</t>
  </si>
  <si>
    <t>- Lifestyle (Female)
- Fashion
- Beauty</t>
  </si>
  <si>
    <t>add 10%</t>
  </si>
  <si>
    <t>makanlurrrr</t>
  </si>
  <si>
    <t>makanlurr</t>
  </si>
  <si>
    <t>- FnB
- Place review</t>
  </si>
  <si>
    <t>add Rp300.000</t>
  </si>
  <si>
    <t>racunyaamos_</t>
  </si>
  <si>
    <t>- Homeliving</t>
  </si>
  <si>
    <t>TikTok + IG Reels (free tag collab) + IG Story+ Shopee Video
Rp3,300,000</t>
  </si>
  <si>
    <t>egasyal</t>
  </si>
  <si>
    <t>@bega__</t>
  </si>
  <si>
    <t>Rp800.000 (Bogor)
Rp1.000.000 (luar Bogor)</t>
  </si>
  <si>
    <t>sayalarimba</t>
  </si>
  <si>
    <t>83.9k</t>
  </si>
  <si>
    <t>Micro</t>
  </si>
  <si>
    <t>732.6k</t>
  </si>
  <si>
    <t>Reels:
Rp8,000,000 (Jakarta)
Rp9,000,000 (Bodetabek)
Rp10,000,000 (Bandung)
TikTok:
Rp10,000,000 (Jakarta)
Rp11,000,000 (Bodtabek)
Rp12,000,000 (Bandung)
"</t>
  </si>
  <si>
    <t>ficrafth</t>
  </si>
  <si>
    <t>Rp7.000.000 - Rp10.000.000</t>
  </si>
  <si>
    <t>Rp3.500.000 - Rp5.000.000</t>
  </si>
  <si>
    <t>Rp1.500.000 - Rp2.000.000</t>
  </si>
  <si>
    <t xml:space="preserve">uulliiaa__ </t>
  </si>
  <si>
    <t>maisarairalia</t>
  </si>
  <si>
    <t>Sukoharjo</t>
  </si>
  <si>
    <t>- Mom &amp; Kids</t>
  </si>
  <si>
    <t>Paket bundling IG Story + IG Reels (free mirror to TikTok + Shopee Video) + Thread + Tap Link + Link on bio: Rp450.000</t>
  </si>
  <si>
    <t>mewindahttyas</t>
  </si>
  <si>
    <t>mewindaaahttyas</t>
  </si>
  <si>
    <t>Bengkulu</t>
  </si>
  <si>
    <t>- Mom and kids
- Fashion
- Homeliving</t>
  </si>
  <si>
    <t>sasyaclarissa</t>
  </si>
  <si>
    <t>sasyaclarissa_</t>
  </si>
  <si>
    <t>-Lifestyle (female)</t>
  </si>
  <si>
    <t>salmaristiana</t>
  </si>
  <si>
    <t>salmaaristiana</t>
  </si>
  <si>
    <t>- Lifestyle (female), comedy
- Beauty
- FnB</t>
  </si>
  <si>
    <t>hoveryponen12</t>
  </si>
  <si>
    <t>kenbun88</t>
  </si>
  <si>
    <t>- Lifestyle (Male), Health &amp; Sport
- Fashion (Pria)</t>
  </si>
  <si>
    <t>TBD</t>
  </si>
  <si>
    <t>rachma.fira</t>
  </si>
  <si>
    <t>rachmafira12</t>
  </si>
  <si>
    <t>Jogjakarta</t>
  </si>
  <si>
    <t>rifaeny0</t>
  </si>
  <si>
    <t>rifani665</t>
  </si>
  <si>
    <t>- FnB, Lifestyle (Female)
- Place review
- Beauty</t>
  </si>
  <si>
    <t>kezhialverta</t>
  </si>
  <si>
    <t>kezhialvrt</t>
  </si>
  <si>
    <t>menyesuaikan</t>
  </si>
  <si>
    <t>TkTok Only</t>
  </si>
  <si>
    <t>almineta2</t>
  </si>
  <si>
    <t>-Lifestyle (female), Fashion
- Beauty</t>
  </si>
  <si>
    <t>+Rp8,500,000</t>
  </si>
  <si>
    <t>@fatyabiya</t>
  </si>
  <si>
    <t>@fatyabiyaaa</t>
  </si>
  <si>
    <t>Beauty</t>
  </si>
  <si>
    <t>100%-150%</t>
  </si>
  <si>
    <t>@maudyyyttt</t>
  </si>
  <si>
    <t>@maudyytt</t>
  </si>
  <si>
    <t/>
  </si>
  <si>
    <t>@fitbymilla_</t>
  </si>
  <si>
    <t>@fitbymilla</t>
  </si>
  <si>
    <t>Health &amp; Sport</t>
  </si>
  <si>
    <t>Jabodetabe : Rp 2.000.000</t>
  </si>
  <si>
    <t>@aaliyah.massaid</t>
  </si>
  <si>
    <t>@aalmassaid</t>
  </si>
  <si>
    <t>Lifestyle Female</t>
  </si>
  <si>
    <t>Rp 50,000,000 - Rp 60,000,000</t>
  </si>
  <si>
    <t>jehianps</t>
  </si>
  <si>
    <t>Entrepreneur, Lifestyle (Male)</t>
  </si>
  <si>
    <t>Rp 45,000,000 - Rp 54,500,000</t>
  </si>
  <si>
    <t>@emyaghnia</t>
  </si>
  <si>
    <t>@claratandean</t>
  </si>
  <si>
    <t>Place Review</t>
  </si>
  <si>
    <t>@bodyfitbyagus</t>
  </si>
  <si>
    <t>@bodyfitbybagus</t>
  </si>
  <si>
    <t>@mike__frans</t>
  </si>
  <si>
    <t>Lifestyle Male, Health &amp; Sport</t>
  </si>
  <si>
    <t>@santaniatiofelo</t>
  </si>
  <si>
    <t>@sanntania</t>
  </si>
  <si>
    <t>FREE 60 Days</t>
  </si>
  <si>
    <t>@stefanytalita</t>
  </si>
  <si>
    <t>Cibubur</t>
  </si>
  <si>
    <t>Rp3,000,000 / month</t>
  </si>
  <si>
    <t>@yolanyoo</t>
  </si>
  <si>
    <t>Yogyakarta</t>
  </si>
  <si>
    <t>Entrepreneur</t>
  </si>
  <si>
    <t>@dianarsds</t>
  </si>
  <si>
    <t>@salmonbellys</t>
  </si>
  <si>
    <t>@molita_lin</t>
  </si>
  <si>
    <t>@molita.lin</t>
  </si>
  <si>
    <t>Bali</t>
  </si>
  <si>
    <t>Beauty, Premium Look</t>
  </si>
  <si>
    <t>+Rp2,000,000</t>
  </si>
  <si>
    <t>@yuliabaltschun</t>
  </si>
  <si>
    <t>Sport &amp; Health</t>
  </si>
  <si>
    <t>Rp 5.000.000</t>
  </si>
  <si>
    <t>@gelangelicca</t>
  </si>
  <si>
    <t xml:space="preserve">Beauty </t>
  </si>
  <si>
    <t>@gabybsaputra</t>
  </si>
  <si>
    <t>@gabybsaputraa</t>
  </si>
  <si>
    <t>Beauty &amp; fashion</t>
  </si>
  <si>
    <t>Jabodetabek : Rp7,000,000</t>
  </si>
  <si>
    <t>@abellyc</t>
  </si>
  <si>
    <t>@abel_cantika</t>
  </si>
  <si>
    <t>Rp 30,000,000 - Rp70,000,000</t>
  </si>
  <si>
    <t>+Rp1,500,000</t>
  </si>
  <si>
    <t>@rucenuenda</t>
  </si>
  <si>
    <t>@rucenuenda1</t>
  </si>
  <si>
    <t>- Lifestyle (Female)
- Beauty</t>
  </si>
  <si>
    <t>+Rp3,000,000</t>
  </si>
  <si>
    <t>@jenniferchrstie</t>
  </si>
  <si>
    <t>Premium Look, Lifestyle (Female)</t>
  </si>
  <si>
    <t>@kezialetheia</t>
  </si>
  <si>
    <t>@keziaaletheia</t>
  </si>
  <si>
    <t>Jakarta Selatan</t>
  </si>
  <si>
    <t>Lifestyle (Female), Premium Look</t>
  </si>
  <si>
    <t>70% / month</t>
  </si>
  <si>
    <t>@yourminbite</t>
  </si>
  <si>
    <t>1x rate</t>
  </si>
  <si>
    <t>@reginaaphx</t>
  </si>
  <si>
    <t>@reginaphx</t>
  </si>
  <si>
    <t>Rp5,500,000 (beli putus)</t>
  </si>
  <si>
    <t>Rp2,500,000 (60 days)
Rp5,000,000 (365 days)</t>
  </si>
  <si>
    <t>@kuliner_bekasi</t>
  </si>
  <si>
    <t>@kuliner_bks</t>
  </si>
  <si>
    <t>@rachelvennya</t>
  </si>
  <si>
    <t>@skylarsveta</t>
  </si>
  <si>
    <t>- Education (tutorial masak)</t>
  </si>
  <si>
    <t>shadirafirdausii</t>
  </si>
  <si>
    <t>shaturday</t>
  </si>
  <si>
    <t>- Lifestyle (Female), Family
- Mom and kids
- Fashion
- Beauty</t>
  </si>
  <si>
    <t>Rp30,000,000 - Rp70,000,000</t>
  </si>
  <si>
    <t>dewizuhriati</t>
  </si>
  <si>
    <t>- Lifestyle (Female)
- Mom and kids
- Fashion</t>
  </si>
  <si>
    <t>opah_faisal</t>
  </si>
  <si>
    <t>opahgalareal</t>
  </si>
  <si>
    <t>- Lifestyle (Male)
- Fashion Pria</t>
  </si>
  <si>
    <t>harbie16</t>
  </si>
  <si>
    <t>- Place Review
- Lifestyle</t>
  </si>
  <si>
    <t>Tiktok bisa (diskusi lebih lanjut), reels belum bisa kecuali boostnya dari akun brand sendiri (diskusi lebih lanjut)</t>
  </si>
  <si>
    <t>diskusi lebih lanjut</t>
  </si>
  <si>
    <t>start from Rp1.000.000</t>
  </si>
  <si>
    <t>niaghania</t>
  </si>
  <si>
    <t>niaghan</t>
  </si>
  <si>
    <t>- Lifestyle (female), Edukasi (tips &amp; trick)
- Fashion
 - Beauty</t>
  </si>
  <si>
    <t>Rp1,000,000/slide</t>
  </si>
  <si>
    <t>iPhone-produced: Rp12,000,000
Videographer-produced: Rp15,000,000</t>
  </si>
  <si>
    <t>iPhone-produced: Rp14,000,000
Videographer-produced: Rp17,000,000</t>
  </si>
  <si>
    <t>hazealnut</t>
  </si>
  <si>
    <t>- Homeliving
- Beauty</t>
  </si>
  <si>
    <t>ferra_agustina</t>
  </si>
  <si>
    <t>ferraagustina2</t>
  </si>
  <si>
    <t>- Lifestyle (Female), Family
- Mom &amp; Kids
- Fashion</t>
  </si>
  <si>
    <t>carlenedoraa</t>
  </si>
  <si>
    <t>Batang</t>
  </si>
  <si>
    <t>- Homeliving, Family
- Lifestyle (Family)
- Mom &amp; Kids</t>
  </si>
  <si>
    <t>ayunghadid</t>
  </si>
  <si>
    <t>fachrulhadid</t>
  </si>
  <si>
    <t>- Lifestyle (Male), Comedy
- Fashion Pria
- Place Review</t>
  </si>
  <si>
    <t>Rp1,000,000 - Rp2,000,000</t>
  </si>
  <si>
    <t>febignwn</t>
  </si>
  <si>
    <t>- FnB
- Place Review</t>
  </si>
  <si>
    <t>caesadhanisa</t>
  </si>
  <si>
    <t>- Place review, family
- Mom and kids
- Fashion</t>
  </si>
  <si>
    <t>galyasgeulis</t>
  </si>
  <si>
    <t>Karawang</t>
  </si>
  <si>
    <t>- Lifestyle (Female), Family
- Mom and kids
- Beauty</t>
  </si>
  <si>
    <t>icalfariss</t>
  </si>
  <si>
    <t>+Rp200,000/slide</t>
  </si>
  <si>
    <t>Rp500,000 (3 slide)</t>
  </si>
  <si>
    <t>Rp1,000,000 (max 1 min)</t>
  </si>
  <si>
    <t>Visit + Video:
- Event = Rp3,500,000
- Resto/Store = Rp3,500,000 (non UMKM)
- Hotel/Hunian = Rp1,500,000</t>
  </si>
  <si>
    <t>octaviantifransisca</t>
  </si>
  <si>
    <t>BSD, Tangerang</t>
  </si>
  <si>
    <t>jalanbarengdarla</t>
  </si>
  <si>
    <t>1. Rp1,200,000
(TikTok mirror IG, Visit, 1 Story, free tag &amp; collab)
2. Rp1,700,000
(2 vids, 2 akun {jalanbarengdarla &amp; jajanviralbekasi}, tiktok mirror IG, visit, 1 story, free tag &amp; collab)</t>
  </si>
  <si>
    <t>shazhaniaa</t>
  </si>
  <si>
    <t>_shaz</t>
  </si>
  <si>
    <t>Lifestyle Female, Beauty</t>
  </si>
  <si>
    <t>Rp36,000,000
Rp38,000,000 (professional cam)</t>
  </si>
  <si>
    <t>Rp22,000,000 (photo slide)
Rp30,000,000 (video)</t>
  </si>
  <si>
    <t>Rp10,000,000 (Jakarta)
Rp12,000,000 (outside Jakarta)
2 hours max</t>
  </si>
  <si>
    <t>dapur_mamika30</t>
  </si>
  <si>
    <t>dapurmamika_</t>
  </si>
  <si>
    <t>Cooking</t>
  </si>
  <si>
    <t>anaknya_mas_joko</t>
  </si>
  <si>
    <t>Comedy</t>
  </si>
  <si>
    <t>alwifachry</t>
  </si>
  <si>
    <t>alwifahry</t>
  </si>
  <si>
    <t>Rp40,000,000 (Bandung)</t>
  </si>
  <si>
    <t>rereanggara</t>
  </si>
  <si>
    <t>Comedy, Lifestyle Male</t>
  </si>
  <si>
    <t>firamaringka</t>
  </si>
  <si>
    <t>jessicaklppr</t>
  </si>
  <si>
    <t>jejekaliya</t>
  </si>
  <si>
    <t>Premium Look, Lifestyle Female</t>
  </si>
  <si>
    <t>apiipp</t>
  </si>
  <si>
    <t>apiipp1294</t>
  </si>
  <si>
    <t>Gaming</t>
  </si>
  <si>
    <t>michelealex</t>
  </si>
  <si>
    <t>cheekykiddo</t>
  </si>
  <si>
    <t>BSD</t>
  </si>
  <si>
    <t>bagas_dribble</t>
  </si>
  <si>
    <t>s4y4_im0t</t>
  </si>
  <si>
    <t>Komedi, Lifestyle (Male)</t>
  </si>
  <si>
    <t>fandidk</t>
  </si>
  <si>
    <t>fandidk6</t>
  </si>
  <si>
    <t>Bandung &amp; Jakarta</t>
  </si>
  <si>
    <t>+Rp1,000,000</t>
  </si>
  <si>
    <t>Rp1,000,000/item</t>
  </si>
  <si>
    <t>kairirds</t>
  </si>
  <si>
    <t>kairirisolmayo</t>
  </si>
  <si>
    <t>luthfihalimawan</t>
  </si>
  <si>
    <t>luthfihalimawan42</t>
  </si>
  <si>
    <t>Rp1,000,000 - Rp3,000,000</t>
  </si>
  <si>
    <t>TikTok Only</t>
  </si>
  <si>
    <t>rifaneyy0</t>
  </si>
  <si>
    <t>- Comedy 
- Place Review</t>
  </si>
  <si>
    <t>Rp35,000,000
Visit: Rp40,000,000</t>
  </si>
  <si>
    <t xml:space="preserve">Mirroring IG Reels @fachrulhadid_
Rp45,000,000
</t>
  </si>
  <si>
    <t>angga</t>
  </si>
  <si>
    <t>angga.yunanda</t>
  </si>
  <si>
    <t>Actor/Actress</t>
  </si>
  <si>
    <t>dindacresheilla</t>
  </si>
  <si>
    <t>esthernataliaa</t>
  </si>
  <si>
    <t>estherlubis</t>
  </si>
  <si>
    <t>Education</t>
  </si>
  <si>
    <t>renaldfadli</t>
  </si>
  <si>
    <t>mahasiswagendut</t>
  </si>
  <si>
    <t>FnB, Lifestyle (Male), Entrepreneur</t>
  </si>
  <si>
    <t>anak.kuliner</t>
  </si>
  <si>
    <t>anakkuliner</t>
  </si>
  <si>
    <t>FnB, Place Review</t>
  </si>
  <si>
    <t>geraldvincentt</t>
  </si>
  <si>
    <t>raymondchins</t>
  </si>
  <si>
    <t>tutorialhidub</t>
  </si>
  <si>
    <t>aulianuzl</t>
  </si>
  <si>
    <t>Lifestyle (Female), Comedy</t>
  </si>
  <si>
    <t>ayuwisya</t>
  </si>
  <si>
    <t>ayuwisya666</t>
  </si>
  <si>
    <t>Rp6,000,000 (Inc. Tap Link)</t>
  </si>
  <si>
    <t>meyandjoe_</t>
  </si>
  <si>
    <t>meyandjoe</t>
  </si>
  <si>
    <t>Couple</t>
  </si>
  <si>
    <t>Rp200,000 (Mey only)
Rp300,000 (Mey &amp; Joe)</t>
  </si>
  <si>
    <t>Rp100,000 (Mey only)
Rp200,000 (Mey &amp; Joe)</t>
  </si>
  <si>
    <t>Rp1,600,000 (Mey only)
Rp2,500,000 (Mey &amp; Joe)</t>
  </si>
  <si>
    <t>bellatanesiaa</t>
  </si>
  <si>
    <t>bellakukutanesia</t>
  </si>
  <si>
    <t>farida.nurhan</t>
  </si>
  <si>
    <t>idijafar</t>
  </si>
  <si>
    <t>x</t>
  </si>
  <si>
    <t>Rp1,500,000 (Jakarta)
Rp2,000,000 (Bodetabek)</t>
  </si>
  <si>
    <t>utepsunarya</t>
  </si>
  <si>
    <t>Cianjur</t>
  </si>
  <si>
    <t>emilmari0</t>
  </si>
  <si>
    <t>emilmario69</t>
  </si>
  <si>
    <t>gilangsamiadji</t>
  </si>
  <si>
    <t>holaofadlan</t>
  </si>
  <si>
    <t>fadlanholao</t>
  </si>
  <si>
    <t>Comedy, Lifestyle (Male)</t>
  </si>
  <si>
    <t>__ehan</t>
  </si>
  <si>
    <t>kaffanugroho</t>
  </si>
  <si>
    <t>pardonmypresence</t>
  </si>
  <si>
    <t>farhanrn__</t>
  </si>
  <si>
    <t>abipraya28</t>
  </si>
  <si>
    <t>reyyyz</t>
  </si>
  <si>
    <t>nonikmeniesszt</t>
  </si>
  <si>
    <t>nonikmenieszt</t>
  </si>
  <si>
    <t>sarahtumiwa</t>
  </si>
  <si>
    <t>Beatuy, Lfestyle (Female)</t>
  </si>
  <si>
    <t>fahiramira</t>
  </si>
  <si>
    <t>unadembler</t>
  </si>
  <si>
    <t>unadembler25</t>
  </si>
  <si>
    <t>reizukaaari</t>
  </si>
  <si>
    <t>dictionarei</t>
  </si>
  <si>
    <t>Lifestlye (Male)</t>
  </si>
  <si>
    <t>adelscooking</t>
  </si>
  <si>
    <t>riniandriyanii</t>
  </si>
  <si>
    <t>Samarinda</t>
  </si>
  <si>
    <t>iranndha</t>
  </si>
  <si>
    <t>iranandha</t>
  </si>
  <si>
    <t>dapurmukbang99</t>
  </si>
  <si>
    <t>dapurmukbang</t>
  </si>
  <si>
    <t>Reels + Story: Rp800,000</t>
  </si>
  <si>
    <t>putrihabibie</t>
  </si>
  <si>
    <t>putrihabibierecipes</t>
  </si>
  <si>
    <t>winnibarus</t>
  </si>
  <si>
    <t>mardatillahika</t>
  </si>
  <si>
    <t>Lumajang</t>
  </si>
  <si>
    <t>amihandmade</t>
  </si>
  <si>
    <t>amandamanopo</t>
  </si>
  <si>
    <t>agml612</t>
  </si>
  <si>
    <t>veyalvia22</t>
  </si>
  <si>
    <t>Homeliving</t>
  </si>
  <si>
    <t>Rp1,500,000 (3 frame)</t>
  </si>
  <si>
    <t>Rp3,000,000
Reels + Story: Rp4,000,000</t>
  </si>
  <si>
    <t>inginkurrus_</t>
  </si>
  <si>
    <t>inginkurrus15</t>
  </si>
  <si>
    <t>Story + Reels + TikTok + Visit Store = Rp1,300,000</t>
  </si>
  <si>
    <t>vanessasevilla.vs</t>
  </si>
  <si>
    <t>v.sevillaaa</t>
  </si>
  <si>
    <t>Jambi</t>
  </si>
  <si>
    <t>dr.inseqyuur</t>
  </si>
  <si>
    <t>teukuryantr</t>
  </si>
  <si>
    <t xml:space="preserve">Lifestyle, Fashion, </t>
  </si>
  <si>
    <t>syafira_hdd</t>
  </si>
  <si>
    <t>ndhiraa07</t>
  </si>
  <si>
    <t>violenziajean</t>
  </si>
  <si>
    <t>violenziajeanette</t>
  </si>
  <si>
    <t>ratuaulia22_</t>
  </si>
  <si>
    <t>ratuauliaa22</t>
  </si>
  <si>
    <t>fajjarsadboy</t>
  </si>
  <si>
    <t>fajarlabatjo</t>
  </si>
  <si>
    <t>kennyauztin</t>
  </si>
  <si>
    <t>kennyauztin16</t>
  </si>
  <si>
    <t>sandrofahdhipa</t>
  </si>
  <si>
    <t>dhip___</t>
  </si>
  <si>
    <t>clarissaputri_</t>
  </si>
  <si>
    <t>clarissaputrih</t>
  </si>
  <si>
    <t>fadiljaidi</t>
  </si>
  <si>
    <t>miskashf</t>
  </si>
  <si>
    <t>jeromepolin</t>
  </si>
  <si>
    <t>jeromepolin98</t>
  </si>
  <si>
    <t>Lifestyle (Male), Education</t>
  </si>
  <si>
    <t>jerhemynemo</t>
  </si>
  <si>
    <t>jerhemynemoo</t>
  </si>
  <si>
    <t>Indonesia</t>
  </si>
  <si>
    <t>hansoljang110</t>
  </si>
  <si>
    <t>Korea Selatan</t>
  </si>
  <si>
    <t>daehoon_na</t>
  </si>
  <si>
    <t>aadaehoon</t>
  </si>
  <si>
    <t>ekidarehanf</t>
  </si>
  <si>
    <t>Health &amp; Sport, Education</t>
  </si>
  <si>
    <t>farhanfirms</t>
  </si>
  <si>
    <t>Health, Education</t>
  </si>
  <si>
    <t>wynnneug</t>
  </si>
  <si>
    <t>jennifercoppenreal20</t>
  </si>
  <si>
    <t>jennifer.coppen</t>
  </si>
  <si>
    <t>Lifestyle (Female), Actress</t>
  </si>
  <si>
    <t>maudyeffrosina</t>
  </si>
  <si>
    <t>maudyeffrosinaa</t>
  </si>
  <si>
    <t>Actress</t>
  </si>
  <si>
    <t>egasyal_dachan</t>
  </si>
  <si>
    <t>Bintaro, Jakarta Selatan</t>
  </si>
  <si>
    <t>asyahidann</t>
  </si>
  <si>
    <t>asyahidan</t>
  </si>
  <si>
    <t>Surabaya</t>
  </si>
  <si>
    <t>Nama ibu (username IG)</t>
  </si>
  <si>
    <t>Nama anak</t>
  </si>
  <si>
    <t>TTL</t>
  </si>
  <si>
    <t>Umur</t>
  </si>
  <si>
    <t>Jenis kelamin</t>
  </si>
  <si>
    <t>Arkael Keith Lo</t>
  </si>
  <si>
    <t>Oktober 2020</t>
  </si>
  <si>
    <t>tahun</t>
  </si>
  <si>
    <t>Laki-Laki</t>
  </si>
  <si>
    <t>Kairy</t>
  </si>
  <si>
    <t>Maret 2024</t>
  </si>
  <si>
    <t>&lt;1</t>
  </si>
  <si>
    <t>Perempuan</t>
  </si>
  <si>
    <t>Zaline Ankeefa Ceisya</t>
  </si>
  <si>
    <t>Mahesa</t>
  </si>
  <si>
    <t>Almineta</t>
  </si>
  <si>
    <t>Rahardika</t>
  </si>
  <si>
    <t>Arshandy</t>
  </si>
  <si>
    <t>Gama</t>
  </si>
  <si>
    <t>Hima</t>
  </si>
  <si>
    <t>Gelmara</t>
  </si>
  <si>
    <t>Arthala</t>
  </si>
  <si>
    <t>Muhamad Zafran Eiji</t>
  </si>
  <si>
    <t>07/06/2023</t>
  </si>
  <si>
    <t>Arsha Auriga Khairath Alldindra</t>
  </si>
  <si>
    <t>ka.reys</t>
  </si>
  <si>
    <t>Khansa Aurelia</t>
  </si>
  <si>
    <t>Dasya Zerina Dreira</t>
  </si>
  <si>
    <t>Nakia</t>
  </si>
  <si>
    <t>Jennie</t>
  </si>
  <si>
    <t>Bentley</t>
  </si>
  <si>
    <t>Shahmeer</t>
  </si>
  <si>
    <t>fitriarasyidi</t>
  </si>
  <si>
    <t>Azoy</t>
  </si>
  <si>
    <t xml:space="preserve">Zerael Gracelynn Ariela Mawu </t>
  </si>
  <si>
    <t>Ratecard YouTube</t>
  </si>
  <si>
    <t>Event Attend</t>
  </si>
  <si>
    <t>Speaker</t>
  </si>
  <si>
    <t>Subscribers</t>
  </si>
  <si>
    <t>Exclusive</t>
  </si>
  <si>
    <t>Product placement</t>
  </si>
  <si>
    <t>Rp3,500,000</t>
  </si>
  <si>
    <t>Rp5,200,000</t>
  </si>
  <si>
    <t>Rp5,500,000</t>
  </si>
  <si>
    <t>Rp1,750,000</t>
  </si>
  <si>
    <t>Rp4,000,000</t>
  </si>
  <si>
    <t>Rp750,000</t>
  </si>
  <si>
    <t>Rp250,000</t>
  </si>
  <si>
    <t>4 hours dalam kota = Rp3,500,000</t>
  </si>
  <si>
    <t>Rp649,000</t>
  </si>
  <si>
    <t>Rp5,000,000</t>
  </si>
  <si>
    <t>Reels + Story: Rp1,050,000</t>
  </si>
  <si>
    <t>zakiya0916</t>
  </si>
  <si>
    <t>aniszaita</t>
  </si>
  <si>
    <t>tiktok.com/@aniszaita</t>
  </si>
  <si>
    <t>reels+tiktok+story+shopeevideo
Only 650k</t>
  </si>
  <si>
    <t>aidnnnnn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</si>
</sst>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p]#,##0"/>
    <numFmt numFmtId="165" formatCode="0.0,,\M "/>
    <numFmt numFmtId="166" formatCode="0,\K"/>
    <numFmt numFmtId="167" formatCode="0.0,,\M ; 0,\K"/>
    <numFmt numFmtId="168" formatCode="dd/MM/yyyy"/>
    <numFmt numFmtId="169" formatCode="dd/mm/yyyy"/>
    <numFmt numFmtId="170" formatCode="d/m/yy"/>
  </numFmts>
  <fonts count="52">
    <font>
      <sz val="10.0"/>
      <color rgb="FF000000"/>
      <name val="Arial"/>
      <scheme val="minor"/>
    </font>
    <font>
      <u/>
      <color rgb="FF0000FF"/>
      <name val="Arial"/>
    </font>
    <font>
      <color theme="1"/>
      <name val="Arial"/>
      <scheme val="minor"/>
    </font>
    <font/>
    <font>
      <b/>
      <sz val="12.0"/>
      <color rgb="FFFFFFFF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FFFFFF"/>
      <name val="Arial"/>
    </font>
    <font>
      <b/>
      <sz val="10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0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2.0"/>
      <color theme="1"/>
      <name val="Arial"/>
    </font>
    <font>
      <u/>
      <color rgb="FF1155CC"/>
      <name val="Arial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2" numFmtId="0" xfId="0" applyBorder="1" applyFont="1"/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5" fillId="4" fontId="5" numFmtId="164" xfId="0" applyAlignment="1" applyBorder="1" applyFill="1" applyFont="1" applyNumberFormat="1">
      <alignment horizontal="center" shrinkToFit="0" vertical="center" wrapText="1"/>
    </xf>
    <xf borderId="1" fillId="5" fontId="5" numFmtId="164" xfId="0" applyAlignment="1" applyBorder="1" applyFill="1" applyFont="1" applyNumberFormat="1">
      <alignment horizontal="center" shrinkToFit="0" vertical="center" wrapText="1"/>
    </xf>
    <xf borderId="1" fillId="6" fontId="5" numFmtId="164" xfId="0" applyAlignment="1" applyBorder="1" applyFill="1" applyFont="1" applyNumberFormat="1">
      <alignment horizontal="center" shrinkToFit="0" vertical="center" wrapText="1"/>
    </xf>
    <xf borderId="5" fillId="6" fontId="6" numFmtId="164" xfId="0" applyAlignment="1" applyBorder="1" applyFont="1" applyNumberFormat="1">
      <alignment horizontal="center" shrinkToFit="0" vertical="center" wrapText="1"/>
    </xf>
    <xf borderId="6" fillId="0" fontId="3" numFmtId="0" xfId="0" applyBorder="1" applyFont="1"/>
    <xf borderId="5" fillId="3" fontId="5" numFmtId="0" xfId="0" applyAlignment="1" applyBorder="1" applyFont="1">
      <alignment horizontal="center" shrinkToFit="0" vertical="center" wrapText="1"/>
    </xf>
    <xf borderId="5" fillId="3" fontId="5" numFmtId="165" xfId="0" applyAlignment="1" applyBorder="1" applyFont="1" applyNumberFormat="1">
      <alignment horizontal="center" shrinkToFit="0" vertical="center" wrapText="1"/>
    </xf>
    <xf borderId="5" fillId="7" fontId="5" numFmtId="164" xfId="0" applyAlignment="1" applyBorder="1" applyFill="1" applyFont="1" applyNumberFormat="1">
      <alignment horizontal="center" shrinkToFit="0" vertical="center" wrapText="1"/>
    </xf>
    <xf quotePrefix="1" borderId="5" fillId="7" fontId="5" numFmtId="164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2" numFmtId="165" xfId="0" applyAlignment="1" applyBorder="1" applyFont="1" applyNumberFormat="1">
      <alignment horizontal="center" shrinkToFit="0" vertical="center" wrapText="1"/>
    </xf>
    <xf borderId="5" fillId="0" fontId="2" numFmtId="164" xfId="0" applyAlignment="1" applyBorder="1" applyFont="1" applyNumberFormat="1">
      <alignment horizontal="center" shrinkToFit="0" vertical="center" wrapText="1"/>
    </xf>
    <xf borderId="5" fillId="0" fontId="2" numFmtId="9" xfId="0" applyAlignment="1" applyBorder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2" numFmtId="166" xfId="0" applyAlignment="1" applyBorder="1" applyFont="1" applyNumberFormat="1">
      <alignment horizontal="center" shrinkToFit="0" vertical="center" wrapText="1"/>
    </xf>
    <xf borderId="5" fillId="0" fontId="9" numFmtId="164" xfId="0" applyAlignment="1" applyBorder="1" applyFont="1" applyNumberFormat="1">
      <alignment horizontal="center" shrinkToFit="0" vertical="center" wrapText="1"/>
    </xf>
    <xf borderId="5" fillId="0" fontId="2" numFmtId="167" xfId="0" applyAlignment="1" applyBorder="1" applyFont="1" applyNumberFormat="1">
      <alignment horizontal="center" shrinkToFit="0" vertical="center" wrapText="1"/>
    </xf>
    <xf borderId="5" fillId="0" fontId="2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6" numFmtId="0" xfId="0" applyBorder="1" applyFont="1"/>
    <xf borderId="1" fillId="2" fontId="4" numFmtId="0" xfId="0" applyAlignment="1" applyBorder="1" applyFont="1">
      <alignment horizontal="center" shrinkToFit="0" wrapText="1"/>
    </xf>
    <xf borderId="4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8" fontId="1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Font="1"/>
    <xf borderId="4" fillId="3" fontId="5" numFmtId="167" xfId="0" applyAlignment="1" applyBorder="1" applyFont="1" applyNumberFormat="1">
      <alignment horizontal="center" shrinkToFit="0" vertical="center" wrapText="1"/>
    </xf>
    <xf borderId="4" fillId="3" fontId="5" numFmtId="165" xfId="0" applyAlignment="1" applyBorder="1" applyFont="1" applyNumberFormat="1">
      <alignment horizontal="center" shrinkToFit="0" vertical="center" wrapText="1"/>
    </xf>
    <xf borderId="4" fillId="7" fontId="5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1" fillId="0" fontId="2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5" fillId="4" fontId="13" numFmtId="164" xfId="0" applyAlignment="1" applyBorder="1" applyFont="1" applyNumberFormat="1">
      <alignment horizontal="center" readingOrder="0" shrinkToFit="0" vertical="center" wrapText="1"/>
    </xf>
    <xf borderId="1" fillId="5" fontId="13" numFmtId="164" xfId="0" applyAlignment="1" applyBorder="1" applyFont="1" applyNumberFormat="1">
      <alignment horizontal="center" readingOrder="0" shrinkToFit="0" vertical="center" wrapText="1"/>
    </xf>
    <xf borderId="1" fillId="6" fontId="13" numFmtId="164" xfId="0" applyAlignment="1" applyBorder="1" applyFont="1" applyNumberFormat="1">
      <alignment horizontal="center" readingOrder="0" shrinkToFit="0" vertical="center" wrapText="1"/>
    </xf>
    <xf borderId="5" fillId="6" fontId="13" numFmtId="164" xfId="0" applyAlignment="1" applyBorder="1" applyFont="1" applyNumberFormat="1">
      <alignment horizontal="center" readingOrder="0" shrinkToFit="0" vertical="center" wrapText="1"/>
    </xf>
    <xf borderId="5" fillId="3" fontId="13" numFmtId="0" xfId="0" applyAlignment="1" applyBorder="1" applyFont="1">
      <alignment horizontal="center" shrinkToFit="0" vertical="center" wrapText="1"/>
    </xf>
    <xf borderId="5" fillId="3" fontId="13" numFmtId="165" xfId="0" applyAlignment="1" applyBorder="1" applyFont="1" applyNumberFormat="1">
      <alignment horizontal="center" shrinkToFit="0" vertical="center" wrapText="1"/>
    </xf>
    <xf borderId="5" fillId="7" fontId="13" numFmtId="164" xfId="0" applyAlignment="1" applyBorder="1" applyFont="1" applyNumberFormat="1">
      <alignment horizontal="center" shrinkToFit="0" vertical="center" wrapText="1"/>
    </xf>
    <xf quotePrefix="1" borderId="5" fillId="7" fontId="13" numFmtId="164" xfId="0" applyAlignment="1" applyBorder="1" applyFont="1" applyNumberFormat="1">
      <alignment horizontal="center" shrinkToFit="0" vertical="center" wrapText="1"/>
    </xf>
    <xf borderId="5" fillId="7" fontId="13" numFmtId="164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6" numFmtId="167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5" fillId="0" fontId="6" numFmtId="165" xfId="0" applyAlignment="1" applyBorder="1" applyFont="1" applyNumberFormat="1">
      <alignment horizontal="center" shrinkToFit="0" vertical="center" wrapText="1"/>
    </xf>
    <xf borderId="5" fillId="0" fontId="6" numFmtId="164" xfId="0" applyAlignment="1" applyBorder="1" applyFont="1" applyNumberFormat="1">
      <alignment horizontal="center" shrinkToFit="0" vertical="center" wrapText="1"/>
    </xf>
    <xf borderId="5" fillId="0" fontId="5" numFmtId="9" xfId="0" applyAlignment="1" applyBorder="1" applyFont="1" applyNumberFormat="1">
      <alignment horizontal="center" shrinkToFit="0" vertical="center" wrapText="1"/>
    </xf>
    <xf borderId="5" fillId="0" fontId="6" numFmtId="165" xfId="0" applyAlignment="1" applyBorder="1" applyFont="1" applyNumberFormat="1">
      <alignment horizontal="center" shrinkToFit="0" vertical="center" wrapText="1"/>
    </xf>
    <xf borderId="5" fillId="0" fontId="6" numFmtId="166" xfId="0" applyAlignment="1" applyBorder="1" applyFont="1" applyNumberFormat="1">
      <alignment horizontal="center" shrinkToFit="0" vertical="center" wrapText="1"/>
    </xf>
    <xf borderId="5" fillId="0" fontId="6" numFmtId="164" xfId="0" applyAlignment="1" applyBorder="1" applyFont="1" applyNumberFormat="1">
      <alignment horizontal="center" readingOrder="0" vertical="center"/>
    </xf>
    <xf borderId="5" fillId="0" fontId="5" numFmtId="164" xfId="0" applyAlignment="1" applyBorder="1" applyFont="1" applyNumberFormat="1">
      <alignment horizontal="center" shrinkToFit="0" vertical="center" wrapText="1"/>
    </xf>
    <xf borderId="5" fillId="0" fontId="6" numFmtId="9" xfId="0" applyAlignment="1" applyBorder="1" applyFont="1" applyNumberFormat="1">
      <alignment horizontal="center" shrinkToFit="0" vertical="center" wrapText="1"/>
    </xf>
    <xf borderId="5" fillId="0" fontId="16" numFmtId="0" xfId="0" applyAlignment="1" applyBorder="1" applyFont="1">
      <alignment horizontal="center" vertical="center"/>
    </xf>
    <xf borderId="5" fillId="0" fontId="6" numFmtId="166" xfId="0" applyAlignment="1" applyBorder="1" applyFont="1" applyNumberFormat="1">
      <alignment horizontal="center" vertical="center"/>
    </xf>
    <xf borderId="5" fillId="0" fontId="6" numFmtId="165" xfId="0" applyAlignment="1" applyBorder="1" applyFont="1" applyNumberFormat="1">
      <alignment horizontal="center" vertical="center"/>
    </xf>
    <xf borderId="5" fillId="2" fontId="6" numFmtId="164" xfId="0" applyAlignment="1" applyBorder="1" applyFont="1" applyNumberFormat="1">
      <alignment vertical="center"/>
    </xf>
    <xf quotePrefix="1" borderId="5" fillId="0" fontId="6" numFmtId="164" xfId="0" applyAlignment="1" applyBorder="1" applyFont="1" applyNumberFormat="1">
      <alignment horizontal="center" shrinkToFit="0" vertical="center" wrapText="1"/>
    </xf>
    <xf borderId="5" fillId="0" fontId="6" numFmtId="164" xfId="0" applyAlignment="1" applyBorder="1" applyFont="1" applyNumberFormat="1">
      <alignment horizontal="center" readingOrder="0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5" fillId="0" fontId="18" numFmtId="165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5" fillId="0" fontId="19" numFmtId="164" xfId="0" applyAlignment="1" applyBorder="1" applyFont="1" applyNumberFormat="1">
      <alignment horizontal="center" readingOrder="0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5" fillId="8" fontId="6" numFmtId="164" xfId="0" applyAlignment="1" applyBorder="1" applyFont="1" applyNumberFormat="1">
      <alignment vertical="center"/>
    </xf>
    <xf quotePrefix="1" borderId="5" fillId="8" fontId="6" numFmtId="164" xfId="0" applyAlignment="1" applyBorder="1" applyFont="1" applyNumberFormat="1">
      <alignment vertical="center"/>
    </xf>
    <xf borderId="5" fillId="0" fontId="21" numFmtId="0" xfId="0" applyAlignment="1" applyBorder="1" applyFont="1">
      <alignment horizontal="center" vertical="center"/>
    </xf>
    <xf borderId="5" fillId="0" fontId="22" numFmtId="164" xfId="0" applyAlignment="1" applyBorder="1" applyFont="1" applyNumberFormat="1">
      <alignment horizontal="center" vertical="center"/>
    </xf>
    <xf quotePrefix="1" borderId="5" fillId="0" fontId="6" numFmtId="0" xfId="0" applyAlignment="1" applyBorder="1" applyFont="1">
      <alignment horizontal="center" shrinkToFit="0" vertical="center" wrapText="1"/>
    </xf>
    <xf borderId="5" fillId="0" fontId="6" numFmtId="164" xfId="0" applyAlignment="1" applyBorder="1" applyFont="1" applyNumberFormat="1">
      <alignment horizontal="center" vertical="center"/>
    </xf>
    <xf borderId="5" fillId="0" fontId="23" numFmtId="164" xfId="0" applyAlignment="1" applyBorder="1" applyFont="1" applyNumberFormat="1">
      <alignment horizontal="center" shrinkToFit="0" vertical="center" wrapText="1"/>
    </xf>
    <xf borderId="5" fillId="0" fontId="6" numFmtId="9" xfId="0" applyAlignment="1" applyBorder="1" applyFont="1" applyNumberFormat="1">
      <alignment horizontal="center" vertical="center"/>
    </xf>
    <xf borderId="5" fillId="8" fontId="6" numFmtId="0" xfId="0" applyAlignment="1" applyBorder="1" applyFont="1">
      <alignment vertical="center"/>
    </xf>
    <xf borderId="5" fillId="8" fontId="6" numFmtId="0" xfId="0" applyAlignment="1" applyBorder="1" applyFont="1">
      <alignment vertical="center"/>
    </xf>
    <xf borderId="5" fillId="8" fontId="6" numFmtId="166" xfId="0" applyAlignment="1" applyBorder="1" applyFont="1" applyNumberFormat="1">
      <alignment vertical="center"/>
    </xf>
    <xf borderId="5" fillId="0" fontId="6" numFmtId="0" xfId="0" applyAlignment="1" applyBorder="1" applyFont="1">
      <alignment vertical="center"/>
    </xf>
    <xf borderId="5" fillId="0" fontId="24" numFmtId="0" xfId="0" applyAlignment="1" applyBorder="1" applyFont="1">
      <alignment horizontal="center" shrinkToFit="0" vertical="center" wrapText="1"/>
    </xf>
    <xf borderId="5" fillId="2" fontId="6" numFmtId="9" xfId="0" applyAlignment="1" applyBorder="1" applyFont="1" applyNumberFormat="1">
      <alignment vertical="center"/>
    </xf>
    <xf borderId="5" fillId="0" fontId="6" numFmtId="164" xfId="0" applyAlignment="1" applyBorder="1" applyFont="1" applyNumberFormat="1">
      <alignment vertical="center"/>
    </xf>
    <xf borderId="5" fillId="0" fontId="6" numFmtId="0" xfId="0" applyAlignment="1" applyBorder="1" applyFont="1">
      <alignment horizontal="center" vertical="center"/>
    </xf>
    <xf borderId="7" fillId="3" fontId="13" numFmtId="0" xfId="0" applyAlignment="1" applyBorder="1" applyFont="1">
      <alignment horizontal="center" readingOrder="0" shrinkToFit="0" vertical="center" wrapText="1"/>
    </xf>
    <xf borderId="8" fillId="3" fontId="13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4" fontId="13" numFmtId="164" xfId="0" applyAlignment="1" applyBorder="1" applyFont="1" applyNumberFormat="1">
      <alignment horizontal="center" readingOrder="0" shrinkToFit="0" vertical="center" wrapText="1"/>
    </xf>
    <xf borderId="8" fillId="5" fontId="13" numFmtId="164" xfId="0" applyAlignment="1" applyBorder="1" applyFont="1" applyNumberFormat="1">
      <alignment horizontal="center" readingOrder="0" shrinkToFit="0" vertical="center" wrapText="1"/>
    </xf>
    <xf borderId="9" fillId="0" fontId="3" numFmtId="0" xfId="0" applyBorder="1" applyFont="1"/>
    <xf borderId="8" fillId="6" fontId="13" numFmtId="164" xfId="0" applyAlignment="1" applyBorder="1" applyFont="1" applyNumberFormat="1">
      <alignment horizontal="center" readingOrder="0" shrinkToFit="0" vertical="center" wrapText="1"/>
    </xf>
    <xf borderId="9" fillId="3" fontId="13" numFmtId="0" xfId="0" applyAlignment="1" applyBorder="1" applyFont="1">
      <alignment horizontal="center" shrinkToFit="0" vertical="center" wrapText="1"/>
    </xf>
    <xf borderId="9" fillId="3" fontId="13" numFmtId="165" xfId="0" applyAlignment="1" applyBorder="1" applyFont="1" applyNumberFormat="1">
      <alignment horizontal="center" shrinkToFit="0" vertical="center" wrapText="1"/>
    </xf>
    <xf borderId="9" fillId="7" fontId="13" numFmtId="164" xfId="0" applyAlignment="1" applyBorder="1" applyFont="1" applyNumberFormat="1">
      <alignment horizontal="center" shrinkToFit="0" vertical="center" wrapText="1"/>
    </xf>
    <xf quotePrefix="1" borderId="9" fillId="7" fontId="13" numFmtId="164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9" fillId="0" fontId="6" numFmtId="164" xfId="0" applyAlignment="1" applyBorder="1" applyFont="1" applyNumberForma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quotePrefix="1" borderId="9" fillId="0" fontId="6" numFmtId="164" xfId="0" applyAlignment="1" applyBorder="1" applyFont="1" applyNumberFormat="1">
      <alignment horizontal="center" shrinkToFit="0" vertical="center" wrapText="1"/>
    </xf>
    <xf borderId="9" fillId="0" fontId="6" numFmtId="9" xfId="0" applyAlignment="1" applyBorder="1" applyFont="1" applyNumberFormat="1">
      <alignment horizontal="center" shrinkToFit="0" vertical="center" wrapText="1"/>
    </xf>
    <xf borderId="5" fillId="0" fontId="6" numFmtId="165" xfId="0" applyAlignment="1" applyBorder="1" applyFont="1" applyNumberFormat="1">
      <alignment horizontal="center" vertical="center"/>
    </xf>
    <xf borderId="9" fillId="0" fontId="6" numFmtId="164" xfId="0" applyAlignment="1" applyBorder="1" applyFont="1" applyNumberFormat="1">
      <alignment horizontal="center" shrinkToFit="0" wrapText="1"/>
    </xf>
    <xf borderId="9" fillId="0" fontId="6" numFmtId="164" xfId="0" applyAlignment="1" applyBorder="1" applyFont="1" applyNumberFormat="1">
      <alignment horizontal="center" readingOrder="0" shrinkToFit="0" wrapText="1"/>
    </xf>
    <xf borderId="9" fillId="0" fontId="5" numFmtId="164" xfId="0" applyAlignment="1" applyBorder="1" applyFont="1" applyNumberFormat="1">
      <alignment horizontal="center" shrinkToFit="0" wrapText="1"/>
    </xf>
    <xf borderId="5" fillId="0" fontId="6" numFmtId="164" xfId="0" applyAlignment="1" applyBorder="1" applyFont="1" applyNumberFormat="1">
      <alignment horizontal="center" shrinkToFit="0" wrapText="1"/>
    </xf>
    <xf borderId="9" fillId="2" fontId="6" numFmtId="164" xfId="0" applyAlignment="1" applyBorder="1" applyFont="1" applyNumberFormat="1">
      <alignment vertical="center"/>
    </xf>
    <xf borderId="9" fillId="0" fontId="6" numFmtId="164" xfId="0" applyAlignment="1" applyBorder="1" applyFont="1" applyNumberFormat="1">
      <alignment horizontal="center" readingOrder="0" shrinkToFit="0" vertical="center" wrapText="1"/>
    </xf>
    <xf borderId="9" fillId="2" fontId="6" numFmtId="164" xfId="0" applyBorder="1" applyFont="1" applyNumberFormat="1"/>
    <xf borderId="9" fillId="0" fontId="6" numFmtId="9" xfId="0" applyAlignment="1" applyBorder="1" applyFont="1" applyNumberFormat="1">
      <alignment horizontal="center" shrinkToFit="0" wrapText="1"/>
    </xf>
    <xf borderId="9" fillId="0" fontId="25" numFmtId="0" xfId="0" applyAlignment="1" applyBorder="1" applyFont="1">
      <alignment horizontal="center" shrinkToFit="0" vertical="center" wrapText="1"/>
    </xf>
    <xf borderId="9" fillId="0" fontId="2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wrapText="1"/>
    </xf>
    <xf borderId="5" fillId="0" fontId="27" numFmtId="0" xfId="0" applyAlignment="1" applyBorder="1" applyFont="1">
      <alignment horizontal="center" shrinkToFit="0" wrapText="1"/>
    </xf>
    <xf borderId="5" fillId="0" fontId="6" numFmtId="166" xfId="0" applyAlignment="1" applyBorder="1" applyFont="1" applyNumberFormat="1">
      <alignment horizontal="center" shrinkToFit="0" wrapText="1"/>
    </xf>
    <xf borderId="5" fillId="0" fontId="6" numFmtId="0" xfId="0" applyAlignment="1" applyBorder="1" applyFont="1">
      <alignment horizontal="center" shrinkToFit="0" wrapText="1"/>
    </xf>
    <xf borderId="5" fillId="0" fontId="6" numFmtId="165" xfId="0" applyAlignment="1" applyBorder="1" applyFont="1" applyNumberFormat="1">
      <alignment horizontal="center" shrinkToFit="0" wrapText="1"/>
    </xf>
    <xf borderId="5" fillId="8" fontId="6" numFmtId="164" xfId="0" applyBorder="1" applyFont="1" applyNumberFormat="1"/>
    <xf quotePrefix="1" borderId="5" fillId="8" fontId="6" numFmtId="164" xfId="0" applyBorder="1" applyFont="1" applyNumberFormat="1"/>
    <xf borderId="9" fillId="0" fontId="28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shrinkToFit="0" wrapText="1"/>
    </xf>
    <xf borderId="9" fillId="8" fontId="6" numFmtId="164" xfId="0" applyBorder="1" applyFont="1" applyNumberFormat="1"/>
    <xf borderId="5" fillId="0" fontId="29" numFmtId="164" xfId="0" applyAlignment="1" applyBorder="1" applyFont="1" applyNumberFormat="1">
      <alignment horizontal="center" shrinkToFit="0" wrapText="1"/>
    </xf>
    <xf borderId="5" fillId="2" fontId="6" numFmtId="164" xfId="0" applyBorder="1" applyFont="1" applyNumberFormat="1"/>
    <xf borderId="5" fillId="2" fontId="6" numFmtId="9" xfId="0" applyBorder="1" applyFont="1" applyNumberFormat="1"/>
    <xf borderId="5" fillId="0" fontId="5" numFmtId="9" xfId="0" applyAlignment="1" applyBorder="1" applyFont="1" applyNumberFormat="1">
      <alignment horizontal="center" shrinkToFit="0" wrapText="1"/>
    </xf>
    <xf borderId="7" fillId="3" fontId="5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9" fillId="4" fontId="5" numFmtId="164" xfId="0" applyAlignment="1" applyBorder="1" applyFont="1" applyNumberFormat="1">
      <alignment horizontal="center" shrinkToFit="0" vertical="center" wrapText="1"/>
    </xf>
    <xf borderId="8" fillId="5" fontId="5" numFmtId="164" xfId="0" applyAlignment="1" applyBorder="1" applyFont="1" applyNumberFormat="1">
      <alignment horizontal="center" shrinkToFit="0" vertical="center" wrapText="1"/>
    </xf>
    <xf borderId="8" fillId="6" fontId="5" numFmtId="164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9" fillId="3" fontId="5" numFmtId="165" xfId="0" applyAlignment="1" applyBorder="1" applyFont="1" applyNumberFormat="1">
      <alignment horizontal="center" shrinkToFit="0" vertical="center" wrapText="1"/>
    </xf>
    <xf borderId="9" fillId="7" fontId="5" numFmtId="164" xfId="0" applyAlignment="1" applyBorder="1" applyFont="1" applyNumberFormat="1">
      <alignment horizontal="center" shrinkToFit="0" vertical="center" wrapText="1"/>
    </xf>
    <xf quotePrefix="1" borderId="9" fillId="7" fontId="5" numFmtId="164" xfId="0" applyAlignment="1" applyBorder="1" applyFont="1" applyNumberFormat="1">
      <alignment horizontal="center" shrinkToFit="0" vertical="center" wrapText="1"/>
    </xf>
    <xf borderId="9" fillId="0" fontId="30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5" numFmtId="9" xfId="0" applyAlignment="1" applyBorder="1" applyFont="1" applyNumberFormat="1">
      <alignment horizontal="center" shrinkToFit="0" vertical="center" wrapText="1"/>
    </xf>
    <xf borderId="9" fillId="0" fontId="6" numFmtId="164" xfId="0" applyAlignment="1" applyBorder="1" applyFont="1" applyNumberFormat="1">
      <alignment vertical="center"/>
    </xf>
    <xf borderId="5" fillId="0" fontId="6" numFmtId="0" xfId="0" applyAlignment="1" applyBorder="1" applyFont="1">
      <alignment horizontal="center" vertical="center"/>
    </xf>
    <xf borderId="9" fillId="0" fontId="6" numFmtId="166" xfId="0" applyAlignment="1" applyBorder="1" applyFont="1" applyNumberFormat="1">
      <alignment vertical="center"/>
    </xf>
    <xf borderId="9" fillId="0" fontId="6" numFmtId="165" xfId="0" applyAlignment="1" applyBorder="1" applyFont="1" applyNumberFormat="1">
      <alignment horizontal="center" shrinkToFit="0" vertical="center" wrapText="1"/>
    </xf>
    <xf borderId="5" fillId="0" fontId="6" numFmtId="9" xfId="0" applyAlignment="1" applyBorder="1" applyFont="1" applyNumberFormat="1">
      <alignment vertical="center"/>
    </xf>
    <xf borderId="5" fillId="9" fontId="31" numFmtId="164" xfId="0" applyAlignment="1" applyBorder="1" applyFill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bottom" wrapText="1"/>
    </xf>
    <xf borderId="9" fillId="0" fontId="32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center" shrinkToFit="0" vertical="bottom" wrapText="1"/>
    </xf>
    <xf borderId="5" fillId="0" fontId="33" numFmtId="164" xfId="0" applyAlignment="1" applyBorder="1" applyFont="1" applyNumberForma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1"/>
    </xf>
    <xf borderId="9" fillId="2" fontId="6" numFmtId="164" xfId="0" applyAlignment="1" applyBorder="1" applyFont="1" applyNumberFormat="1">
      <alignment vertical="bottom"/>
    </xf>
    <xf borderId="9" fillId="0" fontId="6" numFmtId="164" xfId="0" applyAlignment="1" applyBorder="1" applyFont="1" applyNumberFormat="1">
      <alignment horizontal="center" shrinkToFit="0" vertical="bottom" wrapText="1"/>
    </xf>
    <xf borderId="9" fillId="0" fontId="5" numFmtId="164" xfId="0" applyAlignment="1" applyBorder="1" applyFont="1" applyNumberFormat="1">
      <alignment horizontal="center" shrinkToFit="0" vertical="bottom" wrapText="1"/>
    </xf>
    <xf borderId="5" fillId="0" fontId="6" numFmtId="0" xfId="0" applyAlignment="1" applyBorder="1" applyFont="1">
      <alignment horizontal="center" readingOrder="0" shrinkToFit="0" wrapText="1"/>
    </xf>
    <xf borderId="5" fillId="0" fontId="34" numFmtId="0" xfId="0" applyAlignment="1" applyBorder="1" applyFont="1">
      <alignment horizontal="center" shrinkToFit="0" vertical="bottom" wrapText="1"/>
    </xf>
    <xf borderId="5" fillId="0" fontId="6" numFmtId="165" xfId="0" applyAlignment="1" applyBorder="1" applyFont="1" applyNumberFormat="1">
      <alignment horizontal="center" shrinkToFit="0" vertical="bottom" wrapText="1"/>
    </xf>
    <xf borderId="5" fillId="0" fontId="31" numFmtId="0" xfId="0" applyAlignment="1" applyBorder="1" applyFont="1">
      <alignment horizontal="center" readingOrder="0" shrinkToFit="0" vertical="center" wrapText="1"/>
    </xf>
    <xf borderId="5" fillId="0" fontId="35" numFmtId="0" xfId="0" applyAlignment="1" applyBorder="1" applyFont="1">
      <alignment horizontal="center" shrinkToFit="0" vertical="center" wrapText="1"/>
    </xf>
    <xf borderId="5" fillId="0" fontId="31" numFmtId="166" xfId="0" applyAlignment="1" applyBorder="1" applyFont="1" applyNumberFormat="1">
      <alignment horizontal="center" shrinkToFit="0" vertical="center" wrapText="1"/>
    </xf>
    <xf borderId="5" fillId="0" fontId="31" numFmtId="0" xfId="0" applyAlignment="1" applyBorder="1" applyFont="1">
      <alignment horizontal="center" shrinkToFit="0" vertical="center" wrapText="1"/>
    </xf>
    <xf borderId="5" fillId="0" fontId="36" numFmtId="165" xfId="0" applyAlignment="1" applyBorder="1" applyFont="1" applyNumberFormat="1">
      <alignment horizontal="center" shrinkToFit="0" wrapText="1"/>
    </xf>
    <xf borderId="9" fillId="0" fontId="5" numFmtId="9" xfId="0" applyAlignment="1" applyBorder="1" applyFont="1" applyNumberFormat="1">
      <alignment horizontal="center" shrinkToFit="0" wrapText="1"/>
    </xf>
    <xf borderId="5" fillId="0" fontId="37" numFmtId="0" xfId="0" applyAlignment="1" applyBorder="1" applyFont="1">
      <alignment horizontal="center" vertical="bottom"/>
    </xf>
    <xf borderId="3" fillId="0" fontId="6" numFmtId="166" xfId="0" applyAlignment="1" applyBorder="1" applyFont="1" applyNumberFormat="1">
      <alignment horizontal="center" vertical="bottom"/>
    </xf>
    <xf borderId="3" fillId="0" fontId="6" numFmtId="0" xfId="0" applyAlignment="1" applyBorder="1" applyFont="1">
      <alignment horizontal="center" shrinkToFit="0" vertical="bottom" wrapText="1"/>
    </xf>
    <xf borderId="3" fillId="0" fontId="38" numFmtId="0" xfId="0" applyAlignment="1" applyBorder="1" applyFont="1">
      <alignment horizontal="center" vertical="bottom"/>
    </xf>
    <xf borderId="3" fillId="0" fontId="6" numFmtId="165" xfId="0" applyAlignment="1" applyBorder="1" applyFont="1" applyNumberFormat="1">
      <alignment horizontal="center" vertical="bottom"/>
    </xf>
    <xf borderId="9" fillId="0" fontId="6" numFmtId="0" xfId="0" applyAlignment="1" applyBorder="1" applyFont="1">
      <alignment horizontal="center" shrinkToFit="0" wrapText="1"/>
    </xf>
    <xf borderId="9" fillId="2" fontId="6" numFmtId="9" xfId="0" applyAlignment="1" applyBorder="1" applyFont="1" applyNumberFormat="1">
      <alignment vertical="center"/>
    </xf>
    <xf borderId="9" fillId="0" fontId="6" numFmtId="166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vertical="center"/>
    </xf>
    <xf borderId="9" fillId="2" fontId="6" numFmtId="166" xfId="0" applyAlignment="1" applyBorder="1" applyFont="1" applyNumberFormat="1">
      <alignment vertical="center"/>
    </xf>
    <xf borderId="9" fillId="0" fontId="39" numFmtId="0" xfId="0" applyAlignment="1" applyBorder="1" applyFont="1">
      <alignment horizontal="center" shrinkToFit="0" wrapText="1"/>
    </xf>
    <xf borderId="5" fillId="0" fontId="6" numFmtId="167" xfId="0" applyAlignment="1" applyBorder="1" applyFont="1" applyNumberFormat="1">
      <alignment horizontal="center" shrinkToFit="0" wrapText="1"/>
    </xf>
    <xf borderId="5" fillId="0" fontId="6" numFmtId="165" xfId="0" applyAlignment="1" applyBorder="1" applyFont="1" applyNumberFormat="1">
      <alignment horizontal="center" shrinkToFit="0" wrapText="1"/>
    </xf>
    <xf quotePrefix="1" borderId="9" fillId="0" fontId="6" numFmtId="164" xfId="0" applyAlignment="1" applyBorder="1" applyFont="1" applyNumberFormat="1">
      <alignment horizontal="center" shrinkToFit="0" wrapText="1"/>
    </xf>
    <xf borderId="0" fillId="0" fontId="6" numFmtId="164" xfId="0" applyAlignment="1" applyFont="1" applyNumberFormat="1">
      <alignment horizontal="center" shrinkToFit="0" wrapText="1"/>
    </xf>
    <xf borderId="9" fillId="0" fontId="6" numFmtId="164" xfId="0" applyAlignment="1" applyBorder="1" applyFont="1" applyNumberFormat="1">
      <alignment horizontal="center"/>
    </xf>
    <xf borderId="5" fillId="0" fontId="6" numFmtId="9" xfId="0" applyAlignment="1" applyBorder="1" applyFont="1" applyNumberFormat="1">
      <alignment horizontal="center" shrinkToFit="0" wrapText="1"/>
    </xf>
    <xf borderId="8" fillId="0" fontId="6" numFmtId="164" xfId="0" applyAlignment="1" applyBorder="1" applyFont="1" applyNumberFormat="1">
      <alignment horizontal="center" shrinkToFit="0" wrapText="1"/>
    </xf>
    <xf borderId="5" fillId="0" fontId="5" numFmtId="164" xfId="0" applyAlignment="1" applyBorder="1" applyFont="1" applyNumberFormat="1">
      <alignment horizontal="center" shrinkToFit="0" wrapText="1"/>
    </xf>
    <xf borderId="5" fillId="0" fontId="40" numFmtId="0" xfId="0" applyAlignment="1" applyBorder="1" applyFont="1">
      <alignment horizontal="center" vertical="bottom"/>
    </xf>
    <xf borderId="5" fillId="0" fontId="6" numFmtId="164" xfId="0" applyAlignment="1" applyBorder="1" applyFont="1" applyNumberFormat="1">
      <alignment horizontal="center" shrinkToFit="0" vertical="bottom" wrapText="1"/>
    </xf>
    <xf borderId="5" fillId="0" fontId="41" numFmtId="164" xfId="0" applyAlignment="1" applyBorder="1" applyFont="1" applyNumberFormat="1">
      <alignment horizontal="center" vertical="bottom"/>
    </xf>
    <xf borderId="5" fillId="0" fontId="6" numFmtId="166" xfId="0" applyAlignment="1" applyBorder="1" applyFont="1" applyNumberFormat="1">
      <alignment horizontal="center" shrinkToFit="0" vertical="bottom" wrapText="1"/>
    </xf>
    <xf borderId="0" fillId="0" fontId="42" numFmtId="0" xfId="0" applyAlignment="1" applyFont="1">
      <alignment horizontal="center" vertical="bottom"/>
    </xf>
    <xf borderId="0" fillId="0" fontId="6" numFmtId="166" xfId="0" applyAlignment="1" applyFont="1" applyNumberFormat="1">
      <alignment horizontal="center" shrinkToFit="0" vertical="bottom" wrapText="1"/>
    </xf>
    <xf borderId="0" fillId="0" fontId="43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shrinkToFit="0" wrapText="1"/>
    </xf>
    <xf borderId="0" fillId="2" fontId="6" numFmtId="164" xfId="0" applyFont="1" applyNumberFormat="1"/>
    <xf borderId="0" fillId="0" fontId="5" numFmtId="164" xfId="0" applyAlignment="1" applyFont="1" applyNumberFormat="1">
      <alignment horizontal="center" shrinkToFit="0" wrapText="1"/>
    </xf>
    <xf borderId="0" fillId="0" fontId="6" numFmtId="9" xfId="0" applyAlignment="1" applyFont="1" applyNumberFormat="1">
      <alignment horizontal="center" shrinkToFit="0" wrapText="1"/>
    </xf>
    <xf borderId="0" fillId="0" fontId="6" numFmtId="165" xfId="0" applyAlignment="1" applyFont="1" applyNumberFormat="1">
      <alignment horizontal="center" shrinkToFit="0" vertical="bottom" wrapText="1"/>
    </xf>
    <xf borderId="9" fillId="0" fontId="6" numFmtId="167" xfId="0" applyAlignment="1" applyBorder="1" applyFont="1" applyNumberFormat="1">
      <alignment horizontal="center" shrinkToFit="0" vertical="center" wrapText="1"/>
    </xf>
    <xf borderId="9" fillId="0" fontId="44" numFmtId="164" xfId="0" applyAlignment="1" applyBorder="1" applyFont="1" applyNumberFormat="1">
      <alignment horizontal="center" shrinkToFit="0" vertical="center" wrapText="1"/>
    </xf>
    <xf borderId="9" fillId="0" fontId="6" numFmtId="165" xfId="0" applyAlignment="1" applyBorder="1" applyFont="1" applyNumberFormat="1">
      <alignment horizontal="center" shrinkToFit="0" vertical="center" wrapText="1"/>
    </xf>
    <xf borderId="9" fillId="2" fontId="6" numFmtId="164" xfId="0" applyAlignment="1" applyBorder="1" applyFont="1" applyNumberFormat="1">
      <alignment horizontal="center" vertical="center"/>
    </xf>
    <xf borderId="5" fillId="0" fontId="45" numFmtId="165" xfId="0" applyAlignment="1" applyBorder="1" applyFont="1" applyNumberFormat="1">
      <alignment horizontal="center" shrinkToFit="0" vertical="bottom" wrapText="1"/>
    </xf>
    <xf borderId="9" fillId="0" fontId="5" numFmtId="9" xfId="0" applyAlignment="1" applyBorder="1" applyFont="1" applyNumberFormat="1">
      <alignment horizontal="center" shrinkToFit="0" vertical="bottom" wrapText="1"/>
    </xf>
    <xf borderId="0" fillId="0" fontId="6" numFmtId="166" xfId="0" applyAlignment="1" applyFont="1" applyNumberFormat="1">
      <alignment horizontal="center" shrinkToFit="0" vertical="center" wrapText="1"/>
    </xf>
    <xf quotePrefix="1" borderId="5" fillId="0" fontId="6" numFmtId="164" xfId="0" applyAlignment="1" applyBorder="1" applyFont="1" applyNumberFormat="1">
      <alignment horizontal="center" shrinkToFit="0" wrapText="1"/>
    </xf>
    <xf borderId="9" fillId="0" fontId="46" numFmtId="164" xfId="0" applyAlignment="1" applyBorder="1" applyFont="1" applyNumberFormat="1">
      <alignment horizontal="center" shrinkToFit="0" wrapText="1"/>
    </xf>
    <xf borderId="9" fillId="0" fontId="6" numFmtId="9" xfId="0" applyAlignment="1" applyBorder="1" applyFont="1" applyNumberFormat="1">
      <alignment horizontal="center"/>
    </xf>
    <xf borderId="0" fillId="0" fontId="47" numFmtId="0" xfId="0" applyAlignment="1" applyFont="1">
      <alignment horizontal="center"/>
    </xf>
    <xf borderId="5" fillId="8" fontId="6" numFmtId="0" xfId="0" applyBorder="1" applyFont="1"/>
    <xf borderId="5" fillId="2" fontId="6" numFmtId="164" xfId="0" applyAlignment="1" applyBorder="1" applyFont="1" applyNumberFormat="1">
      <alignment vertical="bottom"/>
    </xf>
    <xf borderId="7" fillId="3" fontId="5" numFmtId="0" xfId="0" applyAlignment="1" applyBorder="1" applyFont="1">
      <alignment horizontal="center" readingOrder="0" shrinkToFit="0" vertical="center" wrapText="1"/>
    </xf>
    <xf borderId="5" fillId="0" fontId="6" numFmtId="166" xfId="0" applyAlignment="1" applyBorder="1" applyFont="1" applyNumberFormat="1">
      <alignment horizontal="center" vertical="bottom"/>
    </xf>
    <xf borderId="5" fillId="0" fontId="6" numFmtId="165" xfId="0" applyAlignment="1" applyBorder="1" applyFont="1" applyNumberFormat="1">
      <alignment horizontal="center" shrinkToFit="0" vertical="bottom" wrapText="1"/>
    </xf>
    <xf borderId="5" fillId="0" fontId="6" numFmtId="165" xfId="0" applyAlignment="1" applyBorder="1" applyFont="1" applyNumberFormat="1">
      <alignment horizontal="center" vertical="bottom"/>
    </xf>
    <xf borderId="0" fillId="0" fontId="6" numFmtId="166" xfId="0" applyAlignment="1" applyFont="1" applyNumberFormat="1">
      <alignment horizontal="center" shrinkToFit="0" wrapText="1"/>
    </xf>
    <xf borderId="6" fillId="0" fontId="6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9" fillId="0" fontId="6" numFmtId="9" xfId="0" applyAlignment="1" applyBorder="1" applyFont="1" applyNumberFormat="1">
      <alignment horizontal="center" shrinkToFit="0" vertical="bottom" wrapText="1"/>
    </xf>
    <xf borderId="6" fillId="0" fontId="6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wrapText="1"/>
    </xf>
    <xf borderId="8" fillId="0" fontId="6" numFmtId="0" xfId="0" applyAlignment="1" applyBorder="1" applyFont="1">
      <alignment horizontal="center" shrinkToFit="0" vertical="center" wrapText="1"/>
    </xf>
    <xf borderId="9" fillId="0" fontId="6" numFmtId="164" xfId="0" applyBorder="1" applyFont="1" applyNumberFormat="1"/>
    <xf borderId="5" fillId="7" fontId="48" numFmtId="0" xfId="0" applyAlignment="1" applyBorder="1" applyFont="1">
      <alignment horizontal="center" vertical="center"/>
    </xf>
    <xf borderId="5" fillId="7" fontId="48" numFmtId="168" xfId="0" applyAlignment="1" applyBorder="1" applyFont="1" applyNumberFormat="1">
      <alignment horizontal="center" vertical="center"/>
    </xf>
    <xf borderId="1" fillId="7" fontId="48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5" fillId="0" fontId="6" numFmtId="49" xfId="0" applyAlignment="1" applyBorder="1" applyFont="1" applyNumberFormat="1">
      <alignment horizontal="center" shrinkToFit="0" vertical="center" wrapText="1"/>
    </xf>
    <xf borderId="5" fillId="0" fontId="6" numFmtId="168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5" fillId="0" fontId="6" numFmtId="169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6" numFmtId="168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/>
    </xf>
    <xf borderId="5" fillId="0" fontId="6" numFmtId="170" xfId="0" applyAlignment="1" applyBorder="1" applyFont="1" applyNumberFormat="1">
      <alignment horizontal="center"/>
    </xf>
    <xf borderId="5" fillId="0" fontId="6" numFmtId="49" xfId="0" applyAlignment="1" applyBorder="1" applyFont="1" applyNumberFormat="1">
      <alignment horizontal="center"/>
    </xf>
    <xf borderId="5" fillId="0" fontId="6" numFmtId="168" xfId="0" applyAlignment="1" applyBorder="1" applyFont="1" applyNumberFormat="1">
      <alignment horizontal="center"/>
    </xf>
    <xf borderId="5" fillId="0" fontId="6" numFmtId="49" xfId="0" applyAlignment="1" applyBorder="1" applyFont="1" applyNumberFormat="1">
      <alignment horizontal="center" shrinkToFit="0" wrapText="1"/>
    </xf>
    <xf borderId="9" fillId="6" fontId="13" numFmtId="164" xfId="0" applyAlignment="1" applyBorder="1" applyFont="1" applyNumberFormat="1">
      <alignment horizontal="center" readingOrder="0" shrinkToFit="0" vertical="center" wrapText="1"/>
    </xf>
    <xf borderId="1" fillId="10" fontId="13" numFmtId="166" xfId="0" applyAlignment="1" applyBorder="1" applyFill="1" applyFont="1" applyNumberFormat="1">
      <alignment horizontal="center" shrinkToFit="0" vertical="center" wrapText="1"/>
    </xf>
    <xf borderId="5" fillId="7" fontId="13" numFmtId="166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readingOrder="0" vertical="center"/>
    </xf>
    <xf borderId="5" fillId="9" fontId="6" numFmtId="164" xfId="0" applyBorder="1" applyFont="1" applyNumberFormat="1"/>
    <xf borderId="5" fillId="9" fontId="6" numFmtId="166" xfId="0" applyBorder="1" applyFont="1" applyNumberFormat="1"/>
    <xf borderId="5" fillId="9" fontId="6" numFmtId="0" xfId="0" applyAlignment="1" applyBorder="1" applyFont="1">
      <alignment horizontal="center" shrinkToFit="0" vertical="center" wrapText="1"/>
    </xf>
    <xf borderId="5" fillId="2" fontId="31" numFmtId="164" xfId="0" applyAlignment="1" applyBorder="1" applyFont="1" applyNumberForma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5" fillId="0" fontId="31" numFmtId="164" xfId="0" applyAlignment="1" applyBorder="1" applyFont="1" applyNumberFormat="1">
      <alignment horizontal="center" readingOrder="0" shrinkToFit="0" vertical="center" wrapText="1"/>
    </xf>
    <xf borderId="5" fillId="0" fontId="31" numFmtId="164" xfId="0" applyAlignment="1" applyBorder="1" applyFont="1" applyNumberFormat="1">
      <alignment horizontal="center" shrinkToFit="0" vertical="center" wrapText="1"/>
    </xf>
    <xf borderId="5" fillId="9" fontId="31" numFmtId="166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bottom" wrapText="1"/>
    </xf>
    <xf borderId="5" fillId="9" fontId="6" numFmtId="164" xfId="0" applyAlignment="1" applyBorder="1" applyFont="1" applyNumberFormat="1">
      <alignment vertical="bottom"/>
    </xf>
    <xf borderId="5" fillId="0" fontId="6" numFmtId="164" xfId="0" applyAlignment="1" applyBorder="1" applyFont="1" applyNumberFormat="1">
      <alignment vertical="bottom"/>
    </xf>
    <xf borderId="5" fillId="0" fontId="6" numFmtId="166" xfId="0" applyAlignment="1" applyBorder="1" applyFont="1" applyNumberFormat="1">
      <alignment vertical="bottom"/>
    </xf>
    <xf borderId="5" fillId="2" fontId="6" numFmtId="9" xfId="0" applyAlignment="1" applyBorder="1" applyFont="1" applyNumberFormat="1">
      <alignment vertical="bottom"/>
    </xf>
    <xf borderId="5" fillId="0" fontId="6" numFmtId="0" xfId="0" applyAlignment="1" applyBorder="1" applyFont="1">
      <alignment vertical="bottom"/>
    </xf>
    <xf borderId="9" fillId="8" fontId="6" numFmtId="164" xfId="0" applyAlignment="1" applyBorder="1" applyFont="1" applyNumberFormat="1">
      <alignment vertical="center"/>
    </xf>
    <xf borderId="9" fillId="0" fontId="23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9" fillId="0" fontId="6" numFmtId="0" xfId="0" applyAlignment="1" applyBorder="1" applyFont="1">
      <alignment readingOrder="0" vertical="center"/>
    </xf>
    <xf borderId="9" fillId="0" fontId="6" numFmtId="164" xfId="0" applyAlignment="1" applyBorder="1" applyFont="1" applyNumberFormat="1">
      <alignment horizontal="center" vertical="center"/>
    </xf>
    <xf borderId="9" fillId="0" fontId="6" numFmtId="9" xfId="0" applyAlignment="1" applyBorder="1" applyFont="1" applyNumberFormat="1">
      <alignment horizontal="center" vertical="center"/>
    </xf>
    <xf borderId="0" fillId="0" fontId="49" numFmtId="0" xfId="0" applyAlignment="1" applyFont="1">
      <alignment horizontal="center" vertical="center"/>
    </xf>
    <xf borderId="8" fillId="0" fontId="6" numFmtId="164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wrapText="1"/>
    </xf>
    <xf borderId="5" fillId="0" fontId="50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vertical="bottom"/>
    </xf>
    <xf borderId="1" fillId="2" fontId="4" numFmtId="0" xfId="0" applyAlignment="1" applyBorder="1" applyFont="1">
      <alignment horizontal="center" shrinkToFit="0" vertical="bottom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1" fillId="0" fontId="51" numFmtId="0" xfId="0" applyAlignment="1" applyBorder="1" applyFont="1">
      <alignment horizontal="center" shrinkToFit="0" vertical="center" wrapText="1"/>
    </xf>
    <xf borderId="5" fillId="0" fontId="2" numFmtId="168" xfId="0" applyAlignment="1" applyBorder="1" applyFont="1" applyNumberFormat="1">
      <alignment horizontal="center" shrinkToFit="0" vertical="center" wrapText="1"/>
    </xf>
    <xf borderId="5" fillId="0" fontId="2" numFmtId="49" xfId="0" applyAlignment="1" applyBorder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169" xfId="0" applyAlignment="1" applyFont="1" applyNumberFormat="1">
      <alignment horizontal="center" shrinkToFit="0" vertical="center" wrapText="1"/>
    </xf>
    <xf borderId="0" fillId="0" fontId="2" numFmtId="170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999999"/>
          <bgColor rgb="FF999999"/>
        </patternFill>
      </fill>
      <border/>
    </dxf>
    <dxf>
      <font>
        <color rgb="FF999999"/>
      </font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TestimonyPortfolioIndors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ayunghadid/" TargetMode="External"/><Relationship Id="rId194" Type="http://schemas.openxmlformats.org/officeDocument/2006/relationships/hyperlink" Target="https://www.instagram.com/caesadhanisa?igsh=dmh1ejFnbGZ4dm1p" TargetMode="External"/><Relationship Id="rId193" Type="http://schemas.openxmlformats.org/officeDocument/2006/relationships/hyperlink" Target="https://www.tiktok.com/@febignwn?is_from_webapp=1&amp;sender_device=pc" TargetMode="External"/><Relationship Id="rId192" Type="http://schemas.openxmlformats.org/officeDocument/2006/relationships/hyperlink" Target="https://www.instagram.com/febignwn?igsh=NWYxc2FxbmM4OWVh" TargetMode="External"/><Relationship Id="rId191" Type="http://schemas.openxmlformats.org/officeDocument/2006/relationships/hyperlink" Target="https://www.tiktok.com/@fachrulhadid?is_from_webapp=1&amp;sender_device=pc" TargetMode="External"/><Relationship Id="rId187" Type="http://schemas.openxmlformats.org/officeDocument/2006/relationships/hyperlink" Target="https://www.tiktok.com/@ferraagustina2?is_from_webapp=1&amp;sender_device=pc" TargetMode="External"/><Relationship Id="rId186" Type="http://schemas.openxmlformats.org/officeDocument/2006/relationships/hyperlink" Target="https://www.instagram.com/ferra_agustina?igsh=MWQ4MnBlbDhuZGQ4bA==" TargetMode="External"/><Relationship Id="rId185" Type="http://schemas.openxmlformats.org/officeDocument/2006/relationships/hyperlink" Target="https://www.tiktok.com/@niaghan?is_from_webapp=1&amp;sender_device=pc" TargetMode="External"/><Relationship Id="rId184" Type="http://schemas.openxmlformats.org/officeDocument/2006/relationships/hyperlink" Target="https://www.instagram.com/niaghania?igsh=MTEzNWQ1M3o2b2N5dA==" TargetMode="External"/><Relationship Id="rId189" Type="http://schemas.openxmlformats.org/officeDocument/2006/relationships/hyperlink" Target="https://www.tiktok.com/@carlenedoraa?is_from_webapp=1&amp;sender_device=pc" TargetMode="External"/><Relationship Id="rId188" Type="http://schemas.openxmlformats.org/officeDocument/2006/relationships/hyperlink" Target="https://www.instagram.com/carlenedoraa?igsh=MTJmbXUzM3o4MTUybQ==" TargetMode="External"/><Relationship Id="rId183" Type="http://schemas.openxmlformats.org/officeDocument/2006/relationships/hyperlink" Target="https://www.tiktok.com/@harbie16?is_from_webapp=1&amp;sender_device=pc" TargetMode="External"/><Relationship Id="rId182" Type="http://schemas.openxmlformats.org/officeDocument/2006/relationships/hyperlink" Target="https://www.instagram.com/harbie16?igsh=bm96aGpjZ2xkNXFk" TargetMode="External"/><Relationship Id="rId181" Type="http://schemas.openxmlformats.org/officeDocument/2006/relationships/hyperlink" Target="https://www.tiktok.com/@opahgalareal?is_from_webapp=1&amp;sender_device=pc" TargetMode="External"/><Relationship Id="rId180" Type="http://schemas.openxmlformats.org/officeDocument/2006/relationships/hyperlink" Target="https://www.instagram.com/opah_faisal?igsh=cmdueGN3OGprbGNr" TargetMode="External"/><Relationship Id="rId176" Type="http://schemas.openxmlformats.org/officeDocument/2006/relationships/hyperlink" Target="https://www.instagram.com/shadirafirdausii?igsh=Nm5oamV3ZjViNnp2" TargetMode="External"/><Relationship Id="rId297" Type="http://schemas.openxmlformats.org/officeDocument/2006/relationships/hyperlink" Target="http://tiktok.com/@mardatillahika" TargetMode="External"/><Relationship Id="rId175" Type="http://schemas.openxmlformats.org/officeDocument/2006/relationships/hyperlink" Target="https://www.tiktok.com/@skylarsveta?is_from_webapp=1&amp;sender_device=pc" TargetMode="External"/><Relationship Id="rId296" Type="http://schemas.openxmlformats.org/officeDocument/2006/relationships/hyperlink" Target="http://instagram.com/mardatillahika" TargetMode="External"/><Relationship Id="rId174" Type="http://schemas.openxmlformats.org/officeDocument/2006/relationships/hyperlink" Target="https://www.instagram.com/skylarsveta?igsh=OW12MHJibWZ1eHlj" TargetMode="External"/><Relationship Id="rId295" Type="http://schemas.openxmlformats.org/officeDocument/2006/relationships/hyperlink" Target="http://tiktok.com/@winnibarus" TargetMode="External"/><Relationship Id="rId173" Type="http://schemas.openxmlformats.org/officeDocument/2006/relationships/hyperlink" Target="https://www.tiktok.com/@rachelvennya" TargetMode="External"/><Relationship Id="rId294" Type="http://schemas.openxmlformats.org/officeDocument/2006/relationships/hyperlink" Target="http://instagram.com/winnibarus" TargetMode="External"/><Relationship Id="rId179" Type="http://schemas.openxmlformats.org/officeDocument/2006/relationships/hyperlink" Target="https://www.tiktok.com/@dewizuhriati?is_from_webapp=1&amp;sender_device=pc" TargetMode="External"/><Relationship Id="rId178" Type="http://schemas.openxmlformats.org/officeDocument/2006/relationships/hyperlink" Target="https://www.instagram.com/dewizuhriati?igsh=MXc1anQwcmNiNXVydQ==" TargetMode="External"/><Relationship Id="rId299" Type="http://schemas.openxmlformats.org/officeDocument/2006/relationships/hyperlink" Target="http://instagram.com/amandamanopo" TargetMode="External"/><Relationship Id="rId177" Type="http://schemas.openxmlformats.org/officeDocument/2006/relationships/hyperlink" Target="https://www.tiktok.com/@shaturday?is_from_webapp=1&amp;sender_device=pc" TargetMode="External"/><Relationship Id="rId298" Type="http://schemas.openxmlformats.org/officeDocument/2006/relationships/hyperlink" Target="https://www.instagram.com/amihandmade/" TargetMode="External"/><Relationship Id="rId198" Type="http://schemas.openxmlformats.org/officeDocument/2006/relationships/hyperlink" Target="https://www.instagram.com/icalfariss" TargetMode="External"/><Relationship Id="rId197" Type="http://schemas.openxmlformats.org/officeDocument/2006/relationships/hyperlink" Target="https://www.tiktok.com/@galyasgeulis?is_from_webapp=1&amp;sender_device=pc" TargetMode="External"/><Relationship Id="rId196" Type="http://schemas.openxmlformats.org/officeDocument/2006/relationships/hyperlink" Target="https://www.instagram.com/galyasgeulis?igsh=MTA4cjMzMG9oN2didQ==" TargetMode="External"/><Relationship Id="rId195" Type="http://schemas.openxmlformats.org/officeDocument/2006/relationships/hyperlink" Target="https://www.tiktok.com/@caesadhanisa?is_from_webapp=1&amp;sender_device=pc" TargetMode="External"/><Relationship Id="rId199" Type="http://schemas.openxmlformats.org/officeDocument/2006/relationships/hyperlink" Target="https://www.tiktok.com/@icalfariss" TargetMode="External"/><Relationship Id="rId150" Type="http://schemas.openxmlformats.org/officeDocument/2006/relationships/hyperlink" Target="https://www.instagram.com/molita_lin" TargetMode="External"/><Relationship Id="rId271" Type="http://schemas.openxmlformats.org/officeDocument/2006/relationships/hyperlink" Target="https://www.tiktok.com/@farhanrn__" TargetMode="External"/><Relationship Id="rId392" Type="http://schemas.openxmlformats.org/officeDocument/2006/relationships/hyperlink" Target="https://www.instagram.com/risyabrabo?igsh=MWRmazJuZHhsZWdqdg==" TargetMode="External"/><Relationship Id="rId270" Type="http://schemas.openxmlformats.org/officeDocument/2006/relationships/hyperlink" Target="http://instagram.com/farhanrn__" TargetMode="External"/><Relationship Id="rId391" Type="http://schemas.openxmlformats.org/officeDocument/2006/relationships/hyperlink" Target="https://www.tiktok.com/@afifahriyad?_r=1&amp;_t=ZS-95YSI8qdqiI" TargetMode="External"/><Relationship Id="rId390" Type="http://schemas.openxmlformats.org/officeDocument/2006/relationships/hyperlink" Target="https://www.instagram.com/afifahriyad?igsh=MWVjcnA3cDg5bGVjMg==" TargetMode="External"/><Relationship Id="rId1" Type="http://schemas.openxmlformats.org/officeDocument/2006/relationships/hyperlink" Target="https://www.instagram.com/rklopperr?igsh=MWlyamtsM2FlY3UzMQ==" TargetMode="External"/><Relationship Id="rId2" Type="http://schemas.openxmlformats.org/officeDocument/2006/relationships/hyperlink" Target="http://tiktok.com/@rkloppperr" TargetMode="External"/><Relationship Id="rId3" Type="http://schemas.openxmlformats.org/officeDocument/2006/relationships/hyperlink" Target="http://instagram.com/hesfinatia" TargetMode="External"/><Relationship Id="rId149" Type="http://schemas.openxmlformats.org/officeDocument/2006/relationships/hyperlink" Target="https://www.tiktok.com/@salmonbellys" TargetMode="External"/><Relationship Id="rId4" Type="http://schemas.openxmlformats.org/officeDocument/2006/relationships/hyperlink" Target="http://tiktok.com/@hesfinatia" TargetMode="External"/><Relationship Id="rId148" Type="http://schemas.openxmlformats.org/officeDocument/2006/relationships/hyperlink" Target="https://www.instagram.com/dianarsds" TargetMode="External"/><Relationship Id="rId269" Type="http://schemas.openxmlformats.org/officeDocument/2006/relationships/hyperlink" Target="https://www.tiktok.com/@pardonmypresence?lang=en" TargetMode="External"/><Relationship Id="rId9" Type="http://schemas.openxmlformats.org/officeDocument/2006/relationships/hyperlink" Target="https://www.instagram.com/gelialinn?igsh=c2M2Z2cxZGNmdXF1" TargetMode="External"/><Relationship Id="rId143" Type="http://schemas.openxmlformats.org/officeDocument/2006/relationships/hyperlink" Target="http://tiktok.com/@sanntania" TargetMode="External"/><Relationship Id="rId264" Type="http://schemas.openxmlformats.org/officeDocument/2006/relationships/hyperlink" Target="https://www.instagram.com/holaofadlan/" TargetMode="External"/><Relationship Id="rId385" Type="http://schemas.openxmlformats.org/officeDocument/2006/relationships/hyperlink" Target="https://www.instagram.com/aamandazahra?igsh=MTIycGs1eXgxMm1nOA==" TargetMode="External"/><Relationship Id="rId142" Type="http://schemas.openxmlformats.org/officeDocument/2006/relationships/hyperlink" Target="https://www.instagram.com/santaniatiofelo/" TargetMode="External"/><Relationship Id="rId263" Type="http://schemas.openxmlformats.org/officeDocument/2006/relationships/hyperlink" Target="https://www.tiktok.com/@gilangsamiadji?lang=en" TargetMode="External"/><Relationship Id="rId384" Type="http://schemas.openxmlformats.org/officeDocument/2006/relationships/hyperlink" Target="https://www.tiktok.com/@princess.kinoi?_r=1&amp;_t=ZS-95YQYYPgWw6" TargetMode="External"/><Relationship Id="rId141" Type="http://schemas.openxmlformats.org/officeDocument/2006/relationships/hyperlink" Target="http://tiktok.com/@mike__frans" TargetMode="External"/><Relationship Id="rId262" Type="http://schemas.openxmlformats.org/officeDocument/2006/relationships/hyperlink" Target="https://www.instagram.com/gilangsamiadji" TargetMode="External"/><Relationship Id="rId383" Type="http://schemas.openxmlformats.org/officeDocument/2006/relationships/hyperlink" Target="http://tiktok.com/@tituschrst" TargetMode="External"/><Relationship Id="rId140" Type="http://schemas.openxmlformats.org/officeDocument/2006/relationships/hyperlink" Target="http://instagram.com/mike__frans" TargetMode="External"/><Relationship Id="rId261" Type="http://schemas.openxmlformats.org/officeDocument/2006/relationships/hyperlink" Target="https://www.tiktok.com/@emilmario69?lang=en" TargetMode="External"/><Relationship Id="rId382" Type="http://schemas.openxmlformats.org/officeDocument/2006/relationships/hyperlink" Target="http://instagram.com/tituschrst" TargetMode="External"/><Relationship Id="rId5" Type="http://schemas.openxmlformats.org/officeDocument/2006/relationships/hyperlink" Target="http://instagram.com/saritiw" TargetMode="External"/><Relationship Id="rId147" Type="http://schemas.openxmlformats.org/officeDocument/2006/relationships/hyperlink" Target="http://tiktok.com/@yolanyoo" TargetMode="External"/><Relationship Id="rId268" Type="http://schemas.openxmlformats.org/officeDocument/2006/relationships/hyperlink" Target="https://www.instagram.com/kaffanugroho" TargetMode="External"/><Relationship Id="rId389" Type="http://schemas.openxmlformats.org/officeDocument/2006/relationships/hyperlink" Target="https://www.tiktok.com/@sillacaroline?_r=1&amp;_t=ZS-95YQn7LQRui" TargetMode="External"/><Relationship Id="rId6" Type="http://schemas.openxmlformats.org/officeDocument/2006/relationships/hyperlink" Target="http://tiktok.com/@sariendahpratiwi" TargetMode="External"/><Relationship Id="rId146" Type="http://schemas.openxmlformats.org/officeDocument/2006/relationships/hyperlink" Target="http://instagram.com/yolanyoo" TargetMode="External"/><Relationship Id="rId267" Type="http://schemas.openxmlformats.org/officeDocument/2006/relationships/hyperlink" Target="http://tiktok.com/@__ehan" TargetMode="External"/><Relationship Id="rId388" Type="http://schemas.openxmlformats.org/officeDocument/2006/relationships/hyperlink" Target="https://www.instagram.com/sillacaroline?igsh=MTNhZTlsYzZ3N2VyNA==" TargetMode="External"/><Relationship Id="rId7" Type="http://schemas.openxmlformats.org/officeDocument/2006/relationships/hyperlink" Target="https://www.instagram.com/nadianraulya?igsh=b3VlaXE3ZW53cDNu" TargetMode="External"/><Relationship Id="rId145" Type="http://schemas.openxmlformats.org/officeDocument/2006/relationships/hyperlink" Target="http://tiktok.com/@stefanytalita" TargetMode="External"/><Relationship Id="rId266" Type="http://schemas.openxmlformats.org/officeDocument/2006/relationships/hyperlink" Target="http://instagram.com/__ehan" TargetMode="External"/><Relationship Id="rId387" Type="http://schemas.openxmlformats.org/officeDocument/2006/relationships/hyperlink" Target="https://www.tiktok.com/@sellacarolina?_r=1&amp;_t=ZS-95YQl3LRsM4" TargetMode="External"/><Relationship Id="rId8" Type="http://schemas.openxmlformats.org/officeDocument/2006/relationships/hyperlink" Target="https://www.tiktok.com/@nadianuraulyaa?is_from_webapp=1&amp;sender_device=pc" TargetMode="External"/><Relationship Id="rId144" Type="http://schemas.openxmlformats.org/officeDocument/2006/relationships/hyperlink" Target="https://www.instagram.com/stefanytalita/" TargetMode="External"/><Relationship Id="rId265" Type="http://schemas.openxmlformats.org/officeDocument/2006/relationships/hyperlink" Target="https://www.tiktok.com/@fadlanholao?lang=en" TargetMode="External"/><Relationship Id="rId386" Type="http://schemas.openxmlformats.org/officeDocument/2006/relationships/hyperlink" Target="https://www.instagram.com/sellacarolina?igsh=Znh6OWR1N3hyb3Rh" TargetMode="External"/><Relationship Id="rId260" Type="http://schemas.openxmlformats.org/officeDocument/2006/relationships/hyperlink" Target="http://instagram.com/emilmari0" TargetMode="External"/><Relationship Id="rId381" Type="http://schemas.openxmlformats.org/officeDocument/2006/relationships/hyperlink" Target="http://tiktok.com/@kesyasunnn" TargetMode="External"/><Relationship Id="rId380" Type="http://schemas.openxmlformats.org/officeDocument/2006/relationships/hyperlink" Target="http://instagram.com/kesyasunjoyo" TargetMode="External"/><Relationship Id="rId139" Type="http://schemas.openxmlformats.org/officeDocument/2006/relationships/hyperlink" Target="http://tiktok.com/@jehianps" TargetMode="External"/><Relationship Id="rId138" Type="http://schemas.openxmlformats.org/officeDocument/2006/relationships/hyperlink" Target="http://instagram.com/bodyfitbyagus" TargetMode="External"/><Relationship Id="rId259" Type="http://schemas.openxmlformats.org/officeDocument/2006/relationships/hyperlink" Target="http://tiktok.com/@utepsunarya" TargetMode="External"/><Relationship Id="rId137" Type="http://schemas.openxmlformats.org/officeDocument/2006/relationships/hyperlink" Target="http://tiktok.com/@jehianps" TargetMode="External"/><Relationship Id="rId258" Type="http://schemas.openxmlformats.org/officeDocument/2006/relationships/hyperlink" Target="http://instagram.com/utepsunarya" TargetMode="External"/><Relationship Id="rId379" Type="http://schemas.openxmlformats.org/officeDocument/2006/relationships/hyperlink" Target="http://tiktok.com/@femimaringka" TargetMode="External"/><Relationship Id="rId132" Type="http://schemas.openxmlformats.org/officeDocument/2006/relationships/hyperlink" Target="http://instagram.com/jehianps" TargetMode="External"/><Relationship Id="rId253" Type="http://schemas.openxmlformats.org/officeDocument/2006/relationships/hyperlink" Target="http://tiktok.com/@bellakukutanesia" TargetMode="External"/><Relationship Id="rId374" Type="http://schemas.openxmlformats.org/officeDocument/2006/relationships/hyperlink" Target="http://instagram.com/amadeaseptia" TargetMode="External"/><Relationship Id="rId131" Type="http://schemas.openxmlformats.org/officeDocument/2006/relationships/hyperlink" Target="http://tiktok.com/@aalmassaid" TargetMode="External"/><Relationship Id="rId252" Type="http://schemas.openxmlformats.org/officeDocument/2006/relationships/hyperlink" Target="http://instagram.com/bellatanesiaa" TargetMode="External"/><Relationship Id="rId373" Type="http://schemas.openxmlformats.org/officeDocument/2006/relationships/hyperlink" Target="http://tiktok.com/@restudehin" TargetMode="External"/><Relationship Id="rId130" Type="http://schemas.openxmlformats.org/officeDocument/2006/relationships/hyperlink" Target="http://instagram.com/aaliyah.massaid" TargetMode="External"/><Relationship Id="rId251" Type="http://schemas.openxmlformats.org/officeDocument/2006/relationships/hyperlink" Target="http://tiktok.com/@meyandjoe" TargetMode="External"/><Relationship Id="rId372" Type="http://schemas.openxmlformats.org/officeDocument/2006/relationships/hyperlink" Target="http://instagram.com/mrleizhu" TargetMode="External"/><Relationship Id="rId250" Type="http://schemas.openxmlformats.org/officeDocument/2006/relationships/hyperlink" Target="http://instagram.com/meyandjoe_" TargetMode="External"/><Relationship Id="rId371" Type="http://schemas.openxmlformats.org/officeDocument/2006/relationships/hyperlink" Target="http://tiktok.com/@hirofie" TargetMode="External"/><Relationship Id="rId136" Type="http://schemas.openxmlformats.org/officeDocument/2006/relationships/hyperlink" Target="http://instagram.com/claratandean" TargetMode="External"/><Relationship Id="rId257" Type="http://schemas.openxmlformats.org/officeDocument/2006/relationships/hyperlink" Target="http://tiktok.com/@idijafar" TargetMode="External"/><Relationship Id="rId378" Type="http://schemas.openxmlformats.org/officeDocument/2006/relationships/hyperlink" Target="http://instagram.com/femimaringka" TargetMode="External"/><Relationship Id="rId135" Type="http://schemas.openxmlformats.org/officeDocument/2006/relationships/hyperlink" Target="http://tiktok.com/@jehianps" TargetMode="External"/><Relationship Id="rId256" Type="http://schemas.openxmlformats.org/officeDocument/2006/relationships/hyperlink" Target="http://instagram.com/idijafar" TargetMode="External"/><Relationship Id="rId377" Type="http://schemas.openxmlformats.org/officeDocument/2006/relationships/hyperlink" Target="http://tiktok.com/@kevinmillenio" TargetMode="External"/><Relationship Id="rId134" Type="http://schemas.openxmlformats.org/officeDocument/2006/relationships/hyperlink" Target="http://instagram.com/emyaghnia" TargetMode="External"/><Relationship Id="rId255" Type="http://schemas.openxmlformats.org/officeDocument/2006/relationships/hyperlink" Target="https://www.tiktok.com/@farida.nurhan?lang=en" TargetMode="External"/><Relationship Id="rId376" Type="http://schemas.openxmlformats.org/officeDocument/2006/relationships/hyperlink" Target="http://instagram.com/kevin_millenio" TargetMode="External"/><Relationship Id="rId133" Type="http://schemas.openxmlformats.org/officeDocument/2006/relationships/hyperlink" Target="http://tiktok.com/@jehianps" TargetMode="External"/><Relationship Id="rId254" Type="http://schemas.openxmlformats.org/officeDocument/2006/relationships/hyperlink" Target="https://www.instagram.com/farida.nurhan/" TargetMode="External"/><Relationship Id="rId375" Type="http://schemas.openxmlformats.org/officeDocument/2006/relationships/hyperlink" Target="http://tiktok.com/@amadeaseptiaa" TargetMode="External"/><Relationship Id="rId172" Type="http://schemas.openxmlformats.org/officeDocument/2006/relationships/hyperlink" Target="http://instagram.com/rachelvennya" TargetMode="External"/><Relationship Id="rId293" Type="http://schemas.openxmlformats.org/officeDocument/2006/relationships/hyperlink" Target="http://tiktok.com/@putrihabibierecipes" TargetMode="External"/><Relationship Id="rId171" Type="http://schemas.openxmlformats.org/officeDocument/2006/relationships/hyperlink" Target="http://tiktok.com/@kuliner_bks" TargetMode="External"/><Relationship Id="rId292" Type="http://schemas.openxmlformats.org/officeDocument/2006/relationships/hyperlink" Target="http://instagram.com/putrihabibie" TargetMode="External"/><Relationship Id="rId170" Type="http://schemas.openxmlformats.org/officeDocument/2006/relationships/hyperlink" Target="http://instagram.com/kuliner_bekasi" TargetMode="External"/><Relationship Id="rId291" Type="http://schemas.openxmlformats.org/officeDocument/2006/relationships/hyperlink" Target="https://www.tiktok.com/@dapurmukbang?lang=en" TargetMode="External"/><Relationship Id="rId290" Type="http://schemas.openxmlformats.org/officeDocument/2006/relationships/hyperlink" Target="https://www.instagram.com/dapurmukbang99/" TargetMode="External"/><Relationship Id="rId165" Type="http://schemas.openxmlformats.org/officeDocument/2006/relationships/hyperlink" Target="https://www.tiktok.com/@keziaaletheia" TargetMode="External"/><Relationship Id="rId286" Type="http://schemas.openxmlformats.org/officeDocument/2006/relationships/hyperlink" Target="https://www.instagram.com/riniandriyanii/" TargetMode="External"/><Relationship Id="rId164" Type="http://schemas.openxmlformats.org/officeDocument/2006/relationships/hyperlink" Target="https://www.instagram.com/kezialetheia/" TargetMode="External"/><Relationship Id="rId285" Type="http://schemas.openxmlformats.org/officeDocument/2006/relationships/hyperlink" Target="https://www.tiktok.com/@adelscooking?lang=en" TargetMode="External"/><Relationship Id="rId163" Type="http://schemas.openxmlformats.org/officeDocument/2006/relationships/hyperlink" Target="https://www.tiktok.com/@jenniferchrstie" TargetMode="External"/><Relationship Id="rId284" Type="http://schemas.openxmlformats.org/officeDocument/2006/relationships/hyperlink" Target="https://www.instagram.com/adelscooking/" TargetMode="External"/><Relationship Id="rId162" Type="http://schemas.openxmlformats.org/officeDocument/2006/relationships/hyperlink" Target="https://www.instagram.com/jenniferchrstie/" TargetMode="External"/><Relationship Id="rId283" Type="http://schemas.openxmlformats.org/officeDocument/2006/relationships/hyperlink" Target="http://tiktok.com/@dictionarei" TargetMode="External"/><Relationship Id="rId169" Type="http://schemas.openxmlformats.org/officeDocument/2006/relationships/hyperlink" Target="https://www.tiktok.com/@reginaphx" TargetMode="External"/><Relationship Id="rId168" Type="http://schemas.openxmlformats.org/officeDocument/2006/relationships/hyperlink" Target="https://www.instagram.com/reginaaphx" TargetMode="External"/><Relationship Id="rId289" Type="http://schemas.openxmlformats.org/officeDocument/2006/relationships/hyperlink" Target="https://www.tiktok.com/@iranandha?lang=en" TargetMode="External"/><Relationship Id="rId167" Type="http://schemas.openxmlformats.org/officeDocument/2006/relationships/hyperlink" Target="https://www.tiktok.com/@yourminbite" TargetMode="External"/><Relationship Id="rId288" Type="http://schemas.openxmlformats.org/officeDocument/2006/relationships/hyperlink" Target="https://www.instagram.com/iranndha/" TargetMode="External"/><Relationship Id="rId166" Type="http://schemas.openxmlformats.org/officeDocument/2006/relationships/hyperlink" Target="https://www.instagram.com/yourminbite/" TargetMode="External"/><Relationship Id="rId287" Type="http://schemas.openxmlformats.org/officeDocument/2006/relationships/hyperlink" Target="https://www.tiktok.com/@riniandriyanii?lang=en" TargetMode="External"/><Relationship Id="rId161" Type="http://schemas.openxmlformats.org/officeDocument/2006/relationships/hyperlink" Target="https://www.tiktok.com/@rucenuenda1?is_from_webapp=1&amp;sender_device=pc" TargetMode="External"/><Relationship Id="rId282" Type="http://schemas.openxmlformats.org/officeDocument/2006/relationships/hyperlink" Target="http://instagram.com/reizukaaari" TargetMode="External"/><Relationship Id="rId160" Type="http://schemas.openxmlformats.org/officeDocument/2006/relationships/hyperlink" Target="https://www.instagram.com/rucenuenda?igsh=MWk4ZGliNDYwbG10cg==" TargetMode="External"/><Relationship Id="rId281" Type="http://schemas.openxmlformats.org/officeDocument/2006/relationships/hyperlink" Target="http://tiktok.com/@unadembler25" TargetMode="External"/><Relationship Id="rId280" Type="http://schemas.openxmlformats.org/officeDocument/2006/relationships/hyperlink" Target="http://instagram.com/unadembler" TargetMode="External"/><Relationship Id="rId159" Type="http://schemas.openxmlformats.org/officeDocument/2006/relationships/hyperlink" Target="http://tiktok.com/@abel_cantika" TargetMode="External"/><Relationship Id="rId154" Type="http://schemas.openxmlformats.org/officeDocument/2006/relationships/hyperlink" Target="https://www.instagram.com/gelangelicca?utm_source=ig_web_button_share_sheet&amp;igsh=ZDNlZDc0MzIxNw==" TargetMode="External"/><Relationship Id="rId275" Type="http://schemas.openxmlformats.org/officeDocument/2006/relationships/hyperlink" Target="http://tiktok.com/@nonikmenieszt" TargetMode="External"/><Relationship Id="rId153" Type="http://schemas.openxmlformats.org/officeDocument/2006/relationships/hyperlink" Target="https://www.tiktok.com/@yuliabaltschun?is_from_webapp=1&amp;sender_device=pc" TargetMode="External"/><Relationship Id="rId274" Type="http://schemas.openxmlformats.org/officeDocument/2006/relationships/hyperlink" Target="http://instagram.com/nonikmeniesszt" TargetMode="External"/><Relationship Id="rId152" Type="http://schemas.openxmlformats.org/officeDocument/2006/relationships/hyperlink" Target="https://www.instagram.com/yuliabaltschun?utm_source=ig_web_button_share_sheet&amp;igsh=ZDNlZDc0MzIxNw==" TargetMode="External"/><Relationship Id="rId273" Type="http://schemas.openxmlformats.org/officeDocument/2006/relationships/hyperlink" Target="http://tiktok.com/@reyyyz" TargetMode="External"/><Relationship Id="rId394" Type="http://schemas.openxmlformats.org/officeDocument/2006/relationships/drawing" Target="../drawings/drawing2.xml"/><Relationship Id="rId151" Type="http://schemas.openxmlformats.org/officeDocument/2006/relationships/hyperlink" Target="http://tiktok.com/@molita.lin" TargetMode="External"/><Relationship Id="rId272" Type="http://schemas.openxmlformats.org/officeDocument/2006/relationships/hyperlink" Target="https://www.instagram.com/abipraya28" TargetMode="External"/><Relationship Id="rId393" Type="http://schemas.openxmlformats.org/officeDocument/2006/relationships/hyperlink" Target="https://www.tiktok.com/@risyabrabo9?_r=1&amp;_t=ZS-95YSPUPh9Tc" TargetMode="External"/><Relationship Id="rId158" Type="http://schemas.openxmlformats.org/officeDocument/2006/relationships/hyperlink" Target="http://instagram.com/abellyc" TargetMode="External"/><Relationship Id="rId279" Type="http://schemas.openxmlformats.org/officeDocument/2006/relationships/hyperlink" Target="http://tiktok.com/@fahiramira" TargetMode="External"/><Relationship Id="rId157" Type="http://schemas.openxmlformats.org/officeDocument/2006/relationships/hyperlink" Target="https://www.tiktok.com/@gabybsaputraa?is_from_webapp=1&amp;sender_device=pc" TargetMode="External"/><Relationship Id="rId278" Type="http://schemas.openxmlformats.org/officeDocument/2006/relationships/hyperlink" Target="http://instagram.com/fahiramira" TargetMode="External"/><Relationship Id="rId156" Type="http://schemas.openxmlformats.org/officeDocument/2006/relationships/hyperlink" Target="https://www.instagram.com/gabybsaputra?utm_source=ig_web_button_share_sheet&amp;igsh=ZDNlZDc0MzIxNw==" TargetMode="External"/><Relationship Id="rId277" Type="http://schemas.openxmlformats.org/officeDocument/2006/relationships/hyperlink" Target="http://tiktok.com/@sarahtumiwa" TargetMode="External"/><Relationship Id="rId155" Type="http://schemas.openxmlformats.org/officeDocument/2006/relationships/hyperlink" Target="https://www.tiktok.com/@gelangelicca?is_from_webapp=1&amp;sender_device=pc" TargetMode="External"/><Relationship Id="rId276" Type="http://schemas.openxmlformats.org/officeDocument/2006/relationships/hyperlink" Target="http://instagram.com/sarahtumiwa" TargetMode="External"/><Relationship Id="rId40" Type="http://schemas.openxmlformats.org/officeDocument/2006/relationships/hyperlink" Target="https://www.tiktok.com/@almineta?is_from_webapp=1&amp;sender_device=pc" TargetMode="External"/><Relationship Id="rId42" Type="http://schemas.openxmlformats.org/officeDocument/2006/relationships/hyperlink" Target="http://tiktok.com/@elyanisaa" TargetMode="External"/><Relationship Id="rId41" Type="http://schemas.openxmlformats.org/officeDocument/2006/relationships/hyperlink" Target="http://instagram.com/elyanisa_" TargetMode="External"/><Relationship Id="rId44" Type="http://schemas.openxmlformats.org/officeDocument/2006/relationships/hyperlink" Target="http://tiktok.com/@bellzky16" TargetMode="External"/><Relationship Id="rId43" Type="http://schemas.openxmlformats.org/officeDocument/2006/relationships/hyperlink" Target="http://instagram.com/bellzky16" TargetMode="External"/><Relationship Id="rId46" Type="http://schemas.openxmlformats.org/officeDocument/2006/relationships/hyperlink" Target="http://tiktok.com/@rizkeeeyyyyyy" TargetMode="External"/><Relationship Id="rId45" Type="http://schemas.openxmlformats.org/officeDocument/2006/relationships/hyperlink" Target="http://instagram.com/rizkeeeyyyyyyyy" TargetMode="External"/><Relationship Id="rId48" Type="http://schemas.openxmlformats.org/officeDocument/2006/relationships/hyperlink" Target="https://www.tiktok.com/@aidnnn2?lang=en" TargetMode="External"/><Relationship Id="rId47" Type="http://schemas.openxmlformats.org/officeDocument/2006/relationships/hyperlink" Target="https://www.instagram.com/faridnuralimm_" TargetMode="External"/><Relationship Id="rId49" Type="http://schemas.openxmlformats.org/officeDocument/2006/relationships/hyperlink" Target="https://www.instagram.com/hellodhanii" TargetMode="External"/><Relationship Id="rId31" Type="http://schemas.openxmlformats.org/officeDocument/2006/relationships/hyperlink" Target="http://instagram.com/aisyah_putri17" TargetMode="External"/><Relationship Id="rId30" Type="http://schemas.openxmlformats.org/officeDocument/2006/relationships/hyperlink" Target="https://www.tiktok.com/@aisyafputri?is_from_webapp=1&amp;sender_device=pc" TargetMode="External"/><Relationship Id="rId33" Type="http://schemas.openxmlformats.org/officeDocument/2006/relationships/hyperlink" Target="https://www.instagram.com/fauzanakhdan?igsh=MW5uZDV0d3E1YWIyaQ==" TargetMode="External"/><Relationship Id="rId32" Type="http://schemas.openxmlformats.org/officeDocument/2006/relationships/hyperlink" Target="http://tiktok.com/@aisyah_wanitakalem" TargetMode="External"/><Relationship Id="rId35" Type="http://schemas.openxmlformats.org/officeDocument/2006/relationships/hyperlink" Target="http://instagram.com/nabilabellai_" TargetMode="External"/><Relationship Id="rId34" Type="http://schemas.openxmlformats.org/officeDocument/2006/relationships/hyperlink" Target="https://www.tiktok.com/@fauzanakhdan?is_from_webapp=1&amp;sender_device=pc" TargetMode="External"/><Relationship Id="rId37" Type="http://schemas.openxmlformats.org/officeDocument/2006/relationships/hyperlink" Target="https://www.instagram.com/seviqfebinita/" TargetMode="External"/><Relationship Id="rId36" Type="http://schemas.openxmlformats.org/officeDocument/2006/relationships/hyperlink" Target="http://tiktok.com/@nabilabellai_" TargetMode="External"/><Relationship Id="rId39" Type="http://schemas.openxmlformats.org/officeDocument/2006/relationships/hyperlink" Target="https://www.instagram.com/alminetaaz?igsh=b2kyYWlxMjhpb3Vk" TargetMode="External"/><Relationship Id="rId38" Type="http://schemas.openxmlformats.org/officeDocument/2006/relationships/hyperlink" Target="https://www.tiktok.com/@seviqfebinita" TargetMode="External"/><Relationship Id="rId20" Type="http://schemas.openxmlformats.org/officeDocument/2006/relationships/hyperlink" Target="https://www.tiktok.com/@trishaaazia?is_from_webapp=1&amp;sender_device=pc" TargetMode="External"/><Relationship Id="rId22" Type="http://schemas.openxmlformats.org/officeDocument/2006/relationships/hyperlink" Target="https://www.tiktok.com/@kayesssss?is_from_webapp=1&amp;sender_device=pc" TargetMode="External"/><Relationship Id="rId21" Type="http://schemas.openxmlformats.org/officeDocument/2006/relationships/hyperlink" Target="https://www.instagram.com/ka.reys?igsh=Y2NzNWEyenBjYTkx" TargetMode="External"/><Relationship Id="rId24" Type="http://schemas.openxmlformats.org/officeDocument/2006/relationships/hyperlink" Target="https://www.tiktok.com/@dileeedrn?is_from_webapp=1&amp;sender_device=pc" TargetMode="External"/><Relationship Id="rId23" Type="http://schemas.openxmlformats.org/officeDocument/2006/relationships/hyperlink" Target="https://www.instagram.com/nadiladrn?igsh=dGQxYWhnbW1zMDN1" TargetMode="External"/><Relationship Id="rId26" Type="http://schemas.openxmlformats.org/officeDocument/2006/relationships/hyperlink" Target="https://www.tiktok.com/@willenlen" TargetMode="External"/><Relationship Id="rId25" Type="http://schemas.openxmlformats.org/officeDocument/2006/relationships/hyperlink" Target="https://www.instagram.com/willenlenn/" TargetMode="External"/><Relationship Id="rId28" Type="http://schemas.openxmlformats.org/officeDocument/2006/relationships/hyperlink" Target="https://www.tiktok.com/@fazmif_?is_from_webapp=1&amp;sender_device=pc" TargetMode="External"/><Relationship Id="rId27" Type="http://schemas.openxmlformats.org/officeDocument/2006/relationships/hyperlink" Target="https://www.instagram.com/fazmifebriana_?igsh=MTczcTR2aTh0bDl1aA==" TargetMode="External"/><Relationship Id="rId29" Type="http://schemas.openxmlformats.org/officeDocument/2006/relationships/hyperlink" Target="https://www.instagram.com/aisyafputri" TargetMode="External"/><Relationship Id="rId11" Type="http://schemas.openxmlformats.org/officeDocument/2006/relationships/hyperlink" Target="https://www.instagram.com/imasfahriaty_?igsh=MTV0anowb212YmI4dA==" TargetMode="External"/><Relationship Id="rId10" Type="http://schemas.openxmlformats.org/officeDocument/2006/relationships/hyperlink" Target="https://www.tiktok.com/@gelialinda?is_from_webapp=1&amp;sender_device=pc" TargetMode="External"/><Relationship Id="rId13" Type="http://schemas.openxmlformats.org/officeDocument/2006/relationships/hyperlink" Target="https://www.instagram.com/kekevaangelista?igsh=MXUzYWFvaWtmeGZhNg==" TargetMode="External"/><Relationship Id="rId12" Type="http://schemas.openxmlformats.org/officeDocument/2006/relationships/hyperlink" Target="https://www.tiktok.com/@imasfahriaty_?is_from_webapp=1&amp;sender_device=pc" TargetMode="External"/><Relationship Id="rId15" Type="http://schemas.openxmlformats.org/officeDocument/2006/relationships/hyperlink" Target="https://www.instagram.com/makanlurrrr?igsh=MTRzMW9oZ214NmI2ZQ==" TargetMode="External"/><Relationship Id="rId14" Type="http://schemas.openxmlformats.org/officeDocument/2006/relationships/hyperlink" Target="https://www.tiktok.com/@kekevaangelista?is_from_webapp=1&amp;sender_device=pc" TargetMode="External"/><Relationship Id="rId17" Type="http://schemas.openxmlformats.org/officeDocument/2006/relationships/hyperlink" Target="https://www.instagram.com/putrinahari?igsh=YWV2Mm8yaWdwcnlk" TargetMode="External"/><Relationship Id="rId16" Type="http://schemas.openxmlformats.org/officeDocument/2006/relationships/hyperlink" Target="https://www.tiktok.com/@makanlurr?is_from_webapp=1&amp;sender_device=pc" TargetMode="External"/><Relationship Id="rId19" Type="http://schemas.openxmlformats.org/officeDocument/2006/relationships/hyperlink" Target="https://www.instagram.com/trishaazia?igsh=ZDRvOGhtODBqN25v" TargetMode="External"/><Relationship Id="rId18" Type="http://schemas.openxmlformats.org/officeDocument/2006/relationships/hyperlink" Target="https://www.tiktok.com/@putrinaharira" TargetMode="External"/><Relationship Id="rId84" Type="http://schemas.openxmlformats.org/officeDocument/2006/relationships/hyperlink" Target="https://www.tiktok.com/@sssiraa?is_from_webapp=1&amp;sender_device=pc" TargetMode="External"/><Relationship Id="rId83" Type="http://schemas.openxmlformats.org/officeDocument/2006/relationships/hyperlink" Target="https://www.instagram.com/s.sraaa?igsh=emEyb2s2MzMydTcz" TargetMode="External"/><Relationship Id="rId86" Type="http://schemas.openxmlformats.org/officeDocument/2006/relationships/hyperlink" Target="https://www.tiktok.com/@keziagc?is_from_webapp=1&amp;sender_device=pc" TargetMode="External"/><Relationship Id="rId85" Type="http://schemas.openxmlformats.org/officeDocument/2006/relationships/hyperlink" Target="https://www.instagram.com/keziagc?igsh=ODNoZWZmcjg2czgw" TargetMode="External"/><Relationship Id="rId88" Type="http://schemas.openxmlformats.org/officeDocument/2006/relationships/hyperlink" Target="https://www.tiktok.com/@luthfy.h20?is_from_webapp=1&amp;sender_device=pc" TargetMode="External"/><Relationship Id="rId87" Type="http://schemas.openxmlformats.org/officeDocument/2006/relationships/hyperlink" Target="https://www.instagram.com/luthfy.h20/" TargetMode="External"/><Relationship Id="rId89" Type="http://schemas.openxmlformats.org/officeDocument/2006/relationships/hyperlink" Target="https://www.instagram.com/sylvamulachelaa?igsh=MThldGh3NW80aGI3" TargetMode="External"/><Relationship Id="rId80" Type="http://schemas.openxmlformats.org/officeDocument/2006/relationships/hyperlink" Target="https://www.tiktok.com/@redcah?is_from_webapp=1&amp;sender_device=pc" TargetMode="External"/><Relationship Id="rId82" Type="http://schemas.openxmlformats.org/officeDocument/2006/relationships/hyperlink" Target="https://www.tiktok.com/@vsbvix?is_from_webapp=1&amp;sender_device=pc" TargetMode="External"/><Relationship Id="rId81" Type="http://schemas.openxmlformats.org/officeDocument/2006/relationships/hyperlink" Target="https://www.instagram.com/vsbvi" TargetMode="External"/><Relationship Id="rId73" Type="http://schemas.openxmlformats.org/officeDocument/2006/relationships/hyperlink" Target="https://www.instagram.com/cyntiaar?igsh=YWpvZ2NiNmR1MzFh" TargetMode="External"/><Relationship Id="rId72" Type="http://schemas.openxmlformats.org/officeDocument/2006/relationships/hyperlink" Target="https://www.tiktok.com/@viaazulviani?is_from_webapp=1&amp;sender_device=pc" TargetMode="External"/><Relationship Id="rId75" Type="http://schemas.openxmlformats.org/officeDocument/2006/relationships/hyperlink" Target="https://www.instagram.com/kulinernyaberdua/" TargetMode="External"/><Relationship Id="rId74" Type="http://schemas.openxmlformats.org/officeDocument/2006/relationships/hyperlink" Target="https://www.tiktok.com/@cyntiaar_?is_from_webapp=1&amp;sender_device=pc" TargetMode="External"/><Relationship Id="rId77" Type="http://schemas.openxmlformats.org/officeDocument/2006/relationships/hyperlink" Target="http://instagram.com/frdhuha" TargetMode="External"/><Relationship Id="rId76" Type="http://schemas.openxmlformats.org/officeDocument/2006/relationships/hyperlink" Target="https://www.tiktok.com/@kulinernyaber2" TargetMode="External"/><Relationship Id="rId79" Type="http://schemas.openxmlformats.org/officeDocument/2006/relationships/hyperlink" Target="https://www.instagram.com/redcah?igsh=MTJxeWtyZGZsZHVwNw==" TargetMode="External"/><Relationship Id="rId78" Type="http://schemas.openxmlformats.org/officeDocument/2006/relationships/hyperlink" Target="http://tiktok.com/@faridahuha" TargetMode="External"/><Relationship Id="rId71" Type="http://schemas.openxmlformats.org/officeDocument/2006/relationships/hyperlink" Target="https://www.instagram.com/viaazulviani?igsh=c3czMjlyb3luMG5u" TargetMode="External"/><Relationship Id="rId70" Type="http://schemas.openxmlformats.org/officeDocument/2006/relationships/hyperlink" Target="https://www.tiktok.com/@nabilabyaaa?is_from_webapp=1&amp;sender_device=pc" TargetMode="External"/><Relationship Id="rId62" Type="http://schemas.openxmlformats.org/officeDocument/2006/relationships/hyperlink" Target="http://tiktok.com/@sayalarimba" TargetMode="External"/><Relationship Id="rId61" Type="http://schemas.openxmlformats.org/officeDocument/2006/relationships/hyperlink" Target="http://instagram.com/sayalarimba" TargetMode="External"/><Relationship Id="rId64" Type="http://schemas.openxmlformats.org/officeDocument/2006/relationships/hyperlink" Target="https://www.tiktok.com/@ojankeke?is_from_webapp=1&amp;sender_device=pc" TargetMode="External"/><Relationship Id="rId63" Type="http://schemas.openxmlformats.org/officeDocument/2006/relationships/hyperlink" Target="https://www.instagram.com/ojankeke?igsh=MTZ5NDc5N3o2YWw5MA==" TargetMode="External"/><Relationship Id="rId66" Type="http://schemas.openxmlformats.org/officeDocument/2006/relationships/hyperlink" Target="http://tiktok.com/@angelicamanopo" TargetMode="External"/><Relationship Id="rId65" Type="http://schemas.openxmlformats.org/officeDocument/2006/relationships/hyperlink" Target="http://instagram.com/angelicamanopo" TargetMode="External"/><Relationship Id="rId68" Type="http://schemas.openxmlformats.org/officeDocument/2006/relationships/hyperlink" Target="https://www.tiktok.com/@juandadaly?is_from_webapp=1&amp;sender_device=pc" TargetMode="External"/><Relationship Id="rId67" Type="http://schemas.openxmlformats.org/officeDocument/2006/relationships/hyperlink" Target="https://www.instagram.com/juandadaly" TargetMode="External"/><Relationship Id="rId60" Type="http://schemas.openxmlformats.org/officeDocument/2006/relationships/hyperlink" Target="https://www.tiktok.com/@jiyaakila?is_from_webapp=1&amp;sender_device=pc" TargetMode="External"/><Relationship Id="rId69" Type="http://schemas.openxmlformats.org/officeDocument/2006/relationships/hyperlink" Target="http://instagram.com/nabilabyaaa" TargetMode="External"/><Relationship Id="rId51" Type="http://schemas.openxmlformats.org/officeDocument/2006/relationships/hyperlink" Target="https://www.instagram.com/jelitawidiaw?igsh=Y2o4NTNubW1wYXVh" TargetMode="External"/><Relationship Id="rId50" Type="http://schemas.openxmlformats.org/officeDocument/2006/relationships/hyperlink" Target="https://www.tiktok.com/@hellodhani" TargetMode="External"/><Relationship Id="rId53" Type="http://schemas.openxmlformats.org/officeDocument/2006/relationships/hyperlink" Target="http://instagram.com/elnandautomo" TargetMode="External"/><Relationship Id="rId52" Type="http://schemas.openxmlformats.org/officeDocument/2006/relationships/hyperlink" Target="https://www.tiktok.com/@jelitawidiaw?is_from_webapp=1&amp;sender_device=pc" TargetMode="External"/><Relationship Id="rId55" Type="http://schemas.openxmlformats.org/officeDocument/2006/relationships/hyperlink" Target="https://www.instagram.com/nennyzoe?igsh=dnM0dzA2NHM0OHps" TargetMode="External"/><Relationship Id="rId54" Type="http://schemas.openxmlformats.org/officeDocument/2006/relationships/hyperlink" Target="http://tiktok.com/@elnandautomoo" TargetMode="External"/><Relationship Id="rId57" Type="http://schemas.openxmlformats.org/officeDocument/2006/relationships/hyperlink" Target="http://instagram.com/lordjajan" TargetMode="External"/><Relationship Id="rId56" Type="http://schemas.openxmlformats.org/officeDocument/2006/relationships/hyperlink" Target="https://www.tiktok.com/@nennyzoe?is_from_webapp=1&amp;sender_device=pc" TargetMode="External"/><Relationship Id="rId59" Type="http://schemas.openxmlformats.org/officeDocument/2006/relationships/hyperlink" Target="https://www.instagram.com/bbyjiangel_?igsh=Yzl2NDZkdzlsMjU4" TargetMode="External"/><Relationship Id="rId58" Type="http://schemas.openxmlformats.org/officeDocument/2006/relationships/hyperlink" Target="http://tiktok.com/@lordjajanofficial" TargetMode="External"/><Relationship Id="rId107" Type="http://schemas.openxmlformats.org/officeDocument/2006/relationships/hyperlink" Target="https://www.instagram.com/mewindahttyas" TargetMode="External"/><Relationship Id="rId228" Type="http://schemas.openxmlformats.org/officeDocument/2006/relationships/hyperlink" Target="https://www.tiktok.com/@luthfihalimawan42" TargetMode="External"/><Relationship Id="rId349" Type="http://schemas.openxmlformats.org/officeDocument/2006/relationships/hyperlink" Target="http://instagram.com/eri.carl" TargetMode="External"/><Relationship Id="rId106" Type="http://schemas.openxmlformats.org/officeDocument/2006/relationships/hyperlink" Target="http://tiktok.com/@maykiana__" TargetMode="External"/><Relationship Id="rId227" Type="http://schemas.openxmlformats.org/officeDocument/2006/relationships/hyperlink" Target="https://www.instagram.com/luthfihalimawan/" TargetMode="External"/><Relationship Id="rId348" Type="http://schemas.openxmlformats.org/officeDocument/2006/relationships/hyperlink" Target="http://tiktok.com/@gabriellaekaputrii" TargetMode="External"/><Relationship Id="rId105" Type="http://schemas.openxmlformats.org/officeDocument/2006/relationships/hyperlink" Target="https://www.instagram.com/uulliiaa_/" TargetMode="External"/><Relationship Id="rId226" Type="http://schemas.openxmlformats.org/officeDocument/2006/relationships/hyperlink" Target="https://www.tiktok.com/@kairirisolmayo" TargetMode="External"/><Relationship Id="rId347" Type="http://schemas.openxmlformats.org/officeDocument/2006/relationships/hyperlink" Target="http://instagram.com/gabriellaekaputri" TargetMode="External"/><Relationship Id="rId104" Type="http://schemas.openxmlformats.org/officeDocument/2006/relationships/hyperlink" Target="https://www.tiktok.com/@ficrafth" TargetMode="External"/><Relationship Id="rId225" Type="http://schemas.openxmlformats.org/officeDocument/2006/relationships/hyperlink" Target="https://www.instagram.com/kairirds/" TargetMode="External"/><Relationship Id="rId346" Type="http://schemas.openxmlformats.org/officeDocument/2006/relationships/hyperlink" Target="http://tiktok.com/@maudyeffrosinaa" TargetMode="External"/><Relationship Id="rId109" Type="http://schemas.openxmlformats.org/officeDocument/2006/relationships/hyperlink" Target="https://www.instagram.com/sasyaclarissa/" TargetMode="External"/><Relationship Id="rId108" Type="http://schemas.openxmlformats.org/officeDocument/2006/relationships/hyperlink" Target="https://www.tiktok.com/@mewindaaahttyas?is_from_webapp=1&amp;sender_device=pc" TargetMode="External"/><Relationship Id="rId229" Type="http://schemas.openxmlformats.org/officeDocument/2006/relationships/hyperlink" Target="https://www.instagram.com/fachrulhadid" TargetMode="External"/><Relationship Id="rId220" Type="http://schemas.openxmlformats.org/officeDocument/2006/relationships/hyperlink" Target="https://www.tiktok.com/@cheekykiddo?lang=en" TargetMode="External"/><Relationship Id="rId341" Type="http://schemas.openxmlformats.org/officeDocument/2006/relationships/hyperlink" Target="http://instagram.com/wynnneug" TargetMode="External"/><Relationship Id="rId340" Type="http://schemas.openxmlformats.org/officeDocument/2006/relationships/hyperlink" Target="http://tiktok.com/@farhanfirms" TargetMode="External"/><Relationship Id="rId103" Type="http://schemas.openxmlformats.org/officeDocument/2006/relationships/hyperlink" Target="http://instagram.com/ficrafth" TargetMode="External"/><Relationship Id="rId224" Type="http://schemas.openxmlformats.org/officeDocument/2006/relationships/hyperlink" Target="https://www.tiktok.com/@fandidk6" TargetMode="External"/><Relationship Id="rId345" Type="http://schemas.openxmlformats.org/officeDocument/2006/relationships/hyperlink" Target="http://instagram.com/maudyeffrosina" TargetMode="External"/><Relationship Id="rId102" Type="http://schemas.openxmlformats.org/officeDocument/2006/relationships/hyperlink" Target="https://www.tiktok.com/@racunyaamos_" TargetMode="External"/><Relationship Id="rId223" Type="http://schemas.openxmlformats.org/officeDocument/2006/relationships/hyperlink" Target="https://www.instagram.com/fandidk/" TargetMode="External"/><Relationship Id="rId344" Type="http://schemas.openxmlformats.org/officeDocument/2006/relationships/hyperlink" Target="http://tiktok.com/@jennifer.coppen" TargetMode="External"/><Relationship Id="rId101" Type="http://schemas.openxmlformats.org/officeDocument/2006/relationships/hyperlink" Target="https://www.instagram.com/racunyaamos_" TargetMode="External"/><Relationship Id="rId222" Type="http://schemas.openxmlformats.org/officeDocument/2006/relationships/hyperlink" Target="https://www.tiktok.com/@s4y4_im0t" TargetMode="External"/><Relationship Id="rId343" Type="http://schemas.openxmlformats.org/officeDocument/2006/relationships/hyperlink" Target="http://instagram.com/jennifercoppenreal20" TargetMode="External"/><Relationship Id="rId100" Type="http://schemas.openxmlformats.org/officeDocument/2006/relationships/hyperlink" Target="https://www.tiktok.com/@jessivns?is_from_webapp=1&amp;sender_device=pc" TargetMode="External"/><Relationship Id="rId221" Type="http://schemas.openxmlformats.org/officeDocument/2006/relationships/hyperlink" Target="https://www.instagram.com/bagas__dribble/" TargetMode="External"/><Relationship Id="rId342" Type="http://schemas.openxmlformats.org/officeDocument/2006/relationships/hyperlink" Target="http://tiktok.com/@wynnneug" TargetMode="External"/><Relationship Id="rId217" Type="http://schemas.openxmlformats.org/officeDocument/2006/relationships/hyperlink" Target="https://www.instagram.com/apiipp/" TargetMode="External"/><Relationship Id="rId338" Type="http://schemas.openxmlformats.org/officeDocument/2006/relationships/hyperlink" Target="http://tiktok.com/@ekidarehanf" TargetMode="External"/><Relationship Id="rId216" Type="http://schemas.openxmlformats.org/officeDocument/2006/relationships/hyperlink" Target="https://www.tiktok.com/@jejekaliya" TargetMode="External"/><Relationship Id="rId337" Type="http://schemas.openxmlformats.org/officeDocument/2006/relationships/hyperlink" Target="http://instagram.com/ekidarehanf" TargetMode="External"/><Relationship Id="rId215" Type="http://schemas.openxmlformats.org/officeDocument/2006/relationships/hyperlink" Target="https://www.instagram.com/jessicaklppr/" TargetMode="External"/><Relationship Id="rId336" Type="http://schemas.openxmlformats.org/officeDocument/2006/relationships/hyperlink" Target="http://tiktok.com/@aadaehoon" TargetMode="External"/><Relationship Id="rId214" Type="http://schemas.openxmlformats.org/officeDocument/2006/relationships/hyperlink" Target="https://www.tiktok.com/@firamaringka" TargetMode="External"/><Relationship Id="rId335" Type="http://schemas.openxmlformats.org/officeDocument/2006/relationships/hyperlink" Target="http://instagram.com/daehoon_na" TargetMode="External"/><Relationship Id="rId219" Type="http://schemas.openxmlformats.org/officeDocument/2006/relationships/hyperlink" Target="https://www.instagram.com/michelealex/" TargetMode="External"/><Relationship Id="rId218" Type="http://schemas.openxmlformats.org/officeDocument/2006/relationships/hyperlink" Target="https://www.tiktok.com/@apiipp1294?lang=en" TargetMode="External"/><Relationship Id="rId339" Type="http://schemas.openxmlformats.org/officeDocument/2006/relationships/hyperlink" Target="http://instagram.com/farhanfirms" TargetMode="External"/><Relationship Id="rId330" Type="http://schemas.openxmlformats.org/officeDocument/2006/relationships/hyperlink" Target="http://tiktok.com/@jeromepolin98" TargetMode="External"/><Relationship Id="rId213" Type="http://schemas.openxmlformats.org/officeDocument/2006/relationships/hyperlink" Target="https://www.instagram.com/firamaringka" TargetMode="External"/><Relationship Id="rId334" Type="http://schemas.openxmlformats.org/officeDocument/2006/relationships/hyperlink" Target="http://tiktok.com/@hansoljang110" TargetMode="External"/><Relationship Id="rId212" Type="http://schemas.openxmlformats.org/officeDocument/2006/relationships/hyperlink" Target="https://www.tiktok.com/@rereanggara" TargetMode="External"/><Relationship Id="rId333" Type="http://schemas.openxmlformats.org/officeDocument/2006/relationships/hyperlink" Target="http://instagram.com/hansoljang110" TargetMode="External"/><Relationship Id="rId211" Type="http://schemas.openxmlformats.org/officeDocument/2006/relationships/hyperlink" Target="http://instagram.com/rereanggara" TargetMode="External"/><Relationship Id="rId332" Type="http://schemas.openxmlformats.org/officeDocument/2006/relationships/hyperlink" Target="http://tiktok.com/@jerhemynemoo" TargetMode="External"/><Relationship Id="rId210" Type="http://schemas.openxmlformats.org/officeDocument/2006/relationships/hyperlink" Target="https://www.tiktok.com/@alwifahry" TargetMode="External"/><Relationship Id="rId331" Type="http://schemas.openxmlformats.org/officeDocument/2006/relationships/hyperlink" Target="http://instagram.com/jerhemynemo" TargetMode="External"/><Relationship Id="rId370" Type="http://schemas.openxmlformats.org/officeDocument/2006/relationships/hyperlink" Target="http://instagram.com/rofiefauzie" TargetMode="External"/><Relationship Id="rId129" Type="http://schemas.openxmlformats.org/officeDocument/2006/relationships/hyperlink" Target="http://tiktok.com/@fitbymilla" TargetMode="External"/><Relationship Id="rId128" Type="http://schemas.openxmlformats.org/officeDocument/2006/relationships/hyperlink" Target="http://instagram.com/fitbymilla_" TargetMode="External"/><Relationship Id="rId249" Type="http://schemas.openxmlformats.org/officeDocument/2006/relationships/hyperlink" Target="http://tiktok.com/@ayuwisya666" TargetMode="External"/><Relationship Id="rId127" Type="http://schemas.openxmlformats.org/officeDocument/2006/relationships/hyperlink" Target="http://tiktok.com/@maudyytt" TargetMode="External"/><Relationship Id="rId248" Type="http://schemas.openxmlformats.org/officeDocument/2006/relationships/hyperlink" Target="http://instagram.com/ayuwisya" TargetMode="External"/><Relationship Id="rId369" Type="http://schemas.openxmlformats.org/officeDocument/2006/relationships/hyperlink" Target="http://tiktok.com/@inigiscka" TargetMode="External"/><Relationship Id="rId126" Type="http://schemas.openxmlformats.org/officeDocument/2006/relationships/hyperlink" Target="https://www.instagram.com/maudyyyttt?igsh=MWM5MmFjZGFlM3l1Mw==" TargetMode="External"/><Relationship Id="rId247" Type="http://schemas.openxmlformats.org/officeDocument/2006/relationships/hyperlink" Target="http://tiktok.com/@aulianuzl" TargetMode="External"/><Relationship Id="rId368" Type="http://schemas.openxmlformats.org/officeDocument/2006/relationships/hyperlink" Target="http://instagram.com/stephaniegiscka" TargetMode="External"/><Relationship Id="rId121" Type="http://schemas.openxmlformats.org/officeDocument/2006/relationships/hyperlink" Target="https://www.tiktok.com/@almineta2?is_from_webapp=1&amp;sender_device=pc" TargetMode="External"/><Relationship Id="rId242" Type="http://schemas.openxmlformats.org/officeDocument/2006/relationships/hyperlink" Target="http://instagram.com/geraldvincentt" TargetMode="External"/><Relationship Id="rId363" Type="http://schemas.openxmlformats.org/officeDocument/2006/relationships/hyperlink" Target="http://tiktok.com/@ymlia002" TargetMode="External"/><Relationship Id="rId120" Type="http://schemas.openxmlformats.org/officeDocument/2006/relationships/hyperlink" Target="http://tiktok.com/@kezhialverta" TargetMode="External"/><Relationship Id="rId241" Type="http://schemas.openxmlformats.org/officeDocument/2006/relationships/hyperlink" Target="https://www.tiktok.com/@anakkuliner?lang=en" TargetMode="External"/><Relationship Id="rId362" Type="http://schemas.openxmlformats.org/officeDocument/2006/relationships/hyperlink" Target="http://instagram.com/ymliamakeupartist" TargetMode="External"/><Relationship Id="rId240" Type="http://schemas.openxmlformats.org/officeDocument/2006/relationships/hyperlink" Target="https://www.instagram.com/anak.kuliner/" TargetMode="External"/><Relationship Id="rId361" Type="http://schemas.openxmlformats.org/officeDocument/2006/relationships/hyperlink" Target="https://www.tiktok.com/@alyttlebit" TargetMode="External"/><Relationship Id="rId360" Type="http://schemas.openxmlformats.org/officeDocument/2006/relationships/hyperlink" Target="http://instagram.com/alyadjohan" TargetMode="External"/><Relationship Id="rId125" Type="http://schemas.openxmlformats.org/officeDocument/2006/relationships/hyperlink" Target="https://www.tiktok.com/@fatyabiyaaa" TargetMode="External"/><Relationship Id="rId246" Type="http://schemas.openxmlformats.org/officeDocument/2006/relationships/hyperlink" Target="http://instagram.com/tutorialhidub" TargetMode="External"/><Relationship Id="rId367" Type="http://schemas.openxmlformats.org/officeDocument/2006/relationships/hyperlink" Target="http://tiktok.com/@putrialynnn" TargetMode="External"/><Relationship Id="rId124" Type="http://schemas.openxmlformats.org/officeDocument/2006/relationships/hyperlink" Target="https://www.instagram.com/fatyabiya/" TargetMode="External"/><Relationship Id="rId245" Type="http://schemas.openxmlformats.org/officeDocument/2006/relationships/hyperlink" Target="https://www.tiktok.com/@raymondchins" TargetMode="External"/><Relationship Id="rId366" Type="http://schemas.openxmlformats.org/officeDocument/2006/relationships/hyperlink" Target="http://instagram.com/putrialyn" TargetMode="External"/><Relationship Id="rId123" Type="http://schemas.openxmlformats.org/officeDocument/2006/relationships/hyperlink" Target="https://www.tiktok.com/@fadlyfsl_" TargetMode="External"/><Relationship Id="rId244" Type="http://schemas.openxmlformats.org/officeDocument/2006/relationships/hyperlink" Target="https://www.instagram.com/raymondchins/" TargetMode="External"/><Relationship Id="rId365" Type="http://schemas.openxmlformats.org/officeDocument/2006/relationships/hyperlink" Target="mailto:tiktok.com/@guraisu.com" TargetMode="External"/><Relationship Id="rId122" Type="http://schemas.openxmlformats.org/officeDocument/2006/relationships/hyperlink" Target="https://www.instagram.com/fadlyfsl_/?hl=id" TargetMode="External"/><Relationship Id="rId243" Type="http://schemas.openxmlformats.org/officeDocument/2006/relationships/hyperlink" Target="http://tiktok.com/@geraldvincentt" TargetMode="External"/><Relationship Id="rId364" Type="http://schemas.openxmlformats.org/officeDocument/2006/relationships/hyperlink" Target="http://instagram.com/gmarthagraciela" TargetMode="External"/><Relationship Id="rId95" Type="http://schemas.openxmlformats.org/officeDocument/2006/relationships/hyperlink" Target="https://www.instagram.com/ulyaslsss__?igsh=MWRxZWYwdDlsbnhtYQ==" TargetMode="External"/><Relationship Id="rId94" Type="http://schemas.openxmlformats.org/officeDocument/2006/relationships/hyperlink" Target="http://tiktok.com/@hasbyalf" TargetMode="External"/><Relationship Id="rId97" Type="http://schemas.openxmlformats.org/officeDocument/2006/relationships/hyperlink" Target="https://www.instagram.com/mutiarasgt?igsh=bnVnZTJjYnNpeTRp" TargetMode="External"/><Relationship Id="rId96" Type="http://schemas.openxmlformats.org/officeDocument/2006/relationships/hyperlink" Target="https://www.tiktok.com/@ulyasalsabilaa?is_from_webapp=1&amp;sender_device=pc" TargetMode="External"/><Relationship Id="rId99" Type="http://schemas.openxmlformats.org/officeDocument/2006/relationships/hyperlink" Target="https://www.instagram.com/jessicashainaa?igsh=dmk5aGw4dnlvM2s5" TargetMode="External"/><Relationship Id="rId98" Type="http://schemas.openxmlformats.org/officeDocument/2006/relationships/hyperlink" Target="http://tiktok.com/@mutiarsh" TargetMode="External"/><Relationship Id="rId91" Type="http://schemas.openxmlformats.org/officeDocument/2006/relationships/hyperlink" Target="https://www.instagram.com/rizkywahyudinata_" TargetMode="External"/><Relationship Id="rId90" Type="http://schemas.openxmlformats.org/officeDocument/2006/relationships/hyperlink" Target="https://www.tiktok.com/@sylvamulachelaa?is_from_webapp=1&amp;sender_device=pc" TargetMode="External"/><Relationship Id="rId93" Type="http://schemas.openxmlformats.org/officeDocument/2006/relationships/hyperlink" Target="http://instagram.com/hasbyalf" TargetMode="External"/><Relationship Id="rId92" Type="http://schemas.openxmlformats.org/officeDocument/2006/relationships/hyperlink" Target="https://www.tiktok.com/@amoskiduy0512?is_from_webapp=1&amp;sender_device=pc" TargetMode="External"/><Relationship Id="rId118" Type="http://schemas.openxmlformats.org/officeDocument/2006/relationships/hyperlink" Target="https://www.tiktok.com/@rifani665?is_from_webapp=1&amp;sender_device=pc" TargetMode="External"/><Relationship Id="rId239" Type="http://schemas.openxmlformats.org/officeDocument/2006/relationships/hyperlink" Target="https://www.tiktok.com/@mahasiswagendut2?lang=en" TargetMode="External"/><Relationship Id="rId117" Type="http://schemas.openxmlformats.org/officeDocument/2006/relationships/hyperlink" Target="https://www.instagram.com/rifaeny0/" TargetMode="External"/><Relationship Id="rId238" Type="http://schemas.openxmlformats.org/officeDocument/2006/relationships/hyperlink" Target="https://www.instagram.com/renaldfadli/%E2%80%A8" TargetMode="External"/><Relationship Id="rId359" Type="http://schemas.openxmlformats.org/officeDocument/2006/relationships/hyperlink" Target="http://tiktok.com/@jajanviralbekasi" TargetMode="External"/><Relationship Id="rId116" Type="http://schemas.openxmlformats.org/officeDocument/2006/relationships/hyperlink" Target="https://www.tiktok.com/@rachmafira12?is_from_webapp=1&amp;sender_device=pc" TargetMode="External"/><Relationship Id="rId237" Type="http://schemas.openxmlformats.org/officeDocument/2006/relationships/hyperlink" Target="http://tiktok.com/@estherlubis" TargetMode="External"/><Relationship Id="rId358" Type="http://schemas.openxmlformats.org/officeDocument/2006/relationships/hyperlink" Target="http://instagram.com/jajanviralbekasi" TargetMode="External"/><Relationship Id="rId115" Type="http://schemas.openxmlformats.org/officeDocument/2006/relationships/hyperlink" Target="https://www.instagram.com/rachma.fira?igsh=MXhvZTY3ejlqa2NkZA==" TargetMode="External"/><Relationship Id="rId236" Type="http://schemas.openxmlformats.org/officeDocument/2006/relationships/hyperlink" Target="https://www.instagram.com/esthernataliaa/" TargetMode="External"/><Relationship Id="rId357" Type="http://schemas.openxmlformats.org/officeDocument/2006/relationships/hyperlink" Target="http://tiktok.com/@heylulaa" TargetMode="External"/><Relationship Id="rId119" Type="http://schemas.openxmlformats.org/officeDocument/2006/relationships/hyperlink" Target="https://www.instagram.com/kezhialverta/" TargetMode="External"/><Relationship Id="rId110" Type="http://schemas.openxmlformats.org/officeDocument/2006/relationships/hyperlink" Target="https://www.tiktok.com/@sasyaclarissa_?is_from_webapp=1&amp;sender_device=pc" TargetMode="External"/><Relationship Id="rId231" Type="http://schemas.openxmlformats.org/officeDocument/2006/relationships/hyperlink" Target="https://www.tiktok.com/@rifaneyy0?is_from_webapp=1&amp;sender_device=pc" TargetMode="External"/><Relationship Id="rId352" Type="http://schemas.openxmlformats.org/officeDocument/2006/relationships/hyperlink" Target="http://tiktok.com/@juliobowi" TargetMode="External"/><Relationship Id="rId230" Type="http://schemas.openxmlformats.org/officeDocument/2006/relationships/hyperlink" Target="https://www.tiktok.com/@fachrulhadid?is_from_webapp=1&amp;sender_device=pc" TargetMode="External"/><Relationship Id="rId351" Type="http://schemas.openxmlformats.org/officeDocument/2006/relationships/hyperlink" Target="http://instagram.com/juliobowi" TargetMode="External"/><Relationship Id="rId350" Type="http://schemas.openxmlformats.org/officeDocument/2006/relationships/hyperlink" Target="http://tiktok.com/@eri_carl" TargetMode="External"/><Relationship Id="rId114" Type="http://schemas.openxmlformats.org/officeDocument/2006/relationships/hyperlink" Target="https://www.tiktok.com/@kenbun88" TargetMode="External"/><Relationship Id="rId235" Type="http://schemas.openxmlformats.org/officeDocument/2006/relationships/hyperlink" Target="https://www.tiktok.com/@dindacresheilla" TargetMode="External"/><Relationship Id="rId356" Type="http://schemas.openxmlformats.org/officeDocument/2006/relationships/hyperlink" Target="http://instagram.com/cantikalulu" TargetMode="External"/><Relationship Id="rId113" Type="http://schemas.openxmlformats.org/officeDocument/2006/relationships/hyperlink" Target="https://www.instagram.com/hoveryponen12?igsh=bDdtYW1xY2ZmYWp6" TargetMode="External"/><Relationship Id="rId234" Type="http://schemas.openxmlformats.org/officeDocument/2006/relationships/hyperlink" Target="https://www.instagram.com/dindacresheilla" TargetMode="External"/><Relationship Id="rId355" Type="http://schemas.openxmlformats.org/officeDocument/2006/relationships/hyperlink" Target="http://tiktok.com/@shellacletus" TargetMode="External"/><Relationship Id="rId112" Type="http://schemas.openxmlformats.org/officeDocument/2006/relationships/hyperlink" Target="https://www.tiktok.com/@salmaaristiana?is_from_webapp=1&amp;sender_device=pc" TargetMode="External"/><Relationship Id="rId233" Type="http://schemas.openxmlformats.org/officeDocument/2006/relationships/hyperlink" Target="https://www.tiktok.com/@angga.yunanda?lang=en" TargetMode="External"/><Relationship Id="rId354" Type="http://schemas.openxmlformats.org/officeDocument/2006/relationships/hyperlink" Target="http://instagram.com/shella_cletus" TargetMode="External"/><Relationship Id="rId111" Type="http://schemas.openxmlformats.org/officeDocument/2006/relationships/hyperlink" Target="https://www.instagram.com/salmaristiana?igsh=eXVrc21lZGx4MDJp" TargetMode="External"/><Relationship Id="rId232" Type="http://schemas.openxmlformats.org/officeDocument/2006/relationships/hyperlink" Target="https://www.instagram.com/angga/" TargetMode="External"/><Relationship Id="rId353" Type="http://schemas.openxmlformats.org/officeDocument/2006/relationships/hyperlink" Target="http://tiktok.com/@juwita.sekar3" TargetMode="External"/><Relationship Id="rId305" Type="http://schemas.openxmlformats.org/officeDocument/2006/relationships/hyperlink" Target="http://instagram.com/vanessasevilla.vs" TargetMode="External"/><Relationship Id="rId304" Type="http://schemas.openxmlformats.org/officeDocument/2006/relationships/hyperlink" Target="http://tiktok.com/@inginkurrus15" TargetMode="External"/><Relationship Id="rId303" Type="http://schemas.openxmlformats.org/officeDocument/2006/relationships/hyperlink" Target="http://instagram.com/inginkurrus_" TargetMode="External"/><Relationship Id="rId302" Type="http://schemas.openxmlformats.org/officeDocument/2006/relationships/hyperlink" Target="http://tiktok.com/@veyalvia22" TargetMode="External"/><Relationship Id="rId309" Type="http://schemas.openxmlformats.org/officeDocument/2006/relationships/hyperlink" Target="http://instagram.com/teukuryantr" TargetMode="External"/><Relationship Id="rId308" Type="http://schemas.openxmlformats.org/officeDocument/2006/relationships/hyperlink" Target="http://tiktok.com/@dr.inseqyuur" TargetMode="External"/><Relationship Id="rId307" Type="http://schemas.openxmlformats.org/officeDocument/2006/relationships/hyperlink" Target="http://instagram.com/dr.inseqyuur" TargetMode="External"/><Relationship Id="rId306" Type="http://schemas.openxmlformats.org/officeDocument/2006/relationships/hyperlink" Target="http://tiktok.com/@v.sevillaaa" TargetMode="External"/><Relationship Id="rId301" Type="http://schemas.openxmlformats.org/officeDocument/2006/relationships/hyperlink" Target="http://instagram.com/veyalvia22" TargetMode="External"/><Relationship Id="rId300" Type="http://schemas.openxmlformats.org/officeDocument/2006/relationships/hyperlink" Target="http://tiktok.com/@agml612" TargetMode="External"/><Relationship Id="rId206" Type="http://schemas.openxmlformats.org/officeDocument/2006/relationships/hyperlink" Target="http://instagram.com/dapur_mamika30" TargetMode="External"/><Relationship Id="rId327" Type="http://schemas.openxmlformats.org/officeDocument/2006/relationships/hyperlink" Target="http://instagram.com/miskashf" TargetMode="External"/><Relationship Id="rId205" Type="http://schemas.openxmlformats.org/officeDocument/2006/relationships/hyperlink" Target="http://tiktok.com/@_shaz" TargetMode="External"/><Relationship Id="rId326" Type="http://schemas.openxmlformats.org/officeDocument/2006/relationships/hyperlink" Target="http://tiktok.com/@fadiljaidi" TargetMode="External"/><Relationship Id="rId204" Type="http://schemas.openxmlformats.org/officeDocument/2006/relationships/hyperlink" Target="http://instagram.com/shazhaniaa" TargetMode="External"/><Relationship Id="rId325" Type="http://schemas.openxmlformats.org/officeDocument/2006/relationships/hyperlink" Target="http://instagram.com/fadiljaidi" TargetMode="External"/><Relationship Id="rId203" Type="http://schemas.openxmlformats.org/officeDocument/2006/relationships/hyperlink" Target="https://www.tiktok.com/@jalanbarengdarla?lang=id-ID" TargetMode="External"/><Relationship Id="rId324" Type="http://schemas.openxmlformats.org/officeDocument/2006/relationships/hyperlink" Target="http://tiktok.com/@clarissaputrih" TargetMode="External"/><Relationship Id="rId209" Type="http://schemas.openxmlformats.org/officeDocument/2006/relationships/hyperlink" Target="https://www.instagram.com/alwifachry" TargetMode="External"/><Relationship Id="rId208" Type="http://schemas.openxmlformats.org/officeDocument/2006/relationships/hyperlink" Target="https://www.tiktok.com/@anaknya_mas_joko" TargetMode="External"/><Relationship Id="rId329" Type="http://schemas.openxmlformats.org/officeDocument/2006/relationships/hyperlink" Target="http://instagram.com/jeromepolin" TargetMode="External"/><Relationship Id="rId207" Type="http://schemas.openxmlformats.org/officeDocument/2006/relationships/hyperlink" Target="https://www.tiktok.com/@dapurmamika_" TargetMode="External"/><Relationship Id="rId328" Type="http://schemas.openxmlformats.org/officeDocument/2006/relationships/hyperlink" Target="http://tiktok.com/@miskashf" TargetMode="External"/><Relationship Id="rId202" Type="http://schemas.openxmlformats.org/officeDocument/2006/relationships/hyperlink" Target="https://www.instagram.com/jalanbarengdarla/" TargetMode="External"/><Relationship Id="rId323" Type="http://schemas.openxmlformats.org/officeDocument/2006/relationships/hyperlink" Target="http://instagram.com/clarissaputri_" TargetMode="External"/><Relationship Id="rId201" Type="http://schemas.openxmlformats.org/officeDocument/2006/relationships/hyperlink" Target="https://www.tiktok.com/@octaviantifransisca" TargetMode="External"/><Relationship Id="rId322" Type="http://schemas.openxmlformats.org/officeDocument/2006/relationships/hyperlink" Target="http://tiktok.com/@dhip___" TargetMode="External"/><Relationship Id="rId200" Type="http://schemas.openxmlformats.org/officeDocument/2006/relationships/hyperlink" Target="http://instagram.com/octaviantifransisca" TargetMode="External"/><Relationship Id="rId321" Type="http://schemas.openxmlformats.org/officeDocument/2006/relationships/hyperlink" Target="http://instagram.com/sandrofahdhipa" TargetMode="External"/><Relationship Id="rId320" Type="http://schemas.openxmlformats.org/officeDocument/2006/relationships/hyperlink" Target="https://www.tiktok.com/@kennyauztin16" TargetMode="External"/><Relationship Id="rId316" Type="http://schemas.openxmlformats.org/officeDocument/2006/relationships/hyperlink" Target="https://www.tiktok.com/@ratuauliaa22" TargetMode="External"/><Relationship Id="rId315" Type="http://schemas.openxmlformats.org/officeDocument/2006/relationships/hyperlink" Target="https://www.instagram.com/ratuaulia22_/" TargetMode="External"/><Relationship Id="rId314" Type="http://schemas.openxmlformats.org/officeDocument/2006/relationships/hyperlink" Target="https://www.tiktok.com/@violenziajeanette" TargetMode="External"/><Relationship Id="rId313" Type="http://schemas.openxmlformats.org/officeDocument/2006/relationships/hyperlink" Target="https://www.instagram.com/violenziajean/" TargetMode="External"/><Relationship Id="rId319" Type="http://schemas.openxmlformats.org/officeDocument/2006/relationships/hyperlink" Target="https://www.instagram.com/kennyauztin/" TargetMode="External"/><Relationship Id="rId318" Type="http://schemas.openxmlformats.org/officeDocument/2006/relationships/hyperlink" Target="https://www.tiktok.com/@fajarlabatjo" TargetMode="External"/><Relationship Id="rId317" Type="http://schemas.openxmlformats.org/officeDocument/2006/relationships/hyperlink" Target="https://www.instagram.com/fajjarsadboy/" TargetMode="External"/><Relationship Id="rId312" Type="http://schemas.openxmlformats.org/officeDocument/2006/relationships/hyperlink" Target="https://www.tiktok.com/@ndhiraa07" TargetMode="External"/><Relationship Id="rId311" Type="http://schemas.openxmlformats.org/officeDocument/2006/relationships/hyperlink" Target="https://www.instagram.com/syafira_hdd/" TargetMode="External"/><Relationship Id="rId310" Type="http://schemas.openxmlformats.org/officeDocument/2006/relationships/hyperlink" Target="http://tiktok.com/@teukuryantr" TargetMode="External"/></Relationships>
</file>

<file path=xl/worksheets/_rels/sheet3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sillacaroline?igsh=MTNhZTlsYzZ3N2VyNA==" TargetMode="External"/><Relationship Id="rId1" Type="http://schemas.openxmlformats.org/officeDocument/2006/relationships/hyperlink" Target="https://www.instagram.com/rklopperr?igsh=MWlyamtsM2FlY3UzMQ==" TargetMode="External"/><Relationship Id="rId2" Type="http://schemas.openxmlformats.org/officeDocument/2006/relationships/hyperlink" Target="http://tiktok.com/@rkloppperr" TargetMode="External"/><Relationship Id="rId3" Type="http://schemas.openxmlformats.org/officeDocument/2006/relationships/hyperlink" Target="http://instagram.com/hesfinatia" TargetMode="External"/><Relationship Id="rId149" Type="http://schemas.openxmlformats.org/officeDocument/2006/relationships/hyperlink" Target="https://www.tiktok.com/@sellacarolina?_r=1&amp;_t=ZS-95YQl3LRsM4" TargetMode="External"/><Relationship Id="rId4" Type="http://schemas.openxmlformats.org/officeDocument/2006/relationships/hyperlink" Target="http://tiktok.com/@hesfinatia" TargetMode="External"/><Relationship Id="rId148" Type="http://schemas.openxmlformats.org/officeDocument/2006/relationships/hyperlink" Target="https://www.instagram.com/sellacarolina?igsh=Znh6OWR1N3hyb3Rh" TargetMode="External"/><Relationship Id="rId9" Type="http://schemas.openxmlformats.org/officeDocument/2006/relationships/hyperlink" Target="https://www.instagram.com/gelialinn?igsh=c2M2Z2cxZGNmdXF1" TargetMode="External"/><Relationship Id="rId143" Type="http://schemas.openxmlformats.org/officeDocument/2006/relationships/hyperlink" Target="http://tiktok.com/@putrialynnn" TargetMode="External"/><Relationship Id="rId142" Type="http://schemas.openxmlformats.org/officeDocument/2006/relationships/hyperlink" Target="http://instagram.com/putrialyn" TargetMode="External"/><Relationship Id="rId141" Type="http://schemas.openxmlformats.org/officeDocument/2006/relationships/hyperlink" Target="mailto:tiktok.com/@guraisu.com" TargetMode="External"/><Relationship Id="rId140" Type="http://schemas.openxmlformats.org/officeDocument/2006/relationships/hyperlink" Target="http://instagram.com/gmarthagraciela" TargetMode="External"/><Relationship Id="rId5" Type="http://schemas.openxmlformats.org/officeDocument/2006/relationships/hyperlink" Target="http://instagram.com/saritiw" TargetMode="External"/><Relationship Id="rId147" Type="http://schemas.openxmlformats.org/officeDocument/2006/relationships/hyperlink" Target="https://www.instagram.com/aamandazahra?igsh=MTIycGs1eXgxMm1nOA==" TargetMode="External"/><Relationship Id="rId6" Type="http://schemas.openxmlformats.org/officeDocument/2006/relationships/hyperlink" Target="http://tiktok.com/@sariendahpratiwi" TargetMode="External"/><Relationship Id="rId146" Type="http://schemas.openxmlformats.org/officeDocument/2006/relationships/hyperlink" Target="https://www.tiktok.com/@princess.kinoi?_r=1&amp;_t=ZS-95YQYYPgWw6" TargetMode="External"/><Relationship Id="rId7" Type="http://schemas.openxmlformats.org/officeDocument/2006/relationships/hyperlink" Target="https://www.instagram.com/nadianraulya?igsh=b3VlaXE3ZW53cDNu" TargetMode="External"/><Relationship Id="rId145" Type="http://schemas.openxmlformats.org/officeDocument/2006/relationships/hyperlink" Target="http://tiktok.com/@inigiscka" TargetMode="External"/><Relationship Id="rId8" Type="http://schemas.openxmlformats.org/officeDocument/2006/relationships/hyperlink" Target="https://www.tiktok.com/@nadianuraulyaa?is_from_webapp=1&amp;sender_device=pc" TargetMode="External"/><Relationship Id="rId144" Type="http://schemas.openxmlformats.org/officeDocument/2006/relationships/hyperlink" Target="http://instagram.com/stephaniegiscka" TargetMode="External"/><Relationship Id="rId139" Type="http://schemas.openxmlformats.org/officeDocument/2006/relationships/hyperlink" Target="https://www.tiktok.com/@alyttlebit" TargetMode="External"/><Relationship Id="rId138" Type="http://schemas.openxmlformats.org/officeDocument/2006/relationships/hyperlink" Target="http://instagram.com/alyadjohan" TargetMode="External"/><Relationship Id="rId137" Type="http://schemas.openxmlformats.org/officeDocument/2006/relationships/hyperlink" Target="http://tiktok.com/@heylulaa" TargetMode="External"/><Relationship Id="rId132" Type="http://schemas.openxmlformats.org/officeDocument/2006/relationships/hyperlink" Target="http://instagram.com/eri.carl" TargetMode="External"/><Relationship Id="rId131" Type="http://schemas.openxmlformats.org/officeDocument/2006/relationships/hyperlink" Target="http://tiktok.com/@gabriellaekaputrii" TargetMode="External"/><Relationship Id="rId130" Type="http://schemas.openxmlformats.org/officeDocument/2006/relationships/hyperlink" Target="http://instagram.com/gabriellaekaputri" TargetMode="External"/><Relationship Id="rId136" Type="http://schemas.openxmlformats.org/officeDocument/2006/relationships/hyperlink" Target="http://instagram.com/cantikalulu" TargetMode="External"/><Relationship Id="rId135" Type="http://schemas.openxmlformats.org/officeDocument/2006/relationships/hyperlink" Target="http://tiktok.com/@shellacletus" TargetMode="External"/><Relationship Id="rId134" Type="http://schemas.openxmlformats.org/officeDocument/2006/relationships/hyperlink" Target="http://instagram.com/shella_cletus" TargetMode="External"/><Relationship Id="rId133" Type="http://schemas.openxmlformats.org/officeDocument/2006/relationships/hyperlink" Target="http://tiktok.com/@eri_carl" TargetMode="External"/><Relationship Id="rId154" Type="http://schemas.openxmlformats.org/officeDocument/2006/relationships/hyperlink" Target="https://www.instagram.com/risyabrabo?igsh=MWRmazJuZHhsZWdqdg==" TargetMode="External"/><Relationship Id="rId153" Type="http://schemas.openxmlformats.org/officeDocument/2006/relationships/hyperlink" Target="https://www.tiktok.com/@afifahriyad?_r=1&amp;_t=ZS-95YSI8qdqiI" TargetMode="External"/><Relationship Id="rId152" Type="http://schemas.openxmlformats.org/officeDocument/2006/relationships/hyperlink" Target="https://www.instagram.com/afifahriyad?igsh=MWVjcnA3cDg5bGVjMg==" TargetMode="External"/><Relationship Id="rId151" Type="http://schemas.openxmlformats.org/officeDocument/2006/relationships/hyperlink" Target="https://www.tiktok.com/@sillacaroline?_r=1&amp;_t=ZS-95YQn7LQRui" TargetMode="External"/><Relationship Id="rId156" Type="http://schemas.openxmlformats.org/officeDocument/2006/relationships/drawing" Target="../drawings/drawing3.xml"/><Relationship Id="rId155" Type="http://schemas.openxmlformats.org/officeDocument/2006/relationships/hyperlink" Target="https://www.tiktok.com/@risyabrabo9?_r=1&amp;_t=ZS-95YSPUPh9Tc" TargetMode="External"/><Relationship Id="rId40" Type="http://schemas.openxmlformats.org/officeDocument/2006/relationships/hyperlink" Target="https://www.tiktok.com/@jelitawidiaw?is_from_webapp=1&amp;sender_device=pc" TargetMode="External"/><Relationship Id="rId42" Type="http://schemas.openxmlformats.org/officeDocument/2006/relationships/hyperlink" Target="https://www.tiktok.com/@nennyzoe?is_from_webapp=1&amp;sender_device=pc" TargetMode="External"/><Relationship Id="rId41" Type="http://schemas.openxmlformats.org/officeDocument/2006/relationships/hyperlink" Target="https://www.instagram.com/nennyzoe?igsh=dnM0dzA2NHM0OHps" TargetMode="External"/><Relationship Id="rId44" Type="http://schemas.openxmlformats.org/officeDocument/2006/relationships/hyperlink" Target="http://tiktok.com/@angelicamanopo" TargetMode="External"/><Relationship Id="rId43" Type="http://schemas.openxmlformats.org/officeDocument/2006/relationships/hyperlink" Target="http://instagram.com/angelicamanopo" TargetMode="External"/><Relationship Id="rId46" Type="http://schemas.openxmlformats.org/officeDocument/2006/relationships/hyperlink" Target="https://www.tiktok.com/@viaazulviani?is_from_webapp=1&amp;sender_device=pc" TargetMode="External"/><Relationship Id="rId45" Type="http://schemas.openxmlformats.org/officeDocument/2006/relationships/hyperlink" Target="https://www.instagram.com/viaazulviani?igsh=c3czMjlyb3luMG5u" TargetMode="External"/><Relationship Id="rId48" Type="http://schemas.openxmlformats.org/officeDocument/2006/relationships/hyperlink" Target="https://www.tiktok.com/@cyntiaar_?is_from_webapp=1&amp;sender_device=pc" TargetMode="External"/><Relationship Id="rId47" Type="http://schemas.openxmlformats.org/officeDocument/2006/relationships/hyperlink" Target="https://www.instagram.com/cyntiaar?igsh=YWpvZ2NiNmR1MzFh" TargetMode="External"/><Relationship Id="rId49" Type="http://schemas.openxmlformats.org/officeDocument/2006/relationships/hyperlink" Target="http://instagram.com/frdhuha" TargetMode="External"/><Relationship Id="rId31" Type="http://schemas.openxmlformats.org/officeDocument/2006/relationships/hyperlink" Target="https://www.instagram.com/alminetaaz?igsh=b2kyYWlxMjhpb3Vk" TargetMode="External"/><Relationship Id="rId30" Type="http://schemas.openxmlformats.org/officeDocument/2006/relationships/hyperlink" Target="https://www.tiktok.com/@seviqfebinita" TargetMode="External"/><Relationship Id="rId33" Type="http://schemas.openxmlformats.org/officeDocument/2006/relationships/hyperlink" Target="http://instagram.com/elyanisa_" TargetMode="External"/><Relationship Id="rId32" Type="http://schemas.openxmlformats.org/officeDocument/2006/relationships/hyperlink" Target="https://www.tiktok.com/@almineta?is_from_webapp=1&amp;sender_device=pc" TargetMode="External"/><Relationship Id="rId35" Type="http://schemas.openxmlformats.org/officeDocument/2006/relationships/hyperlink" Target="http://instagram.com/bellzky16" TargetMode="External"/><Relationship Id="rId34" Type="http://schemas.openxmlformats.org/officeDocument/2006/relationships/hyperlink" Target="http://tiktok.com/@elyanisaa" TargetMode="External"/><Relationship Id="rId37" Type="http://schemas.openxmlformats.org/officeDocument/2006/relationships/hyperlink" Target="https://www.instagram.com/hellodhanii" TargetMode="External"/><Relationship Id="rId36" Type="http://schemas.openxmlformats.org/officeDocument/2006/relationships/hyperlink" Target="http://tiktok.com/@bellzky16" TargetMode="External"/><Relationship Id="rId39" Type="http://schemas.openxmlformats.org/officeDocument/2006/relationships/hyperlink" Target="https://www.instagram.com/jelitawidiaw?igsh=Y2o4NTNubW1wYXVh" TargetMode="External"/><Relationship Id="rId38" Type="http://schemas.openxmlformats.org/officeDocument/2006/relationships/hyperlink" Target="https://www.tiktok.com/@hellodhani" TargetMode="External"/><Relationship Id="rId20" Type="http://schemas.openxmlformats.org/officeDocument/2006/relationships/hyperlink" Target="https://www.tiktok.com/@kayesssss?is_from_webapp=1&amp;sender_device=pc" TargetMode="External"/><Relationship Id="rId22" Type="http://schemas.openxmlformats.org/officeDocument/2006/relationships/hyperlink" Target="https://www.tiktok.com/@dileeedrn?is_from_webapp=1&amp;sender_device=pc" TargetMode="External"/><Relationship Id="rId21" Type="http://schemas.openxmlformats.org/officeDocument/2006/relationships/hyperlink" Target="https://www.instagram.com/nadiladrn?igsh=dGQxYWhnbW1zMDN1" TargetMode="External"/><Relationship Id="rId24" Type="http://schemas.openxmlformats.org/officeDocument/2006/relationships/hyperlink" Target="https://www.tiktok.com/@aisyafputri?is_from_webapp=1&amp;sender_device=pc" TargetMode="External"/><Relationship Id="rId23" Type="http://schemas.openxmlformats.org/officeDocument/2006/relationships/hyperlink" Target="https://www.instagram.com/aisyafputri" TargetMode="External"/><Relationship Id="rId26" Type="http://schemas.openxmlformats.org/officeDocument/2006/relationships/hyperlink" Target="http://tiktok.com/@aisyah_wanitakalem" TargetMode="External"/><Relationship Id="rId25" Type="http://schemas.openxmlformats.org/officeDocument/2006/relationships/hyperlink" Target="http://instagram.com/aisyah_putri17" TargetMode="External"/><Relationship Id="rId28" Type="http://schemas.openxmlformats.org/officeDocument/2006/relationships/hyperlink" Target="http://tiktok.com/@nabilabellai_" TargetMode="External"/><Relationship Id="rId27" Type="http://schemas.openxmlformats.org/officeDocument/2006/relationships/hyperlink" Target="http://instagram.com/nabilabellai_" TargetMode="External"/><Relationship Id="rId29" Type="http://schemas.openxmlformats.org/officeDocument/2006/relationships/hyperlink" Target="https://www.instagram.com/seviqfebinita/" TargetMode="External"/><Relationship Id="rId11" Type="http://schemas.openxmlformats.org/officeDocument/2006/relationships/hyperlink" Target="https://www.instagram.com/imasfahriaty_?igsh=MTV0anowb212YmI4dA==" TargetMode="External"/><Relationship Id="rId10" Type="http://schemas.openxmlformats.org/officeDocument/2006/relationships/hyperlink" Target="https://www.tiktok.com/@gelialinda?is_from_webapp=1&amp;sender_device=pc" TargetMode="External"/><Relationship Id="rId13" Type="http://schemas.openxmlformats.org/officeDocument/2006/relationships/hyperlink" Target="https://www.instagram.com/kekevaangelista?igsh=MXUzYWFvaWtmeGZhNg==" TargetMode="External"/><Relationship Id="rId12" Type="http://schemas.openxmlformats.org/officeDocument/2006/relationships/hyperlink" Target="https://www.tiktok.com/@imasfahriaty_?is_from_webapp=1&amp;sender_device=pc" TargetMode="External"/><Relationship Id="rId15" Type="http://schemas.openxmlformats.org/officeDocument/2006/relationships/hyperlink" Target="https://www.instagram.com/putrinahari?igsh=YWV2Mm8yaWdwcnlk" TargetMode="External"/><Relationship Id="rId14" Type="http://schemas.openxmlformats.org/officeDocument/2006/relationships/hyperlink" Target="https://www.tiktok.com/@kekevaangelista?is_from_webapp=1&amp;sender_device=pc" TargetMode="External"/><Relationship Id="rId17" Type="http://schemas.openxmlformats.org/officeDocument/2006/relationships/hyperlink" Target="https://www.instagram.com/trishaazia?igsh=ZDRvOGhtODBqN25v" TargetMode="External"/><Relationship Id="rId16" Type="http://schemas.openxmlformats.org/officeDocument/2006/relationships/hyperlink" Target="https://www.tiktok.com/@putrinaharira" TargetMode="External"/><Relationship Id="rId19" Type="http://schemas.openxmlformats.org/officeDocument/2006/relationships/hyperlink" Target="https://www.instagram.com/ka.reys?igsh=Y2NzNWEyenBjYTkx" TargetMode="External"/><Relationship Id="rId18" Type="http://schemas.openxmlformats.org/officeDocument/2006/relationships/hyperlink" Target="https://www.tiktok.com/@trishaaazia?is_from_webapp=1&amp;sender_device=pc" TargetMode="External"/><Relationship Id="rId84" Type="http://schemas.openxmlformats.org/officeDocument/2006/relationships/hyperlink" Target="https://www.instagram.com/yourminbite/" TargetMode="External"/><Relationship Id="rId83" Type="http://schemas.openxmlformats.org/officeDocument/2006/relationships/hyperlink" Target="https://www.tiktok.com/@keziaaletheia" TargetMode="External"/><Relationship Id="rId86" Type="http://schemas.openxmlformats.org/officeDocument/2006/relationships/hyperlink" Target="https://www.instagram.com/reginaaphx" TargetMode="External"/><Relationship Id="rId85" Type="http://schemas.openxmlformats.org/officeDocument/2006/relationships/hyperlink" Target="https://www.tiktok.com/@yourminbite" TargetMode="External"/><Relationship Id="rId88" Type="http://schemas.openxmlformats.org/officeDocument/2006/relationships/hyperlink" Target="http://instagram.com/rachelvennya" TargetMode="External"/><Relationship Id="rId87" Type="http://schemas.openxmlformats.org/officeDocument/2006/relationships/hyperlink" Target="https://www.tiktok.com/@reginaphx" TargetMode="External"/><Relationship Id="rId89" Type="http://schemas.openxmlformats.org/officeDocument/2006/relationships/hyperlink" Target="https://www.tiktok.com/@rachelvennya" TargetMode="External"/><Relationship Id="rId80" Type="http://schemas.openxmlformats.org/officeDocument/2006/relationships/hyperlink" Target="https://www.instagram.com/jenniferchrstie/" TargetMode="External"/><Relationship Id="rId82" Type="http://schemas.openxmlformats.org/officeDocument/2006/relationships/hyperlink" Target="https://www.instagram.com/kezialetheia/" TargetMode="External"/><Relationship Id="rId81" Type="http://schemas.openxmlformats.org/officeDocument/2006/relationships/hyperlink" Target="https://www.tiktok.com/@jenniferchrstie" TargetMode="External"/><Relationship Id="rId73" Type="http://schemas.openxmlformats.org/officeDocument/2006/relationships/hyperlink" Target="http://tiktok.com/@jehianps" TargetMode="External"/><Relationship Id="rId72" Type="http://schemas.openxmlformats.org/officeDocument/2006/relationships/hyperlink" Target="http://instagram.com/emyaghnia" TargetMode="External"/><Relationship Id="rId75" Type="http://schemas.openxmlformats.org/officeDocument/2006/relationships/hyperlink" Target="https://www.tiktok.com/@gabybsaputraa?is_from_webapp=1&amp;sender_device=pc" TargetMode="External"/><Relationship Id="rId74" Type="http://schemas.openxmlformats.org/officeDocument/2006/relationships/hyperlink" Target="https://www.instagram.com/gabybsaputra?utm_source=ig_web_button_share_sheet&amp;igsh=ZDNlZDc0MzIxNw==" TargetMode="External"/><Relationship Id="rId77" Type="http://schemas.openxmlformats.org/officeDocument/2006/relationships/hyperlink" Target="http://tiktok.com/@abel_cantika" TargetMode="External"/><Relationship Id="rId76" Type="http://schemas.openxmlformats.org/officeDocument/2006/relationships/hyperlink" Target="http://instagram.com/abellyc" TargetMode="External"/><Relationship Id="rId79" Type="http://schemas.openxmlformats.org/officeDocument/2006/relationships/hyperlink" Target="https://www.tiktok.com/@rucenuenda1?is_from_webapp=1&amp;sender_device=pc" TargetMode="External"/><Relationship Id="rId78" Type="http://schemas.openxmlformats.org/officeDocument/2006/relationships/hyperlink" Target="https://www.instagram.com/rucenuenda?igsh=MWk4ZGliNDYwbG10cg==" TargetMode="External"/><Relationship Id="rId71" Type="http://schemas.openxmlformats.org/officeDocument/2006/relationships/hyperlink" Target="http://tiktok.com/@aalmassaid" TargetMode="External"/><Relationship Id="rId70" Type="http://schemas.openxmlformats.org/officeDocument/2006/relationships/hyperlink" Target="http://instagram.com/aaliyah.massaid" TargetMode="External"/><Relationship Id="rId62" Type="http://schemas.openxmlformats.org/officeDocument/2006/relationships/hyperlink" Target="https://www.tiktok.com/@jessivns?is_from_webapp=1&amp;sender_device=pc" TargetMode="External"/><Relationship Id="rId61" Type="http://schemas.openxmlformats.org/officeDocument/2006/relationships/hyperlink" Target="https://www.instagram.com/jessicashainaa?igsh=dmk5aGw4dnlvM2s5" TargetMode="External"/><Relationship Id="rId64" Type="http://schemas.openxmlformats.org/officeDocument/2006/relationships/hyperlink" Target="https://www.tiktok.com/@sasyaclarissa_?is_from_webapp=1&amp;sender_device=pc" TargetMode="External"/><Relationship Id="rId63" Type="http://schemas.openxmlformats.org/officeDocument/2006/relationships/hyperlink" Target="https://www.instagram.com/sasyaclarissa/" TargetMode="External"/><Relationship Id="rId66" Type="http://schemas.openxmlformats.org/officeDocument/2006/relationships/hyperlink" Target="https://www.tiktok.com/@salmaaristiana?is_from_webapp=1&amp;sender_device=pc" TargetMode="External"/><Relationship Id="rId65" Type="http://schemas.openxmlformats.org/officeDocument/2006/relationships/hyperlink" Target="https://www.instagram.com/salmaristiana?igsh=eXVrc21lZGx4MDJp" TargetMode="External"/><Relationship Id="rId68" Type="http://schemas.openxmlformats.org/officeDocument/2006/relationships/hyperlink" Target="https://www.tiktok.com/@rifani665?is_from_webapp=1&amp;sender_device=pc" TargetMode="External"/><Relationship Id="rId67" Type="http://schemas.openxmlformats.org/officeDocument/2006/relationships/hyperlink" Target="https://www.instagram.com/rifaeny0/" TargetMode="External"/><Relationship Id="rId60" Type="http://schemas.openxmlformats.org/officeDocument/2006/relationships/hyperlink" Target="http://tiktok.com/@mutiarsh" TargetMode="External"/><Relationship Id="rId69" Type="http://schemas.openxmlformats.org/officeDocument/2006/relationships/hyperlink" Target="https://www.tiktok.com/@almineta2?is_from_webapp=1&amp;sender_device=pc" TargetMode="External"/><Relationship Id="rId51" Type="http://schemas.openxmlformats.org/officeDocument/2006/relationships/hyperlink" Target="https://www.instagram.com/vsbvi" TargetMode="External"/><Relationship Id="rId50" Type="http://schemas.openxmlformats.org/officeDocument/2006/relationships/hyperlink" Target="http://tiktok.com/@faridahuha" TargetMode="External"/><Relationship Id="rId53" Type="http://schemas.openxmlformats.org/officeDocument/2006/relationships/hyperlink" Target="https://www.instagram.com/keziagc?igsh=ODNoZWZmcjg2czgw" TargetMode="External"/><Relationship Id="rId52" Type="http://schemas.openxmlformats.org/officeDocument/2006/relationships/hyperlink" Target="https://www.tiktok.com/@vsbvix?is_from_webapp=1&amp;sender_device=pc" TargetMode="External"/><Relationship Id="rId55" Type="http://schemas.openxmlformats.org/officeDocument/2006/relationships/hyperlink" Target="https://www.instagram.com/sylvamulachelaa?igsh=MThldGh3NW80aGI3" TargetMode="External"/><Relationship Id="rId54" Type="http://schemas.openxmlformats.org/officeDocument/2006/relationships/hyperlink" Target="https://www.tiktok.com/@keziagc?is_from_webapp=1&amp;sender_device=pc" TargetMode="External"/><Relationship Id="rId57" Type="http://schemas.openxmlformats.org/officeDocument/2006/relationships/hyperlink" Target="https://www.instagram.com/ulyaslsss__?igsh=MWRxZWYwdDlsbnhtYQ==" TargetMode="External"/><Relationship Id="rId56" Type="http://schemas.openxmlformats.org/officeDocument/2006/relationships/hyperlink" Target="https://www.tiktok.com/@sylvamulachelaa?is_from_webapp=1&amp;sender_device=pc" TargetMode="External"/><Relationship Id="rId59" Type="http://schemas.openxmlformats.org/officeDocument/2006/relationships/hyperlink" Target="https://www.instagram.com/mutiarasgt?igsh=bnVnZTJjYnNpeTRp" TargetMode="External"/><Relationship Id="rId58" Type="http://schemas.openxmlformats.org/officeDocument/2006/relationships/hyperlink" Target="https://www.tiktok.com/@ulyasalsabilaa?is_from_webapp=1&amp;sender_device=pc" TargetMode="External"/><Relationship Id="rId107" Type="http://schemas.openxmlformats.org/officeDocument/2006/relationships/hyperlink" Target="http://tiktok.com/@meyandjoe" TargetMode="External"/><Relationship Id="rId106" Type="http://schemas.openxmlformats.org/officeDocument/2006/relationships/hyperlink" Target="http://instagram.com/meyandjoe_" TargetMode="External"/><Relationship Id="rId105" Type="http://schemas.openxmlformats.org/officeDocument/2006/relationships/hyperlink" Target="http://tiktok.com/@aulianuzl" TargetMode="External"/><Relationship Id="rId104" Type="http://schemas.openxmlformats.org/officeDocument/2006/relationships/hyperlink" Target="http://instagram.com/tutorialhidub" TargetMode="External"/><Relationship Id="rId109" Type="http://schemas.openxmlformats.org/officeDocument/2006/relationships/hyperlink" Target="http://tiktok.com/@sarahtumiwa" TargetMode="External"/><Relationship Id="rId108" Type="http://schemas.openxmlformats.org/officeDocument/2006/relationships/hyperlink" Target="http://instagram.com/sarahtumiwa" TargetMode="External"/><Relationship Id="rId103" Type="http://schemas.openxmlformats.org/officeDocument/2006/relationships/hyperlink" Target="https://www.tiktok.com/@jejekaliya" TargetMode="External"/><Relationship Id="rId102" Type="http://schemas.openxmlformats.org/officeDocument/2006/relationships/hyperlink" Target="https://www.instagram.com/jessicaklppr/" TargetMode="External"/><Relationship Id="rId101" Type="http://schemas.openxmlformats.org/officeDocument/2006/relationships/hyperlink" Target="http://tiktok.com/@_shaz" TargetMode="External"/><Relationship Id="rId100" Type="http://schemas.openxmlformats.org/officeDocument/2006/relationships/hyperlink" Target="http://instagram.com/shazhaniaa" TargetMode="External"/><Relationship Id="rId129" Type="http://schemas.openxmlformats.org/officeDocument/2006/relationships/hyperlink" Target="http://tiktok.com/@jennifer.coppen" TargetMode="External"/><Relationship Id="rId128" Type="http://schemas.openxmlformats.org/officeDocument/2006/relationships/hyperlink" Target="http://instagram.com/jennifercoppenreal20" TargetMode="External"/><Relationship Id="rId127" Type="http://schemas.openxmlformats.org/officeDocument/2006/relationships/hyperlink" Target="http://tiktok.com/@wynnneug" TargetMode="External"/><Relationship Id="rId126" Type="http://schemas.openxmlformats.org/officeDocument/2006/relationships/hyperlink" Target="http://instagram.com/wynnneug" TargetMode="External"/><Relationship Id="rId121" Type="http://schemas.openxmlformats.org/officeDocument/2006/relationships/hyperlink" Target="https://www.tiktok.com/@ratuauliaa22" TargetMode="External"/><Relationship Id="rId120" Type="http://schemas.openxmlformats.org/officeDocument/2006/relationships/hyperlink" Target="https://www.instagram.com/ratuaulia22_/" TargetMode="External"/><Relationship Id="rId125" Type="http://schemas.openxmlformats.org/officeDocument/2006/relationships/hyperlink" Target="http://tiktok.com/@miskashf" TargetMode="External"/><Relationship Id="rId124" Type="http://schemas.openxmlformats.org/officeDocument/2006/relationships/hyperlink" Target="http://instagram.com/miskashf" TargetMode="External"/><Relationship Id="rId123" Type="http://schemas.openxmlformats.org/officeDocument/2006/relationships/hyperlink" Target="http://tiktok.com/@clarissaputrih" TargetMode="External"/><Relationship Id="rId122" Type="http://schemas.openxmlformats.org/officeDocument/2006/relationships/hyperlink" Target="http://instagram.com/clarissaputri_" TargetMode="External"/><Relationship Id="rId95" Type="http://schemas.openxmlformats.org/officeDocument/2006/relationships/hyperlink" Target="https://www.tiktok.com/@niaghan?is_from_webapp=1&amp;sender_device=pc" TargetMode="External"/><Relationship Id="rId94" Type="http://schemas.openxmlformats.org/officeDocument/2006/relationships/hyperlink" Target="https://www.instagram.com/niaghania?igsh=MTEzNWQ1M3o2b2N5dA==" TargetMode="External"/><Relationship Id="rId97" Type="http://schemas.openxmlformats.org/officeDocument/2006/relationships/hyperlink" Target="https://www.tiktok.com/@ferraagustina2?is_from_webapp=1&amp;sender_device=pc" TargetMode="External"/><Relationship Id="rId96" Type="http://schemas.openxmlformats.org/officeDocument/2006/relationships/hyperlink" Target="https://www.instagram.com/ferra_agustina?igsh=MWQ4MnBlbDhuZGQ4bA==" TargetMode="External"/><Relationship Id="rId99" Type="http://schemas.openxmlformats.org/officeDocument/2006/relationships/hyperlink" Target="https://www.tiktok.com/@galyasgeulis?is_from_webapp=1&amp;sender_device=pc" TargetMode="External"/><Relationship Id="rId98" Type="http://schemas.openxmlformats.org/officeDocument/2006/relationships/hyperlink" Target="https://www.instagram.com/galyasgeulis?igsh=MTA4cjMzMG9oN2didQ==" TargetMode="External"/><Relationship Id="rId91" Type="http://schemas.openxmlformats.org/officeDocument/2006/relationships/hyperlink" Target="https://www.tiktok.com/@shaturday?is_from_webapp=1&amp;sender_device=pc" TargetMode="External"/><Relationship Id="rId90" Type="http://schemas.openxmlformats.org/officeDocument/2006/relationships/hyperlink" Target="https://www.instagram.com/shadirafirdausii?igsh=Nm5oamV3ZjViNnp2" TargetMode="External"/><Relationship Id="rId93" Type="http://schemas.openxmlformats.org/officeDocument/2006/relationships/hyperlink" Target="https://www.tiktok.com/@dewizuhriati?is_from_webapp=1&amp;sender_device=pc" TargetMode="External"/><Relationship Id="rId92" Type="http://schemas.openxmlformats.org/officeDocument/2006/relationships/hyperlink" Target="https://www.instagram.com/dewizuhriati?igsh=MXc1anQwcmNiNXVydQ==" TargetMode="External"/><Relationship Id="rId118" Type="http://schemas.openxmlformats.org/officeDocument/2006/relationships/hyperlink" Target="https://www.instagram.com/violenziajean/" TargetMode="External"/><Relationship Id="rId117" Type="http://schemas.openxmlformats.org/officeDocument/2006/relationships/hyperlink" Target="https://www.tiktok.com/@ndhiraa07" TargetMode="External"/><Relationship Id="rId116" Type="http://schemas.openxmlformats.org/officeDocument/2006/relationships/hyperlink" Target="https://www.instagram.com/syafira_hdd/" TargetMode="External"/><Relationship Id="rId115" Type="http://schemas.openxmlformats.org/officeDocument/2006/relationships/hyperlink" Target="https://www.tiktok.com/@iranandha?lang=en" TargetMode="External"/><Relationship Id="rId119" Type="http://schemas.openxmlformats.org/officeDocument/2006/relationships/hyperlink" Target="https://www.tiktok.com/@violenziajeanette" TargetMode="External"/><Relationship Id="rId110" Type="http://schemas.openxmlformats.org/officeDocument/2006/relationships/hyperlink" Target="http://instagram.com/fahiramira" TargetMode="External"/><Relationship Id="rId114" Type="http://schemas.openxmlformats.org/officeDocument/2006/relationships/hyperlink" Target="https://www.instagram.com/iranndha/" TargetMode="External"/><Relationship Id="rId113" Type="http://schemas.openxmlformats.org/officeDocument/2006/relationships/hyperlink" Target="http://tiktok.com/@unadembler25" TargetMode="External"/><Relationship Id="rId112" Type="http://schemas.openxmlformats.org/officeDocument/2006/relationships/hyperlink" Target="http://instagram.com/unadembler" TargetMode="External"/><Relationship Id="rId111" Type="http://schemas.openxmlformats.org/officeDocument/2006/relationships/hyperlink" Target="http://tiktok.com/@fahiramir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akanlurrrr?igsh=MTRzMW9oZ214NmI2ZQ==" TargetMode="External"/><Relationship Id="rId2" Type="http://schemas.openxmlformats.org/officeDocument/2006/relationships/hyperlink" Target="https://www.tiktok.com/@makanlurr?is_from_webapp=1&amp;sender_device=pc" TargetMode="External"/><Relationship Id="rId3" Type="http://schemas.openxmlformats.org/officeDocument/2006/relationships/hyperlink" Target="https://www.instagram.com/fazmifebriana_?igsh=MTczcTR2aTh0bDl1aA==" TargetMode="External"/><Relationship Id="rId4" Type="http://schemas.openxmlformats.org/officeDocument/2006/relationships/hyperlink" Target="https://www.tiktok.com/@fazmif_?is_from_webapp=1&amp;sender_device=pc" TargetMode="External"/><Relationship Id="rId9" Type="http://schemas.openxmlformats.org/officeDocument/2006/relationships/hyperlink" Target="http://instagram.com/elnandautomo" TargetMode="External"/><Relationship Id="rId5" Type="http://schemas.openxmlformats.org/officeDocument/2006/relationships/hyperlink" Target="https://www.instagram.com/fauzanakhdan?igsh=MW5uZDV0d3E1YWIyaQ==" TargetMode="External"/><Relationship Id="rId6" Type="http://schemas.openxmlformats.org/officeDocument/2006/relationships/hyperlink" Target="https://www.tiktok.com/@fauzanakhdan?is_from_webapp=1&amp;sender_device=pc" TargetMode="External"/><Relationship Id="rId7" Type="http://schemas.openxmlformats.org/officeDocument/2006/relationships/hyperlink" Target="https://www.instagram.com/faridnuralimm_" TargetMode="External"/><Relationship Id="rId8" Type="http://schemas.openxmlformats.org/officeDocument/2006/relationships/hyperlink" Target="https://www.tiktok.com/@aidnnn2?lang=en" TargetMode="External"/><Relationship Id="rId40" Type="http://schemas.openxmlformats.org/officeDocument/2006/relationships/hyperlink" Target="https://www.tiktok.com/@fachrulhadid?is_from_webapp=1&amp;sender_device=pc" TargetMode="External"/><Relationship Id="rId42" Type="http://schemas.openxmlformats.org/officeDocument/2006/relationships/hyperlink" Target="https://www.tiktok.com/@mahasiswagendut2?lang=en" TargetMode="External"/><Relationship Id="rId41" Type="http://schemas.openxmlformats.org/officeDocument/2006/relationships/hyperlink" Target="https://www.instagram.com/renaldfadli/%E2%80%A8" TargetMode="External"/><Relationship Id="rId44" Type="http://schemas.openxmlformats.org/officeDocument/2006/relationships/hyperlink" Target="https://www.tiktok.com/@emilmario69?lang=en" TargetMode="External"/><Relationship Id="rId43" Type="http://schemas.openxmlformats.org/officeDocument/2006/relationships/hyperlink" Target="http://instagram.com/emilmari0" TargetMode="External"/><Relationship Id="rId46" Type="http://schemas.openxmlformats.org/officeDocument/2006/relationships/hyperlink" Target="https://www.tiktok.com/@gilangsamiadji?lang=en" TargetMode="External"/><Relationship Id="rId45" Type="http://schemas.openxmlformats.org/officeDocument/2006/relationships/hyperlink" Target="https://www.instagram.com/gilangsamiadji" TargetMode="External"/><Relationship Id="rId48" Type="http://schemas.openxmlformats.org/officeDocument/2006/relationships/hyperlink" Target="https://www.tiktok.com/@fadlanholao?lang=en" TargetMode="External"/><Relationship Id="rId47" Type="http://schemas.openxmlformats.org/officeDocument/2006/relationships/hyperlink" Target="https://www.instagram.com/holaofadlan/" TargetMode="External"/><Relationship Id="rId49" Type="http://schemas.openxmlformats.org/officeDocument/2006/relationships/hyperlink" Target="http://instagram.com/__ehan" TargetMode="External"/><Relationship Id="rId31" Type="http://schemas.openxmlformats.org/officeDocument/2006/relationships/hyperlink" Target="https://www.instagram.com/opah_faisal?igsh=cmdueGN3OGprbGNr" TargetMode="External"/><Relationship Id="rId30" Type="http://schemas.openxmlformats.org/officeDocument/2006/relationships/hyperlink" Target="http://tiktok.com/@mike__frans" TargetMode="External"/><Relationship Id="rId33" Type="http://schemas.openxmlformats.org/officeDocument/2006/relationships/hyperlink" Target="https://www.instagram.com/harbie16?igsh=bm96aGpjZ2xkNXFk" TargetMode="External"/><Relationship Id="rId32" Type="http://schemas.openxmlformats.org/officeDocument/2006/relationships/hyperlink" Target="https://www.tiktok.com/@opahgalareal?is_from_webapp=1&amp;sender_device=pc" TargetMode="External"/><Relationship Id="rId35" Type="http://schemas.openxmlformats.org/officeDocument/2006/relationships/hyperlink" Target="https://www.instagram.com/ayunghadid/" TargetMode="External"/><Relationship Id="rId34" Type="http://schemas.openxmlformats.org/officeDocument/2006/relationships/hyperlink" Target="https://www.tiktok.com/@harbie16?is_from_webapp=1&amp;sender_device=pc" TargetMode="External"/><Relationship Id="rId37" Type="http://schemas.openxmlformats.org/officeDocument/2006/relationships/hyperlink" Target="https://www.instagram.com/bagas__dribble/" TargetMode="External"/><Relationship Id="rId36" Type="http://schemas.openxmlformats.org/officeDocument/2006/relationships/hyperlink" Target="https://www.tiktok.com/@fachrulhadid?is_from_webapp=1&amp;sender_device=pc" TargetMode="External"/><Relationship Id="rId39" Type="http://schemas.openxmlformats.org/officeDocument/2006/relationships/hyperlink" Target="https://www.instagram.com/fachrulhadid" TargetMode="External"/><Relationship Id="rId38" Type="http://schemas.openxmlformats.org/officeDocument/2006/relationships/hyperlink" Target="https://www.tiktok.com/@s4y4_im0t" TargetMode="External"/><Relationship Id="rId20" Type="http://schemas.openxmlformats.org/officeDocument/2006/relationships/hyperlink" Target="http://tiktok.com/@hasbyalf" TargetMode="External"/><Relationship Id="rId22" Type="http://schemas.openxmlformats.org/officeDocument/2006/relationships/hyperlink" Target="https://www.tiktok.com/@ficrafth" TargetMode="External"/><Relationship Id="rId21" Type="http://schemas.openxmlformats.org/officeDocument/2006/relationships/hyperlink" Target="http://instagram.com/ficrafth" TargetMode="External"/><Relationship Id="rId24" Type="http://schemas.openxmlformats.org/officeDocument/2006/relationships/hyperlink" Target="https://www.tiktok.com/@kenbun88" TargetMode="External"/><Relationship Id="rId23" Type="http://schemas.openxmlformats.org/officeDocument/2006/relationships/hyperlink" Target="https://www.instagram.com/hoveryponen12?igsh=bDdtYW1xY2ZmYWp6" TargetMode="External"/><Relationship Id="rId26" Type="http://schemas.openxmlformats.org/officeDocument/2006/relationships/hyperlink" Target="https://www.tiktok.com/@fadlyfsl_" TargetMode="External"/><Relationship Id="rId25" Type="http://schemas.openxmlformats.org/officeDocument/2006/relationships/hyperlink" Target="https://www.instagram.com/fadlyfsl_/?hl=id" TargetMode="External"/><Relationship Id="rId28" Type="http://schemas.openxmlformats.org/officeDocument/2006/relationships/hyperlink" Target="http://tiktok.com/@jehianps" TargetMode="External"/><Relationship Id="rId27" Type="http://schemas.openxmlformats.org/officeDocument/2006/relationships/hyperlink" Target="http://instagram.com/jehianps" TargetMode="External"/><Relationship Id="rId29" Type="http://schemas.openxmlformats.org/officeDocument/2006/relationships/hyperlink" Target="http://instagram.com/mike__frans" TargetMode="External"/><Relationship Id="rId11" Type="http://schemas.openxmlformats.org/officeDocument/2006/relationships/hyperlink" Target="https://www.instagram.com/juandadaly" TargetMode="External"/><Relationship Id="rId10" Type="http://schemas.openxmlformats.org/officeDocument/2006/relationships/hyperlink" Target="http://tiktok.com/@elnandautomoo" TargetMode="External"/><Relationship Id="rId13" Type="http://schemas.openxmlformats.org/officeDocument/2006/relationships/hyperlink" Target="https://www.instagram.com/redcah?igsh=MTJxeWtyZGZsZHVwNw==" TargetMode="External"/><Relationship Id="rId12" Type="http://schemas.openxmlformats.org/officeDocument/2006/relationships/hyperlink" Target="https://www.tiktok.com/@juandadaly?is_from_webapp=1&amp;sender_device=pc" TargetMode="External"/><Relationship Id="rId15" Type="http://schemas.openxmlformats.org/officeDocument/2006/relationships/hyperlink" Target="https://www.instagram.com/luthfy.h20/" TargetMode="External"/><Relationship Id="rId14" Type="http://schemas.openxmlformats.org/officeDocument/2006/relationships/hyperlink" Target="https://www.tiktok.com/@redcah?is_from_webapp=1&amp;sender_device=pc" TargetMode="External"/><Relationship Id="rId17" Type="http://schemas.openxmlformats.org/officeDocument/2006/relationships/hyperlink" Target="https://www.instagram.com/rizkywahyudinata_" TargetMode="External"/><Relationship Id="rId16" Type="http://schemas.openxmlformats.org/officeDocument/2006/relationships/hyperlink" Target="https://www.tiktok.com/@luthfy.h20?is_from_webapp=1&amp;sender_device=pc" TargetMode="External"/><Relationship Id="rId19" Type="http://schemas.openxmlformats.org/officeDocument/2006/relationships/hyperlink" Target="http://instagram.com/hasbyalf" TargetMode="External"/><Relationship Id="rId18" Type="http://schemas.openxmlformats.org/officeDocument/2006/relationships/hyperlink" Target="https://www.tiktok.com/@amoskiduy0512?is_from_webapp=1&amp;sender_device=pc" TargetMode="External"/><Relationship Id="rId80" Type="http://schemas.openxmlformats.org/officeDocument/2006/relationships/hyperlink" Target="http://tiktok.com/@restudehin" TargetMode="External"/><Relationship Id="rId81" Type="http://schemas.openxmlformats.org/officeDocument/2006/relationships/drawing" Target="../drawings/drawing4.xml"/><Relationship Id="rId73" Type="http://schemas.openxmlformats.org/officeDocument/2006/relationships/hyperlink" Target="http://instagram.com/daehoon_na" TargetMode="External"/><Relationship Id="rId72" Type="http://schemas.openxmlformats.org/officeDocument/2006/relationships/hyperlink" Target="http://tiktok.com/@hansoljang110" TargetMode="External"/><Relationship Id="rId75" Type="http://schemas.openxmlformats.org/officeDocument/2006/relationships/hyperlink" Target="http://instagram.com/juliobowi" TargetMode="External"/><Relationship Id="rId74" Type="http://schemas.openxmlformats.org/officeDocument/2006/relationships/hyperlink" Target="http://tiktok.com/@aadaehoon" TargetMode="External"/><Relationship Id="rId77" Type="http://schemas.openxmlformats.org/officeDocument/2006/relationships/hyperlink" Target="http://instagram.com/rofiefauzie" TargetMode="External"/><Relationship Id="rId76" Type="http://schemas.openxmlformats.org/officeDocument/2006/relationships/hyperlink" Target="http://tiktok.com/@juliobowi" TargetMode="External"/><Relationship Id="rId79" Type="http://schemas.openxmlformats.org/officeDocument/2006/relationships/hyperlink" Target="http://instagram.com/mrleizhu" TargetMode="External"/><Relationship Id="rId78" Type="http://schemas.openxmlformats.org/officeDocument/2006/relationships/hyperlink" Target="http://tiktok.com/@hirofie" TargetMode="External"/><Relationship Id="rId71" Type="http://schemas.openxmlformats.org/officeDocument/2006/relationships/hyperlink" Target="http://instagram.com/hansoljang110" TargetMode="External"/><Relationship Id="rId70" Type="http://schemas.openxmlformats.org/officeDocument/2006/relationships/hyperlink" Target="http://tiktok.com/@jerhemynemoo" TargetMode="External"/><Relationship Id="rId62" Type="http://schemas.openxmlformats.org/officeDocument/2006/relationships/hyperlink" Target="http://tiktok.com/@teukuryantr" TargetMode="External"/><Relationship Id="rId61" Type="http://schemas.openxmlformats.org/officeDocument/2006/relationships/hyperlink" Target="http://instagram.com/teukuryantr" TargetMode="External"/><Relationship Id="rId64" Type="http://schemas.openxmlformats.org/officeDocument/2006/relationships/hyperlink" Target="http://tiktok.com/@dhip___" TargetMode="External"/><Relationship Id="rId63" Type="http://schemas.openxmlformats.org/officeDocument/2006/relationships/hyperlink" Target="http://instagram.com/sandrofahdhipa" TargetMode="External"/><Relationship Id="rId66" Type="http://schemas.openxmlformats.org/officeDocument/2006/relationships/hyperlink" Target="http://tiktok.com/@fadiljaidi" TargetMode="External"/><Relationship Id="rId65" Type="http://schemas.openxmlformats.org/officeDocument/2006/relationships/hyperlink" Target="http://instagram.com/fadiljaidi" TargetMode="External"/><Relationship Id="rId68" Type="http://schemas.openxmlformats.org/officeDocument/2006/relationships/hyperlink" Target="http://tiktok.com/@jeromepolin98" TargetMode="External"/><Relationship Id="rId67" Type="http://schemas.openxmlformats.org/officeDocument/2006/relationships/hyperlink" Target="http://instagram.com/jeromepolin" TargetMode="External"/><Relationship Id="rId60" Type="http://schemas.openxmlformats.org/officeDocument/2006/relationships/hyperlink" Target="http://tiktok.com/@dictionarei" TargetMode="External"/><Relationship Id="rId69" Type="http://schemas.openxmlformats.org/officeDocument/2006/relationships/hyperlink" Target="http://instagram.com/jerhemynemo" TargetMode="External"/><Relationship Id="rId51" Type="http://schemas.openxmlformats.org/officeDocument/2006/relationships/hyperlink" Target="https://www.instagram.com/kaffanugroho" TargetMode="External"/><Relationship Id="rId50" Type="http://schemas.openxmlformats.org/officeDocument/2006/relationships/hyperlink" Target="http://tiktok.com/@__ehan" TargetMode="External"/><Relationship Id="rId53" Type="http://schemas.openxmlformats.org/officeDocument/2006/relationships/hyperlink" Target="http://instagram.com/farhanrn__" TargetMode="External"/><Relationship Id="rId52" Type="http://schemas.openxmlformats.org/officeDocument/2006/relationships/hyperlink" Target="https://www.tiktok.com/@pardonmypresence?lang=en" TargetMode="External"/><Relationship Id="rId55" Type="http://schemas.openxmlformats.org/officeDocument/2006/relationships/hyperlink" Target="https://www.instagram.com/abipraya28" TargetMode="External"/><Relationship Id="rId54" Type="http://schemas.openxmlformats.org/officeDocument/2006/relationships/hyperlink" Target="https://www.tiktok.com/@farhanrn__" TargetMode="External"/><Relationship Id="rId57" Type="http://schemas.openxmlformats.org/officeDocument/2006/relationships/hyperlink" Target="http://instagram.com/nonikmeniesszt" TargetMode="External"/><Relationship Id="rId56" Type="http://schemas.openxmlformats.org/officeDocument/2006/relationships/hyperlink" Target="http://tiktok.com/@reyyyz" TargetMode="External"/><Relationship Id="rId59" Type="http://schemas.openxmlformats.org/officeDocument/2006/relationships/hyperlink" Target="http://instagram.com/reizukaaari" TargetMode="External"/><Relationship Id="rId58" Type="http://schemas.openxmlformats.org/officeDocument/2006/relationships/hyperlink" Target="http://tiktok.com/@nonikmeniesz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klopperr?igsh=MWlyamtsM2FlY3UzMQ==" TargetMode="External"/><Relationship Id="rId2" Type="http://schemas.openxmlformats.org/officeDocument/2006/relationships/hyperlink" Target="http://tiktok.com/@rkloppperr" TargetMode="External"/><Relationship Id="rId3" Type="http://schemas.openxmlformats.org/officeDocument/2006/relationships/hyperlink" Target="https://www.instagram.com/nadiladrn?igsh=dGQxYWhnbW1zMDN1" TargetMode="External"/><Relationship Id="rId4" Type="http://schemas.openxmlformats.org/officeDocument/2006/relationships/hyperlink" Target="https://www.tiktok.com/@dileeedrn?is_from_webapp=1&amp;sender_device=pc" TargetMode="External"/><Relationship Id="rId9" Type="http://schemas.openxmlformats.org/officeDocument/2006/relationships/hyperlink" Target="https://www.instagram.com/nennyzoe?igsh=dnM0dzA2NHM0OHps" TargetMode="External"/><Relationship Id="rId5" Type="http://schemas.openxmlformats.org/officeDocument/2006/relationships/hyperlink" Target="https://www.instagram.com/alminetaaz?igsh=b2kyYWlxMjhpb3Vk" TargetMode="External"/><Relationship Id="rId6" Type="http://schemas.openxmlformats.org/officeDocument/2006/relationships/hyperlink" Target="https://www.tiktok.com/@almineta?is_from_webapp=1&amp;sender_device=pc" TargetMode="External"/><Relationship Id="rId7" Type="http://schemas.openxmlformats.org/officeDocument/2006/relationships/hyperlink" Target="https://www.instagram.com/hellodhanii" TargetMode="External"/><Relationship Id="rId8" Type="http://schemas.openxmlformats.org/officeDocument/2006/relationships/hyperlink" Target="https://www.tiktok.com/@hellodhani" TargetMode="External"/><Relationship Id="rId40" Type="http://schemas.openxmlformats.org/officeDocument/2006/relationships/hyperlink" Target="https://www.instagram.com/gabybsaputra?utm_source=ig_web_button_share_sheet&amp;igsh=ZDNlZDc0MzIxNw==" TargetMode="External"/><Relationship Id="rId42" Type="http://schemas.openxmlformats.org/officeDocument/2006/relationships/hyperlink" Target="http://instagram.com/abellyc" TargetMode="External"/><Relationship Id="rId41" Type="http://schemas.openxmlformats.org/officeDocument/2006/relationships/hyperlink" Target="https://www.tiktok.com/@gabybsaputraa?is_from_webapp=1&amp;sender_device=pc" TargetMode="External"/><Relationship Id="rId44" Type="http://schemas.openxmlformats.org/officeDocument/2006/relationships/hyperlink" Target="https://www.instagram.com/kezialetheia/" TargetMode="External"/><Relationship Id="rId43" Type="http://schemas.openxmlformats.org/officeDocument/2006/relationships/hyperlink" Target="http://tiktok.com/@abel_cantika" TargetMode="External"/><Relationship Id="rId46" Type="http://schemas.openxmlformats.org/officeDocument/2006/relationships/hyperlink" Target="http://instagram.com/shazhaniaa" TargetMode="External"/><Relationship Id="rId45" Type="http://schemas.openxmlformats.org/officeDocument/2006/relationships/hyperlink" Target="https://www.tiktok.com/@keziaaletheia" TargetMode="External"/><Relationship Id="rId48" Type="http://schemas.openxmlformats.org/officeDocument/2006/relationships/hyperlink" Target="http://instagram.com/sarahtumiwa" TargetMode="External"/><Relationship Id="rId47" Type="http://schemas.openxmlformats.org/officeDocument/2006/relationships/hyperlink" Target="http://tiktok.com/@_shaz" TargetMode="External"/><Relationship Id="rId49" Type="http://schemas.openxmlformats.org/officeDocument/2006/relationships/hyperlink" Target="http://tiktok.com/@sarahtumiwa" TargetMode="External"/><Relationship Id="rId31" Type="http://schemas.openxmlformats.org/officeDocument/2006/relationships/hyperlink" Target="http://tiktok.com/@sanntania" TargetMode="External"/><Relationship Id="rId30" Type="http://schemas.openxmlformats.org/officeDocument/2006/relationships/hyperlink" Target="https://www.instagram.com/santaniatiofelo/" TargetMode="External"/><Relationship Id="rId33" Type="http://schemas.openxmlformats.org/officeDocument/2006/relationships/hyperlink" Target="http://tiktok.com/@stefanytalita" TargetMode="External"/><Relationship Id="rId32" Type="http://schemas.openxmlformats.org/officeDocument/2006/relationships/hyperlink" Target="https://www.instagram.com/stefanytalita/" TargetMode="External"/><Relationship Id="rId35" Type="http://schemas.openxmlformats.org/officeDocument/2006/relationships/hyperlink" Target="https://www.tiktok.com/@salmonbellys" TargetMode="External"/><Relationship Id="rId34" Type="http://schemas.openxmlformats.org/officeDocument/2006/relationships/hyperlink" Target="https://www.instagram.com/dianarsds" TargetMode="External"/><Relationship Id="rId37" Type="http://schemas.openxmlformats.org/officeDocument/2006/relationships/hyperlink" Target="http://tiktok.com/@molita.lin" TargetMode="External"/><Relationship Id="rId36" Type="http://schemas.openxmlformats.org/officeDocument/2006/relationships/hyperlink" Target="https://www.instagram.com/molita_lin" TargetMode="External"/><Relationship Id="rId39" Type="http://schemas.openxmlformats.org/officeDocument/2006/relationships/hyperlink" Target="https://www.tiktok.com/@gelangelicca?is_from_webapp=1&amp;sender_device=pc" TargetMode="External"/><Relationship Id="rId38" Type="http://schemas.openxmlformats.org/officeDocument/2006/relationships/hyperlink" Target="https://www.instagram.com/gelangelicca?utm_source=ig_web_button_share_sheet&amp;igsh=ZDNlZDc0MzIxNw==" TargetMode="External"/><Relationship Id="rId20" Type="http://schemas.openxmlformats.org/officeDocument/2006/relationships/hyperlink" Target="https://www.tiktok.com/@sssiraa?is_from_webapp=1&amp;sender_device=pc" TargetMode="External"/><Relationship Id="rId22" Type="http://schemas.openxmlformats.org/officeDocument/2006/relationships/hyperlink" Target="https://www.tiktok.com/@ulyasalsabilaa?is_from_webapp=1&amp;sender_device=pc" TargetMode="External"/><Relationship Id="rId21" Type="http://schemas.openxmlformats.org/officeDocument/2006/relationships/hyperlink" Target="https://www.instagram.com/ulyaslsss__?igsh=MWRxZWYwdDlsbnhtYQ==" TargetMode="External"/><Relationship Id="rId24" Type="http://schemas.openxmlformats.org/officeDocument/2006/relationships/hyperlink" Target="http://tiktok.com/@mutiarsh" TargetMode="External"/><Relationship Id="rId23" Type="http://schemas.openxmlformats.org/officeDocument/2006/relationships/hyperlink" Target="https://www.instagram.com/mutiarasgt?igsh=bnVnZTJjYnNpeTRp" TargetMode="External"/><Relationship Id="rId26" Type="http://schemas.openxmlformats.org/officeDocument/2006/relationships/hyperlink" Target="https://www.instagram.com/fatyabiya/" TargetMode="External"/><Relationship Id="rId25" Type="http://schemas.openxmlformats.org/officeDocument/2006/relationships/hyperlink" Target="https://www.tiktok.com/@almineta2?is_from_webapp=1&amp;sender_device=pc" TargetMode="External"/><Relationship Id="rId28" Type="http://schemas.openxmlformats.org/officeDocument/2006/relationships/hyperlink" Target="http://instagram.com/emyaghnia" TargetMode="External"/><Relationship Id="rId27" Type="http://schemas.openxmlformats.org/officeDocument/2006/relationships/hyperlink" Target="https://www.tiktok.com/@fatyabiyaaa" TargetMode="External"/><Relationship Id="rId29" Type="http://schemas.openxmlformats.org/officeDocument/2006/relationships/hyperlink" Target="http://tiktok.com/@jehianps" TargetMode="External"/><Relationship Id="rId11" Type="http://schemas.openxmlformats.org/officeDocument/2006/relationships/hyperlink" Target="https://www.instagram.com/bbyjiangel_?igsh=Yzl2NDZkdzlsMjU4" TargetMode="External"/><Relationship Id="rId10" Type="http://schemas.openxmlformats.org/officeDocument/2006/relationships/hyperlink" Target="https://www.tiktok.com/@nennyzoe?is_from_webapp=1&amp;sender_device=pc" TargetMode="External"/><Relationship Id="rId13" Type="http://schemas.openxmlformats.org/officeDocument/2006/relationships/hyperlink" Target="http://instagram.com/nabilabyaaa" TargetMode="External"/><Relationship Id="rId12" Type="http://schemas.openxmlformats.org/officeDocument/2006/relationships/hyperlink" Target="https://www.tiktok.com/@jiyaakila?is_from_webapp=1&amp;sender_device=pc" TargetMode="External"/><Relationship Id="rId15" Type="http://schemas.openxmlformats.org/officeDocument/2006/relationships/hyperlink" Target="https://www.instagram.com/viaazulviani?igsh=c3czMjlyb3luMG5u" TargetMode="External"/><Relationship Id="rId14" Type="http://schemas.openxmlformats.org/officeDocument/2006/relationships/hyperlink" Target="https://www.tiktok.com/@nabilabyaaa?is_from_webapp=1&amp;sender_device=pc" TargetMode="External"/><Relationship Id="rId17" Type="http://schemas.openxmlformats.org/officeDocument/2006/relationships/hyperlink" Target="https://www.instagram.com/cyntiaar?igsh=YWpvZ2NiNmR1MzFh" TargetMode="External"/><Relationship Id="rId16" Type="http://schemas.openxmlformats.org/officeDocument/2006/relationships/hyperlink" Target="https://www.tiktok.com/@viaazulviani?is_from_webapp=1&amp;sender_device=pc" TargetMode="External"/><Relationship Id="rId19" Type="http://schemas.openxmlformats.org/officeDocument/2006/relationships/hyperlink" Target="https://www.instagram.com/s.sraaa?igsh=emEyb2s2MzMydTcz" TargetMode="External"/><Relationship Id="rId18" Type="http://schemas.openxmlformats.org/officeDocument/2006/relationships/hyperlink" Target="https://www.tiktok.com/@cyntiaar_?is_from_webapp=1&amp;sender_device=pc" TargetMode="External"/><Relationship Id="rId62" Type="http://schemas.openxmlformats.org/officeDocument/2006/relationships/hyperlink" Target="https://www.instagram.com/aamandazahra?igsh=MTIycGs1eXgxMm1nOA==" TargetMode="External"/><Relationship Id="rId61" Type="http://schemas.openxmlformats.org/officeDocument/2006/relationships/hyperlink" Target="https://www.tiktok.com/@princess.kinoi?_r=1&amp;_t=ZS-95YQYYPgWw6" TargetMode="External"/><Relationship Id="rId64" Type="http://schemas.openxmlformats.org/officeDocument/2006/relationships/hyperlink" Target="https://www.tiktok.com/@afifahriyad?_r=1&amp;_t=ZS-95YSI8qdqiI" TargetMode="External"/><Relationship Id="rId63" Type="http://schemas.openxmlformats.org/officeDocument/2006/relationships/hyperlink" Target="https://www.instagram.com/afifahriyad?igsh=MWVjcnA3cDg5bGVjMg==" TargetMode="External"/><Relationship Id="rId66" Type="http://schemas.openxmlformats.org/officeDocument/2006/relationships/hyperlink" Target="https://www.tiktok.com/@risyabrabo9?_r=1&amp;_t=ZS-95YSPUPh9Tc" TargetMode="External"/><Relationship Id="rId65" Type="http://schemas.openxmlformats.org/officeDocument/2006/relationships/hyperlink" Target="https://www.instagram.com/risyabrabo?igsh=MWRmazJuZHhsZWdqdg==" TargetMode="External"/><Relationship Id="rId67" Type="http://schemas.openxmlformats.org/officeDocument/2006/relationships/drawing" Target="../drawings/drawing5.xml"/><Relationship Id="rId60" Type="http://schemas.openxmlformats.org/officeDocument/2006/relationships/hyperlink" Target="http://tiktok.com/@inigiscka" TargetMode="External"/><Relationship Id="rId51" Type="http://schemas.openxmlformats.org/officeDocument/2006/relationships/hyperlink" Target="http://tiktok.com/@v.sevillaaa" TargetMode="External"/><Relationship Id="rId50" Type="http://schemas.openxmlformats.org/officeDocument/2006/relationships/hyperlink" Target="http://instagram.com/vanessasevilla.vs" TargetMode="External"/><Relationship Id="rId53" Type="http://schemas.openxmlformats.org/officeDocument/2006/relationships/hyperlink" Target="http://instagram.com/shella_cletus" TargetMode="External"/><Relationship Id="rId52" Type="http://schemas.openxmlformats.org/officeDocument/2006/relationships/hyperlink" Target="http://tiktok.com/@juwita.sekar3" TargetMode="External"/><Relationship Id="rId55" Type="http://schemas.openxmlformats.org/officeDocument/2006/relationships/hyperlink" Target="http://instagram.com/cantikalulu" TargetMode="External"/><Relationship Id="rId54" Type="http://schemas.openxmlformats.org/officeDocument/2006/relationships/hyperlink" Target="http://tiktok.com/@shellacletus" TargetMode="External"/><Relationship Id="rId57" Type="http://schemas.openxmlformats.org/officeDocument/2006/relationships/hyperlink" Target="http://instagram.com/ymliamakeupartist" TargetMode="External"/><Relationship Id="rId56" Type="http://schemas.openxmlformats.org/officeDocument/2006/relationships/hyperlink" Target="http://tiktok.com/@heylulaa" TargetMode="External"/><Relationship Id="rId59" Type="http://schemas.openxmlformats.org/officeDocument/2006/relationships/hyperlink" Target="http://instagram.com/stephaniegiscka" TargetMode="External"/><Relationship Id="rId58" Type="http://schemas.openxmlformats.org/officeDocument/2006/relationships/hyperlink" Target="http://tiktok.com/@ymlia002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akanlurrrr?igsh=MTRzMW9oZ214NmI2ZQ==" TargetMode="External"/><Relationship Id="rId2" Type="http://schemas.openxmlformats.org/officeDocument/2006/relationships/hyperlink" Target="https://www.tiktok.com/@makanlurr?is_from_webapp=1&amp;sender_device=pc" TargetMode="External"/><Relationship Id="rId3" Type="http://schemas.openxmlformats.org/officeDocument/2006/relationships/hyperlink" Target="https://www.instagram.com/willenlenn/" TargetMode="External"/><Relationship Id="rId4" Type="http://schemas.openxmlformats.org/officeDocument/2006/relationships/hyperlink" Target="https://www.tiktok.com/@willenlen" TargetMode="External"/><Relationship Id="rId9" Type="http://schemas.openxmlformats.org/officeDocument/2006/relationships/hyperlink" Target="http://instagram.com/lordjajan" TargetMode="External"/><Relationship Id="rId5" Type="http://schemas.openxmlformats.org/officeDocument/2006/relationships/hyperlink" Target="http://instagram.com/rizkeeeyyyyyyyy" TargetMode="External"/><Relationship Id="rId6" Type="http://schemas.openxmlformats.org/officeDocument/2006/relationships/hyperlink" Target="http://tiktok.com/@rizkeeeyyyyyy" TargetMode="External"/><Relationship Id="rId7" Type="http://schemas.openxmlformats.org/officeDocument/2006/relationships/hyperlink" Target="https://www.instagram.com/faridnuralimm_" TargetMode="External"/><Relationship Id="rId8" Type="http://schemas.openxmlformats.org/officeDocument/2006/relationships/hyperlink" Target="https://www.tiktok.com/@aidnnn2?lang=en" TargetMode="External"/><Relationship Id="rId40" Type="http://schemas.openxmlformats.org/officeDocument/2006/relationships/hyperlink" Target="http://tiktok.com/@idijafar" TargetMode="External"/><Relationship Id="rId42" Type="http://schemas.openxmlformats.org/officeDocument/2006/relationships/hyperlink" Target="http://tiktok.com/@inginkurrus15" TargetMode="External"/><Relationship Id="rId41" Type="http://schemas.openxmlformats.org/officeDocument/2006/relationships/hyperlink" Target="http://instagram.com/inginkurrus_" TargetMode="External"/><Relationship Id="rId44" Type="http://schemas.openxmlformats.org/officeDocument/2006/relationships/hyperlink" Target="http://tiktok.com/@dr.inseqyuur" TargetMode="External"/><Relationship Id="rId43" Type="http://schemas.openxmlformats.org/officeDocument/2006/relationships/hyperlink" Target="http://instagram.com/dr.inseqyuur" TargetMode="External"/><Relationship Id="rId46" Type="http://schemas.openxmlformats.org/officeDocument/2006/relationships/hyperlink" Target="http://tiktok.com/@jajanviralbekasi" TargetMode="External"/><Relationship Id="rId45" Type="http://schemas.openxmlformats.org/officeDocument/2006/relationships/hyperlink" Target="http://instagram.com/jajanviralbekasi" TargetMode="External"/><Relationship Id="rId47" Type="http://schemas.openxmlformats.org/officeDocument/2006/relationships/drawing" Target="../drawings/drawing6.xml"/><Relationship Id="rId31" Type="http://schemas.openxmlformats.org/officeDocument/2006/relationships/hyperlink" Target="https://www.instagram.com/anak.kuliner/" TargetMode="External"/><Relationship Id="rId30" Type="http://schemas.openxmlformats.org/officeDocument/2006/relationships/hyperlink" Target="https://www.tiktok.com/@mahasiswagendut2?lang=en" TargetMode="External"/><Relationship Id="rId33" Type="http://schemas.openxmlformats.org/officeDocument/2006/relationships/hyperlink" Target="http://instagram.com/ayuwisya" TargetMode="External"/><Relationship Id="rId32" Type="http://schemas.openxmlformats.org/officeDocument/2006/relationships/hyperlink" Target="https://www.tiktok.com/@anakkuliner?lang=en" TargetMode="External"/><Relationship Id="rId35" Type="http://schemas.openxmlformats.org/officeDocument/2006/relationships/hyperlink" Target="http://instagram.com/bellatanesiaa" TargetMode="External"/><Relationship Id="rId34" Type="http://schemas.openxmlformats.org/officeDocument/2006/relationships/hyperlink" Target="http://tiktok.com/@ayuwisya666" TargetMode="External"/><Relationship Id="rId37" Type="http://schemas.openxmlformats.org/officeDocument/2006/relationships/hyperlink" Target="https://www.instagram.com/farida.nurhan/" TargetMode="External"/><Relationship Id="rId36" Type="http://schemas.openxmlformats.org/officeDocument/2006/relationships/hyperlink" Target="http://tiktok.com/@bellakukutanesia" TargetMode="External"/><Relationship Id="rId39" Type="http://schemas.openxmlformats.org/officeDocument/2006/relationships/hyperlink" Target="http://instagram.com/idijafar" TargetMode="External"/><Relationship Id="rId38" Type="http://schemas.openxmlformats.org/officeDocument/2006/relationships/hyperlink" Target="https://www.tiktok.com/@farida.nurhan?lang=en" TargetMode="External"/><Relationship Id="rId20" Type="http://schemas.openxmlformats.org/officeDocument/2006/relationships/hyperlink" Target="https://www.tiktok.com/@rifani665?is_from_webapp=1&amp;sender_device=pc" TargetMode="External"/><Relationship Id="rId22" Type="http://schemas.openxmlformats.org/officeDocument/2006/relationships/hyperlink" Target="http://tiktok.com/@kezhialverta" TargetMode="External"/><Relationship Id="rId21" Type="http://schemas.openxmlformats.org/officeDocument/2006/relationships/hyperlink" Target="https://www.instagram.com/kezhialverta/" TargetMode="External"/><Relationship Id="rId24" Type="http://schemas.openxmlformats.org/officeDocument/2006/relationships/hyperlink" Target="http://tiktok.com/@maudyytt" TargetMode="External"/><Relationship Id="rId23" Type="http://schemas.openxmlformats.org/officeDocument/2006/relationships/hyperlink" Target="https://www.instagram.com/maudyyyttt?igsh=MWM5MmFjZGFlM3l1Mw==" TargetMode="External"/><Relationship Id="rId26" Type="http://schemas.openxmlformats.org/officeDocument/2006/relationships/hyperlink" Target="http://tiktok.com/@kuliner_bks" TargetMode="External"/><Relationship Id="rId25" Type="http://schemas.openxmlformats.org/officeDocument/2006/relationships/hyperlink" Target="http://instagram.com/kuliner_bekasi" TargetMode="External"/><Relationship Id="rId28" Type="http://schemas.openxmlformats.org/officeDocument/2006/relationships/hyperlink" Target="https://www.tiktok.com/@febignwn?is_from_webapp=1&amp;sender_device=pc" TargetMode="External"/><Relationship Id="rId27" Type="http://schemas.openxmlformats.org/officeDocument/2006/relationships/hyperlink" Target="https://www.instagram.com/febignwn?igsh=NWYxc2FxbmM4OWVh" TargetMode="External"/><Relationship Id="rId29" Type="http://schemas.openxmlformats.org/officeDocument/2006/relationships/hyperlink" Target="https://www.instagram.com/renaldfadli/%E2%80%A8" TargetMode="External"/><Relationship Id="rId11" Type="http://schemas.openxmlformats.org/officeDocument/2006/relationships/hyperlink" Target="http://instagram.com/sayalarimba" TargetMode="External"/><Relationship Id="rId10" Type="http://schemas.openxmlformats.org/officeDocument/2006/relationships/hyperlink" Target="http://tiktok.com/@lordjajanofficial" TargetMode="External"/><Relationship Id="rId13" Type="http://schemas.openxmlformats.org/officeDocument/2006/relationships/hyperlink" Target="https://www.instagram.com/kulinernyaberdua/" TargetMode="External"/><Relationship Id="rId12" Type="http://schemas.openxmlformats.org/officeDocument/2006/relationships/hyperlink" Target="http://tiktok.com/@sayalarimba" TargetMode="External"/><Relationship Id="rId15" Type="http://schemas.openxmlformats.org/officeDocument/2006/relationships/hyperlink" Target="http://instagram.com/ficrafth" TargetMode="External"/><Relationship Id="rId14" Type="http://schemas.openxmlformats.org/officeDocument/2006/relationships/hyperlink" Target="https://www.tiktok.com/@kulinernyaber2" TargetMode="External"/><Relationship Id="rId17" Type="http://schemas.openxmlformats.org/officeDocument/2006/relationships/hyperlink" Target="https://www.instagram.com/rachma.fira?igsh=MXhvZTY3ejlqa2NkZA==" TargetMode="External"/><Relationship Id="rId16" Type="http://schemas.openxmlformats.org/officeDocument/2006/relationships/hyperlink" Target="https://www.tiktok.com/@ficrafth" TargetMode="External"/><Relationship Id="rId19" Type="http://schemas.openxmlformats.org/officeDocument/2006/relationships/hyperlink" Target="https://www.instagram.com/rifaeny0/" TargetMode="External"/><Relationship Id="rId18" Type="http://schemas.openxmlformats.org/officeDocument/2006/relationships/hyperlink" Target="https://www.tiktok.com/@rachmafira12?is_from_webapp=1&amp;sender_device=pc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lordjajan" TargetMode="External"/><Relationship Id="rId2" Type="http://schemas.openxmlformats.org/officeDocument/2006/relationships/hyperlink" Target="http://tiktok.com/@lordjajanofficial" TargetMode="External"/><Relationship Id="rId3" Type="http://schemas.openxmlformats.org/officeDocument/2006/relationships/hyperlink" Target="https://www.instagram.com/kulinernyaberdua/" TargetMode="External"/><Relationship Id="rId4" Type="http://schemas.openxmlformats.org/officeDocument/2006/relationships/hyperlink" Target="https://www.tiktok.com/@kulinernyaber2" TargetMode="External"/><Relationship Id="rId9" Type="http://schemas.openxmlformats.org/officeDocument/2006/relationships/hyperlink" Target="http://instagram.com/sayalarimba" TargetMode="External"/><Relationship Id="rId5" Type="http://schemas.openxmlformats.org/officeDocument/2006/relationships/hyperlink" Target="https://www.instagram.com/rifaeny0/" TargetMode="External"/><Relationship Id="rId6" Type="http://schemas.openxmlformats.org/officeDocument/2006/relationships/hyperlink" Target="https://www.tiktok.com/@rifani665?is_from_webapp=1&amp;sender_device=pc" TargetMode="External"/><Relationship Id="rId7" Type="http://schemas.openxmlformats.org/officeDocument/2006/relationships/hyperlink" Target="https://www.instagram.com/willenlenn/" TargetMode="External"/><Relationship Id="rId8" Type="http://schemas.openxmlformats.org/officeDocument/2006/relationships/hyperlink" Target="https://www.tiktok.com/@willenlen" TargetMode="External"/><Relationship Id="rId40" Type="http://schemas.openxmlformats.org/officeDocument/2006/relationships/hyperlink" Target="http://tiktok.com/@nabilabellai_" TargetMode="External"/><Relationship Id="rId42" Type="http://schemas.openxmlformats.org/officeDocument/2006/relationships/hyperlink" Target="https://www.tiktok.com/@seviqfebinita" TargetMode="External"/><Relationship Id="rId41" Type="http://schemas.openxmlformats.org/officeDocument/2006/relationships/hyperlink" Target="https://www.instagram.com/seviqfebinita/" TargetMode="External"/><Relationship Id="rId44" Type="http://schemas.openxmlformats.org/officeDocument/2006/relationships/hyperlink" Target="https://www.tiktok.com/@almineta?is_from_webapp=1&amp;sender_device=pc" TargetMode="External"/><Relationship Id="rId43" Type="http://schemas.openxmlformats.org/officeDocument/2006/relationships/hyperlink" Target="https://www.instagram.com/alminetaaz" TargetMode="External"/><Relationship Id="rId46" Type="http://schemas.openxmlformats.org/officeDocument/2006/relationships/hyperlink" Target="https://www.tiktok.com/@aidnnn2?lang=en" TargetMode="External"/><Relationship Id="rId45" Type="http://schemas.openxmlformats.org/officeDocument/2006/relationships/hyperlink" Target="https://www.instagram.com/faridnuralimm_" TargetMode="External"/><Relationship Id="rId48" Type="http://schemas.openxmlformats.org/officeDocument/2006/relationships/hyperlink" Target="https://www.tiktok.com/@hellodhani" TargetMode="External"/><Relationship Id="rId47" Type="http://schemas.openxmlformats.org/officeDocument/2006/relationships/hyperlink" Target="https://www.instagram.com/hellodhanii" TargetMode="External"/><Relationship Id="rId49" Type="http://schemas.openxmlformats.org/officeDocument/2006/relationships/hyperlink" Target="https://www.instagram.com/jelitawidiaw" TargetMode="External"/><Relationship Id="rId31" Type="http://schemas.openxmlformats.org/officeDocument/2006/relationships/hyperlink" Target="https://www.instagram.com/trishaazia" TargetMode="External"/><Relationship Id="rId30" Type="http://schemas.openxmlformats.org/officeDocument/2006/relationships/hyperlink" Target="https://www.tiktok.com/@putrinaharira" TargetMode="External"/><Relationship Id="rId33" Type="http://schemas.openxmlformats.org/officeDocument/2006/relationships/hyperlink" Target="https://www.instagram.com/fazmifebriana_" TargetMode="External"/><Relationship Id="rId32" Type="http://schemas.openxmlformats.org/officeDocument/2006/relationships/hyperlink" Target="https://www.tiktok.com/@trishaaazia?is_from_webapp=1&amp;sender_device=pc" TargetMode="External"/><Relationship Id="rId35" Type="http://schemas.openxmlformats.org/officeDocument/2006/relationships/hyperlink" Target="https://www.instagram.com/aisyafputri" TargetMode="External"/><Relationship Id="rId34" Type="http://schemas.openxmlformats.org/officeDocument/2006/relationships/hyperlink" Target="https://www.tiktok.com/@fazmif_?is_from_webapp=1&amp;sender_device=pc" TargetMode="External"/><Relationship Id="rId37" Type="http://schemas.openxmlformats.org/officeDocument/2006/relationships/hyperlink" Target="http://instagram.com/aisyah_putri17" TargetMode="External"/><Relationship Id="rId36" Type="http://schemas.openxmlformats.org/officeDocument/2006/relationships/hyperlink" Target="https://www.tiktok.com/@aisyafputri?is_from_webapp=1&amp;sender_device=pc" TargetMode="External"/><Relationship Id="rId39" Type="http://schemas.openxmlformats.org/officeDocument/2006/relationships/hyperlink" Target="http://instagram.com/nabilabellai_" TargetMode="External"/><Relationship Id="rId38" Type="http://schemas.openxmlformats.org/officeDocument/2006/relationships/hyperlink" Target="http://tiktok.com/@aisyah_wanitakalem" TargetMode="External"/><Relationship Id="rId20" Type="http://schemas.openxmlformats.org/officeDocument/2006/relationships/hyperlink" Target="https://www.tiktok.com/@sssiraa?is_from_webapp=1&amp;sender_device=pc" TargetMode="External"/><Relationship Id="rId22" Type="http://schemas.openxmlformats.org/officeDocument/2006/relationships/hyperlink" Target="https://www.tiktok.com/@sylvamulachelaa?is_from_webapp=1&amp;sender_device=pc" TargetMode="External"/><Relationship Id="rId21" Type="http://schemas.openxmlformats.org/officeDocument/2006/relationships/hyperlink" Target="https://www.instagram.com/sylvamulachelaa" TargetMode="External"/><Relationship Id="rId24" Type="http://schemas.openxmlformats.org/officeDocument/2006/relationships/hyperlink" Target="https://www.tiktok.com/@rachmafira12?is_from_webapp=1&amp;sender_device=pc" TargetMode="External"/><Relationship Id="rId23" Type="http://schemas.openxmlformats.org/officeDocument/2006/relationships/hyperlink" Target="https://www.instagram.com/rachma.fira" TargetMode="External"/><Relationship Id="rId26" Type="http://schemas.openxmlformats.org/officeDocument/2006/relationships/hyperlink" Target="https://www.tiktok.com/@dileeedrn?is_from_webapp=1&amp;sender_device=pc" TargetMode="External"/><Relationship Id="rId25" Type="http://schemas.openxmlformats.org/officeDocument/2006/relationships/hyperlink" Target="https://www.instagram.com/nadiladrn" TargetMode="External"/><Relationship Id="rId28" Type="http://schemas.openxmlformats.org/officeDocument/2006/relationships/hyperlink" Target="https://www.tiktok.com/@imasfahriaty_?is_from_webapp=1&amp;sender_device=pc" TargetMode="External"/><Relationship Id="rId27" Type="http://schemas.openxmlformats.org/officeDocument/2006/relationships/hyperlink" Target="https://www.instagram.com/imasfahriaty_" TargetMode="External"/><Relationship Id="rId29" Type="http://schemas.openxmlformats.org/officeDocument/2006/relationships/hyperlink" Target="https://www.instagram.com/putrinahari" TargetMode="External"/><Relationship Id="rId11" Type="http://schemas.openxmlformats.org/officeDocument/2006/relationships/hyperlink" Target="http://instagram.com/rizkeeeyyyyyyyy" TargetMode="External"/><Relationship Id="rId10" Type="http://schemas.openxmlformats.org/officeDocument/2006/relationships/hyperlink" Target="http://tiktok.com/@sayalarimba" TargetMode="External"/><Relationship Id="rId13" Type="http://schemas.openxmlformats.org/officeDocument/2006/relationships/hyperlink" Target="https://www.instagram.com/Makanlurrrr" TargetMode="External"/><Relationship Id="rId12" Type="http://schemas.openxmlformats.org/officeDocument/2006/relationships/hyperlink" Target="http://tiktok.com/@rizkeeeyyyyyy" TargetMode="External"/><Relationship Id="rId15" Type="http://schemas.openxmlformats.org/officeDocument/2006/relationships/hyperlink" Target="http://instagram.com/ficrafth" TargetMode="External"/><Relationship Id="rId14" Type="http://schemas.openxmlformats.org/officeDocument/2006/relationships/hyperlink" Target="https://www.tiktok.com/@makanlurr?is_from_webapp=1&amp;sender_device=pc" TargetMode="External"/><Relationship Id="rId17" Type="http://schemas.openxmlformats.org/officeDocument/2006/relationships/hyperlink" Target="http://instagram.com/bellzky16" TargetMode="External"/><Relationship Id="rId16" Type="http://schemas.openxmlformats.org/officeDocument/2006/relationships/hyperlink" Target="https://www.tiktok.com/@ficrafth" TargetMode="External"/><Relationship Id="rId19" Type="http://schemas.openxmlformats.org/officeDocument/2006/relationships/hyperlink" Target="https://www.instagram.com/S.sraaa" TargetMode="External"/><Relationship Id="rId18" Type="http://schemas.openxmlformats.org/officeDocument/2006/relationships/hyperlink" Target="http://tiktok.com/@bellzky16" TargetMode="External"/><Relationship Id="rId80" Type="http://schemas.openxmlformats.org/officeDocument/2006/relationships/hyperlink" Target="http://tiktok.com/@kezhialverta" TargetMode="External"/><Relationship Id="rId81" Type="http://schemas.openxmlformats.org/officeDocument/2006/relationships/drawing" Target="../drawings/drawing7.xml"/><Relationship Id="rId73" Type="http://schemas.openxmlformats.org/officeDocument/2006/relationships/hyperlink" Target="https://www.instagram.com/mutiarasgt" TargetMode="External"/><Relationship Id="rId72" Type="http://schemas.openxmlformats.org/officeDocument/2006/relationships/hyperlink" Target="https://www.tiktok.com/@ulyasalsabilaa?is_from_webapp=1&amp;sender_device=pc" TargetMode="External"/><Relationship Id="rId75" Type="http://schemas.openxmlformats.org/officeDocument/2006/relationships/hyperlink" Target="https://www.instagram.com/sasyaclarissa" TargetMode="External"/><Relationship Id="rId74" Type="http://schemas.openxmlformats.org/officeDocument/2006/relationships/hyperlink" Target="http://tiktok.com/@mutiarsh" TargetMode="External"/><Relationship Id="rId77" Type="http://schemas.openxmlformats.org/officeDocument/2006/relationships/hyperlink" Target="https://www.instagram.com/salmaristiana" TargetMode="External"/><Relationship Id="rId76" Type="http://schemas.openxmlformats.org/officeDocument/2006/relationships/hyperlink" Target="https://www.tiktok.com/@sasyaclarissa_?is_from_webapp=1&amp;sender_device=pc" TargetMode="External"/><Relationship Id="rId79" Type="http://schemas.openxmlformats.org/officeDocument/2006/relationships/hyperlink" Target="https://www.instagram.com/kezhialverta" TargetMode="External"/><Relationship Id="rId78" Type="http://schemas.openxmlformats.org/officeDocument/2006/relationships/hyperlink" Target="https://www.tiktok.com/@salmaaristiana?is_from_webapp=1&amp;sender_device=pc" TargetMode="External"/><Relationship Id="rId71" Type="http://schemas.openxmlformats.org/officeDocument/2006/relationships/hyperlink" Target="https://www.instagram.com/ulyaslsss__/" TargetMode="External"/><Relationship Id="rId70" Type="http://schemas.openxmlformats.org/officeDocument/2006/relationships/hyperlink" Target="https://www.tiktok.com/@keziagc?is_from_webapp=1&amp;sender_device=pc" TargetMode="External"/><Relationship Id="rId62" Type="http://schemas.openxmlformats.org/officeDocument/2006/relationships/hyperlink" Target="http://tiktok.com/@faridahuha" TargetMode="External"/><Relationship Id="rId61" Type="http://schemas.openxmlformats.org/officeDocument/2006/relationships/hyperlink" Target="http://instagram.com/frdhuha" TargetMode="External"/><Relationship Id="rId64" Type="http://schemas.openxmlformats.org/officeDocument/2006/relationships/hyperlink" Target="https://www.tiktok.com/@redcah?is_from_webapp=1&amp;sender_device=pc" TargetMode="External"/><Relationship Id="rId63" Type="http://schemas.openxmlformats.org/officeDocument/2006/relationships/hyperlink" Target="https://www.instagram.com/redcah" TargetMode="External"/><Relationship Id="rId66" Type="http://schemas.openxmlformats.org/officeDocument/2006/relationships/hyperlink" Target="https://www.tiktok.com/@vsbvix?is_from_webapp=1&amp;sender_device=pc" TargetMode="External"/><Relationship Id="rId65" Type="http://schemas.openxmlformats.org/officeDocument/2006/relationships/hyperlink" Target="https://www.instagram.com/vsbvi" TargetMode="External"/><Relationship Id="rId68" Type="http://schemas.openxmlformats.org/officeDocument/2006/relationships/hyperlink" Target="https://www.tiktok.com/@amoskiduy0512?is_from_webapp=1&amp;sender_device=pc" TargetMode="External"/><Relationship Id="rId67" Type="http://schemas.openxmlformats.org/officeDocument/2006/relationships/hyperlink" Target="https://www.instagram.com/rizkywahyudinata_" TargetMode="External"/><Relationship Id="rId60" Type="http://schemas.openxmlformats.org/officeDocument/2006/relationships/hyperlink" Target="https://www.tiktok.com/@viaazulviani?is_from_webapp=1&amp;sender_device=pc" TargetMode="External"/><Relationship Id="rId69" Type="http://schemas.openxmlformats.org/officeDocument/2006/relationships/hyperlink" Target="https://www.instagram.com/keziagc" TargetMode="External"/><Relationship Id="rId51" Type="http://schemas.openxmlformats.org/officeDocument/2006/relationships/hyperlink" Target="http://instagram.com/elnandautomo" TargetMode="External"/><Relationship Id="rId50" Type="http://schemas.openxmlformats.org/officeDocument/2006/relationships/hyperlink" Target="https://www.tiktok.com/@jelitawidiaw?is_from_webapp=1&amp;sender_device=pc" TargetMode="External"/><Relationship Id="rId53" Type="http://schemas.openxmlformats.org/officeDocument/2006/relationships/hyperlink" Target="https://www.instagram.com/nennyzoe" TargetMode="External"/><Relationship Id="rId52" Type="http://schemas.openxmlformats.org/officeDocument/2006/relationships/hyperlink" Target="http://tiktok.com/@elnandautomoo" TargetMode="External"/><Relationship Id="rId55" Type="http://schemas.openxmlformats.org/officeDocument/2006/relationships/hyperlink" Target="http://instagram.com/angelicamanopo" TargetMode="External"/><Relationship Id="rId54" Type="http://schemas.openxmlformats.org/officeDocument/2006/relationships/hyperlink" Target="https://www.tiktok.com/@nennyzoe?is_from_webapp=1&amp;sender_device=pc" TargetMode="External"/><Relationship Id="rId57" Type="http://schemas.openxmlformats.org/officeDocument/2006/relationships/hyperlink" Target="https://www.instagram.com/juandadaly" TargetMode="External"/><Relationship Id="rId56" Type="http://schemas.openxmlformats.org/officeDocument/2006/relationships/hyperlink" Target="http://tiktok.com/@angelicamanopo" TargetMode="External"/><Relationship Id="rId59" Type="http://schemas.openxmlformats.org/officeDocument/2006/relationships/hyperlink" Target="https://www.instagram.com/viaazulviani" TargetMode="External"/><Relationship Id="rId58" Type="http://schemas.openxmlformats.org/officeDocument/2006/relationships/hyperlink" Target="https://www.tiktok.com/@juandadaly?is_from_webapp=1&amp;sender_device=pc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iktok.com/@ferraagustina2?is_from_webapp=1&amp;sender_device=pc" TargetMode="External"/><Relationship Id="rId194" Type="http://schemas.openxmlformats.org/officeDocument/2006/relationships/hyperlink" Target="https://www.tiktok.com/@fachrulhadid?is_from_webapp=1&amp;sender_device=pc" TargetMode="External"/><Relationship Id="rId193" Type="http://schemas.openxmlformats.org/officeDocument/2006/relationships/hyperlink" Target="https://www.instagram.com/ayunghadid/" TargetMode="External"/><Relationship Id="rId192" Type="http://schemas.openxmlformats.org/officeDocument/2006/relationships/hyperlink" Target="https://www.tiktok.com/@carlenedoraa?is_from_webapp=1&amp;sender_device=pc" TargetMode="External"/><Relationship Id="rId191" Type="http://schemas.openxmlformats.org/officeDocument/2006/relationships/hyperlink" Target="https://www.instagram.com/carlenedoraa?igsh=MTJmbXUzM3o4MTUybQ==" TargetMode="External"/><Relationship Id="rId187" Type="http://schemas.openxmlformats.org/officeDocument/2006/relationships/hyperlink" Target="https://www.instagram.com/hazealnut?igsh=ZHdkZmNvM2NxdjRs" TargetMode="External"/><Relationship Id="rId186" Type="http://schemas.openxmlformats.org/officeDocument/2006/relationships/hyperlink" Target="https://www.tiktok.com/@niaghan?is_from_webapp=1&amp;sender_device=pc" TargetMode="External"/><Relationship Id="rId185" Type="http://schemas.openxmlformats.org/officeDocument/2006/relationships/hyperlink" Target="https://www.instagram.com/niaghania?igsh=MTEzNWQ1M3o2b2N5dA==" TargetMode="External"/><Relationship Id="rId184" Type="http://schemas.openxmlformats.org/officeDocument/2006/relationships/hyperlink" Target="https://www.tiktok.com/@harbie16?is_from_webapp=1&amp;sender_device=pc" TargetMode="External"/><Relationship Id="rId189" Type="http://schemas.openxmlformats.org/officeDocument/2006/relationships/hyperlink" Target="https://www.instagram.com/ferra_agustina?igsh=MWQ4MnBlbDhuZGQ4bA==" TargetMode="External"/><Relationship Id="rId188" Type="http://schemas.openxmlformats.org/officeDocument/2006/relationships/hyperlink" Target="https://www.tiktok.com/@hazealnut?is_from_webapp=1&amp;sender_device=pc" TargetMode="External"/><Relationship Id="rId183" Type="http://schemas.openxmlformats.org/officeDocument/2006/relationships/hyperlink" Target="https://www.instagram.com/harbie16?igsh=bm96aGpjZ2xkNXFk" TargetMode="External"/><Relationship Id="rId182" Type="http://schemas.openxmlformats.org/officeDocument/2006/relationships/hyperlink" Target="https://www.tiktok.com/@opahgalareal?is_from_webapp=1&amp;sender_device=pc" TargetMode="External"/><Relationship Id="rId181" Type="http://schemas.openxmlformats.org/officeDocument/2006/relationships/hyperlink" Target="https://www.instagram.com/opah_faisal?igsh=cmdueGN3OGprbGNr" TargetMode="External"/><Relationship Id="rId180" Type="http://schemas.openxmlformats.org/officeDocument/2006/relationships/hyperlink" Target="https://www.tiktok.com/@dewizuhriati?is_from_webapp=1&amp;sender_device=pc" TargetMode="External"/><Relationship Id="rId176" Type="http://schemas.openxmlformats.org/officeDocument/2006/relationships/hyperlink" Target="https://www.tiktok.com/@skylarsveta?is_from_webapp=1&amp;sender_device=pc" TargetMode="External"/><Relationship Id="rId297" Type="http://schemas.openxmlformats.org/officeDocument/2006/relationships/hyperlink" Target="http://tiktok.com/@putrihabibierecipes" TargetMode="External"/><Relationship Id="rId175" Type="http://schemas.openxmlformats.org/officeDocument/2006/relationships/hyperlink" Target="https://www.instagram.com/skylarsveta?igsh=OW12MHJibWZ1eHlj" TargetMode="External"/><Relationship Id="rId296" Type="http://schemas.openxmlformats.org/officeDocument/2006/relationships/hyperlink" Target="http://instagram.com/putrihabibie" TargetMode="External"/><Relationship Id="rId174" Type="http://schemas.openxmlformats.org/officeDocument/2006/relationships/hyperlink" Target="https://www.tiktok.com/@rachelvennya" TargetMode="External"/><Relationship Id="rId295" Type="http://schemas.openxmlformats.org/officeDocument/2006/relationships/hyperlink" Target="https://www.tiktok.com/@dapurmukbang?lang=en" TargetMode="External"/><Relationship Id="rId173" Type="http://schemas.openxmlformats.org/officeDocument/2006/relationships/hyperlink" Target="http://instagram.com/rachelvennya" TargetMode="External"/><Relationship Id="rId294" Type="http://schemas.openxmlformats.org/officeDocument/2006/relationships/hyperlink" Target="https://www.instagram.com/dapurmukbang99/" TargetMode="External"/><Relationship Id="rId179" Type="http://schemas.openxmlformats.org/officeDocument/2006/relationships/hyperlink" Target="https://www.instagram.com/dewizuhriati?igsh=MXc1anQwcmNiNXVydQ==" TargetMode="External"/><Relationship Id="rId178" Type="http://schemas.openxmlformats.org/officeDocument/2006/relationships/hyperlink" Target="https://www.tiktok.com/@shaturday?is_from_webapp=1&amp;sender_device=pc" TargetMode="External"/><Relationship Id="rId299" Type="http://schemas.openxmlformats.org/officeDocument/2006/relationships/hyperlink" Target="http://tiktok.com/@winnibarus" TargetMode="External"/><Relationship Id="rId177" Type="http://schemas.openxmlformats.org/officeDocument/2006/relationships/hyperlink" Target="https://www.instagram.com/shadirafirdausii?igsh=Nm5oamV3ZjViNnp2" TargetMode="External"/><Relationship Id="rId298" Type="http://schemas.openxmlformats.org/officeDocument/2006/relationships/hyperlink" Target="http://instagram.com/winnibarus" TargetMode="External"/><Relationship Id="rId198" Type="http://schemas.openxmlformats.org/officeDocument/2006/relationships/hyperlink" Target="https://www.tiktok.com/@caesadhanisa?is_from_webapp=1&amp;sender_device=pc" TargetMode="External"/><Relationship Id="rId197" Type="http://schemas.openxmlformats.org/officeDocument/2006/relationships/hyperlink" Target="https://www.instagram.com/caesadhanisa?igsh=dmh1ejFnbGZ4dm1p" TargetMode="External"/><Relationship Id="rId196" Type="http://schemas.openxmlformats.org/officeDocument/2006/relationships/hyperlink" Target="https://www.tiktok.com/@febignwn?is_from_webapp=1&amp;sender_device=pc" TargetMode="External"/><Relationship Id="rId195" Type="http://schemas.openxmlformats.org/officeDocument/2006/relationships/hyperlink" Target="https://www.instagram.com/febignwn?igsh=NWYxc2FxbmM4OWVh" TargetMode="External"/><Relationship Id="rId199" Type="http://schemas.openxmlformats.org/officeDocument/2006/relationships/hyperlink" Target="https://www.instagram.com/galyasgeulis?igsh=MTA4cjMzMG9oN2didQ==" TargetMode="External"/><Relationship Id="rId150" Type="http://schemas.openxmlformats.org/officeDocument/2006/relationships/hyperlink" Target="https://www.tiktok.com/@salmonbellys" TargetMode="External"/><Relationship Id="rId271" Type="http://schemas.openxmlformats.org/officeDocument/2006/relationships/hyperlink" Target="http://tiktok.com/@__ehan" TargetMode="External"/><Relationship Id="rId270" Type="http://schemas.openxmlformats.org/officeDocument/2006/relationships/hyperlink" Target="http://instagram.com/__ehan" TargetMode="External"/><Relationship Id="rId1" Type="http://schemas.openxmlformats.org/officeDocument/2006/relationships/hyperlink" Target="https://www.instagram.com/fadlyfsl_/?hl=id" TargetMode="External"/><Relationship Id="rId2" Type="http://schemas.openxmlformats.org/officeDocument/2006/relationships/hyperlink" Target="https://www.tiktok.com/@fadlyfsl_" TargetMode="External"/><Relationship Id="rId3" Type="http://schemas.openxmlformats.org/officeDocument/2006/relationships/hyperlink" Target="https://www.instagram.com/rklopperr?igsh=MWlyamtsM2FlY3UzMQ==" TargetMode="External"/><Relationship Id="rId149" Type="http://schemas.openxmlformats.org/officeDocument/2006/relationships/hyperlink" Target="https://www.instagram.com/dianarsds" TargetMode="External"/><Relationship Id="rId4" Type="http://schemas.openxmlformats.org/officeDocument/2006/relationships/hyperlink" Target="https://www.tiktok.com/@rkloppperr?is_from_webapp=1&amp;sender_device=pc" TargetMode="External"/><Relationship Id="rId148" Type="http://schemas.openxmlformats.org/officeDocument/2006/relationships/hyperlink" Target="http://tiktok.com/@yolanyoo" TargetMode="External"/><Relationship Id="rId269" Type="http://schemas.openxmlformats.org/officeDocument/2006/relationships/hyperlink" Target="https://www.tiktok.com/@fadlanholao?lang=en" TargetMode="External"/><Relationship Id="rId9" Type="http://schemas.openxmlformats.org/officeDocument/2006/relationships/hyperlink" Target="https://www.instagram.com/gelialinn?igsh=c2M2Z2cxZGNmdXF1" TargetMode="External"/><Relationship Id="rId143" Type="http://schemas.openxmlformats.org/officeDocument/2006/relationships/hyperlink" Target="https://www.instagram.com/santaniatiofelo/" TargetMode="External"/><Relationship Id="rId264" Type="http://schemas.openxmlformats.org/officeDocument/2006/relationships/hyperlink" Target="http://instagram.com/emilmari0" TargetMode="External"/><Relationship Id="rId142" Type="http://schemas.openxmlformats.org/officeDocument/2006/relationships/hyperlink" Target="http://tiktok.com/@mike__frans" TargetMode="External"/><Relationship Id="rId263" Type="http://schemas.openxmlformats.org/officeDocument/2006/relationships/hyperlink" Target="http://tiktok.com/@utepsunarya" TargetMode="External"/><Relationship Id="rId141" Type="http://schemas.openxmlformats.org/officeDocument/2006/relationships/hyperlink" Target="http://instagram.com/mike__frans" TargetMode="External"/><Relationship Id="rId262" Type="http://schemas.openxmlformats.org/officeDocument/2006/relationships/hyperlink" Target="http://instagram.com/utepsunarya" TargetMode="External"/><Relationship Id="rId140" Type="http://schemas.openxmlformats.org/officeDocument/2006/relationships/hyperlink" Target="http://tiktok.com/@jehianps" TargetMode="External"/><Relationship Id="rId261" Type="http://schemas.openxmlformats.org/officeDocument/2006/relationships/hyperlink" Target="http://tiktok.com/@idijafar" TargetMode="External"/><Relationship Id="rId5" Type="http://schemas.openxmlformats.org/officeDocument/2006/relationships/hyperlink" Target="http://instagram.com/saritiw" TargetMode="External"/><Relationship Id="rId147" Type="http://schemas.openxmlformats.org/officeDocument/2006/relationships/hyperlink" Target="http://instagram.com/yolanyoo" TargetMode="External"/><Relationship Id="rId268" Type="http://schemas.openxmlformats.org/officeDocument/2006/relationships/hyperlink" Target="https://www.instagram.com/holaofadlan/" TargetMode="External"/><Relationship Id="rId6" Type="http://schemas.openxmlformats.org/officeDocument/2006/relationships/hyperlink" Target="http://tiktok.com/@sariendahpratiwi" TargetMode="External"/><Relationship Id="rId146" Type="http://schemas.openxmlformats.org/officeDocument/2006/relationships/hyperlink" Target="http://tiktok.com/@stefanytalita" TargetMode="External"/><Relationship Id="rId267" Type="http://schemas.openxmlformats.org/officeDocument/2006/relationships/hyperlink" Target="https://www.tiktok.com/@gilangsamiadji?lang=en" TargetMode="External"/><Relationship Id="rId7" Type="http://schemas.openxmlformats.org/officeDocument/2006/relationships/hyperlink" Target="https://www.instagram.com/nadianraulya?igsh=b3VlaXE3ZW53cDNu" TargetMode="External"/><Relationship Id="rId145" Type="http://schemas.openxmlformats.org/officeDocument/2006/relationships/hyperlink" Target="https://www.instagram.com/stefanytalita/" TargetMode="External"/><Relationship Id="rId266" Type="http://schemas.openxmlformats.org/officeDocument/2006/relationships/hyperlink" Target="https://www.instagram.com/gilangsamiadji" TargetMode="External"/><Relationship Id="rId8" Type="http://schemas.openxmlformats.org/officeDocument/2006/relationships/hyperlink" Target="https://www.tiktok.com/@nadianuraulyaa?is_from_webapp=1&amp;sender_device=pc" TargetMode="External"/><Relationship Id="rId144" Type="http://schemas.openxmlformats.org/officeDocument/2006/relationships/hyperlink" Target="http://tiktok.com/@sanntania" TargetMode="External"/><Relationship Id="rId265" Type="http://schemas.openxmlformats.org/officeDocument/2006/relationships/hyperlink" Target="https://www.tiktok.com/@emilmario69?lang=en" TargetMode="External"/><Relationship Id="rId260" Type="http://schemas.openxmlformats.org/officeDocument/2006/relationships/hyperlink" Target="http://instagram.com/idijafar" TargetMode="External"/><Relationship Id="rId139" Type="http://schemas.openxmlformats.org/officeDocument/2006/relationships/hyperlink" Target="http://instagram.com/bodyfitbyagus" TargetMode="External"/><Relationship Id="rId138" Type="http://schemas.openxmlformats.org/officeDocument/2006/relationships/hyperlink" Target="http://tiktok.com/@jehianps" TargetMode="External"/><Relationship Id="rId259" Type="http://schemas.openxmlformats.org/officeDocument/2006/relationships/hyperlink" Target="https://www.tiktok.com/@farida.nurhan?lang=en" TargetMode="External"/><Relationship Id="rId137" Type="http://schemas.openxmlformats.org/officeDocument/2006/relationships/hyperlink" Target="http://instagram.com/claratandean" TargetMode="External"/><Relationship Id="rId258" Type="http://schemas.openxmlformats.org/officeDocument/2006/relationships/hyperlink" Target="https://www.instagram.com/farida.nurhan/" TargetMode="External"/><Relationship Id="rId132" Type="http://schemas.openxmlformats.org/officeDocument/2006/relationships/hyperlink" Target="http://tiktok.com/@aalmassaid" TargetMode="External"/><Relationship Id="rId253" Type="http://schemas.openxmlformats.org/officeDocument/2006/relationships/hyperlink" Target="http://tiktok.com/@ayuwisya666" TargetMode="External"/><Relationship Id="rId131" Type="http://schemas.openxmlformats.org/officeDocument/2006/relationships/hyperlink" Target="http://instagram.com/aaliyah.massaid" TargetMode="External"/><Relationship Id="rId252" Type="http://schemas.openxmlformats.org/officeDocument/2006/relationships/hyperlink" Target="http://instagram.com/ayuwisya" TargetMode="External"/><Relationship Id="rId130" Type="http://schemas.openxmlformats.org/officeDocument/2006/relationships/hyperlink" Target="http://tiktok.com/@fitbymilla" TargetMode="External"/><Relationship Id="rId251" Type="http://schemas.openxmlformats.org/officeDocument/2006/relationships/hyperlink" Target="http://tiktok.com/@aulianuzl" TargetMode="External"/><Relationship Id="rId250" Type="http://schemas.openxmlformats.org/officeDocument/2006/relationships/hyperlink" Target="http://instagram.com/tutorialhidub" TargetMode="External"/><Relationship Id="rId136" Type="http://schemas.openxmlformats.org/officeDocument/2006/relationships/hyperlink" Target="http://tiktok.com/@jehianps" TargetMode="External"/><Relationship Id="rId257" Type="http://schemas.openxmlformats.org/officeDocument/2006/relationships/hyperlink" Target="http://tiktok.com/@bellakukutanesia" TargetMode="External"/><Relationship Id="rId135" Type="http://schemas.openxmlformats.org/officeDocument/2006/relationships/hyperlink" Target="http://instagram.com/emyaghnia" TargetMode="External"/><Relationship Id="rId256" Type="http://schemas.openxmlformats.org/officeDocument/2006/relationships/hyperlink" Target="http://instagram.com/bellatanesiaa" TargetMode="External"/><Relationship Id="rId134" Type="http://schemas.openxmlformats.org/officeDocument/2006/relationships/hyperlink" Target="http://tiktok.com/@jehianps" TargetMode="External"/><Relationship Id="rId255" Type="http://schemas.openxmlformats.org/officeDocument/2006/relationships/hyperlink" Target="http://tiktok.com/@meyandjoe" TargetMode="External"/><Relationship Id="rId133" Type="http://schemas.openxmlformats.org/officeDocument/2006/relationships/hyperlink" Target="http://instagram.com/jehianps" TargetMode="External"/><Relationship Id="rId254" Type="http://schemas.openxmlformats.org/officeDocument/2006/relationships/hyperlink" Target="http://instagram.com/meyandjoe_" TargetMode="External"/><Relationship Id="rId172" Type="http://schemas.openxmlformats.org/officeDocument/2006/relationships/hyperlink" Target="http://tiktok.com/@kuliner_bks" TargetMode="External"/><Relationship Id="rId293" Type="http://schemas.openxmlformats.org/officeDocument/2006/relationships/hyperlink" Target="https://www.tiktok.com/@iranandha?lang=en" TargetMode="External"/><Relationship Id="rId171" Type="http://schemas.openxmlformats.org/officeDocument/2006/relationships/hyperlink" Target="http://instagram.com/kuliner_bekasi" TargetMode="External"/><Relationship Id="rId292" Type="http://schemas.openxmlformats.org/officeDocument/2006/relationships/hyperlink" Target="https://www.instagram.com/iranndha/" TargetMode="External"/><Relationship Id="rId170" Type="http://schemas.openxmlformats.org/officeDocument/2006/relationships/hyperlink" Target="https://www.tiktok.com/@reginaphx" TargetMode="External"/><Relationship Id="rId291" Type="http://schemas.openxmlformats.org/officeDocument/2006/relationships/hyperlink" Target="https://www.tiktok.com/@riniandriyanii?lang=en" TargetMode="External"/><Relationship Id="rId290" Type="http://schemas.openxmlformats.org/officeDocument/2006/relationships/hyperlink" Target="https://www.instagram.com/riniandriyanii/" TargetMode="External"/><Relationship Id="rId165" Type="http://schemas.openxmlformats.org/officeDocument/2006/relationships/hyperlink" Target="https://www.instagram.com/kezialetheia/" TargetMode="External"/><Relationship Id="rId286" Type="http://schemas.openxmlformats.org/officeDocument/2006/relationships/hyperlink" Target="http://instagram.com/reizukaaari" TargetMode="External"/><Relationship Id="rId164" Type="http://schemas.openxmlformats.org/officeDocument/2006/relationships/hyperlink" Target="https://www.tiktok.com/@jenniferchrstie" TargetMode="External"/><Relationship Id="rId285" Type="http://schemas.openxmlformats.org/officeDocument/2006/relationships/hyperlink" Target="http://tiktok.com/@unadembler25" TargetMode="External"/><Relationship Id="rId163" Type="http://schemas.openxmlformats.org/officeDocument/2006/relationships/hyperlink" Target="https://www.instagram.com/jenniferchrstie/" TargetMode="External"/><Relationship Id="rId284" Type="http://schemas.openxmlformats.org/officeDocument/2006/relationships/hyperlink" Target="http://instagram.com/unadembler" TargetMode="External"/><Relationship Id="rId162" Type="http://schemas.openxmlformats.org/officeDocument/2006/relationships/hyperlink" Target="https://www.tiktok.com/@rucenuenda1?is_from_webapp=1&amp;sender_device=pc" TargetMode="External"/><Relationship Id="rId283" Type="http://schemas.openxmlformats.org/officeDocument/2006/relationships/hyperlink" Target="http://tiktok.com/@fahiramira" TargetMode="External"/><Relationship Id="rId169" Type="http://schemas.openxmlformats.org/officeDocument/2006/relationships/hyperlink" Target="https://www.instagram.com/reginaaphx" TargetMode="External"/><Relationship Id="rId168" Type="http://schemas.openxmlformats.org/officeDocument/2006/relationships/hyperlink" Target="https://www.tiktok.com/@yourminbite" TargetMode="External"/><Relationship Id="rId289" Type="http://schemas.openxmlformats.org/officeDocument/2006/relationships/hyperlink" Target="https://www.tiktok.com/@adelscooking?lang=en" TargetMode="External"/><Relationship Id="rId167" Type="http://schemas.openxmlformats.org/officeDocument/2006/relationships/hyperlink" Target="https://www.instagram.com/yourminbite/" TargetMode="External"/><Relationship Id="rId288" Type="http://schemas.openxmlformats.org/officeDocument/2006/relationships/hyperlink" Target="https://www.instagram.com/adelscooking/" TargetMode="External"/><Relationship Id="rId166" Type="http://schemas.openxmlformats.org/officeDocument/2006/relationships/hyperlink" Target="https://www.tiktok.com/@keziaaletheia" TargetMode="External"/><Relationship Id="rId287" Type="http://schemas.openxmlformats.org/officeDocument/2006/relationships/hyperlink" Target="http://tiktok.com/@dictionarei" TargetMode="External"/><Relationship Id="rId161" Type="http://schemas.openxmlformats.org/officeDocument/2006/relationships/hyperlink" Target="https://www.instagram.com/rucenuenda?igsh=MWk4ZGliNDYwbG10cg==" TargetMode="External"/><Relationship Id="rId282" Type="http://schemas.openxmlformats.org/officeDocument/2006/relationships/hyperlink" Target="http://instagram.com/fahiramira" TargetMode="External"/><Relationship Id="rId160" Type="http://schemas.openxmlformats.org/officeDocument/2006/relationships/hyperlink" Target="http://tiktok.com/@abel_cantika" TargetMode="External"/><Relationship Id="rId281" Type="http://schemas.openxmlformats.org/officeDocument/2006/relationships/hyperlink" Target="http://tiktok.com/@sarahtumiwa" TargetMode="External"/><Relationship Id="rId280" Type="http://schemas.openxmlformats.org/officeDocument/2006/relationships/hyperlink" Target="http://instagram.com/sarahtumiwa" TargetMode="External"/><Relationship Id="rId159" Type="http://schemas.openxmlformats.org/officeDocument/2006/relationships/hyperlink" Target="http://instagram.com/abellyc" TargetMode="External"/><Relationship Id="rId154" Type="http://schemas.openxmlformats.org/officeDocument/2006/relationships/hyperlink" Target="https://www.tiktok.com/@yuliabaltschun?is_from_webapp=1&amp;sender_device=pc" TargetMode="External"/><Relationship Id="rId275" Type="http://schemas.openxmlformats.org/officeDocument/2006/relationships/hyperlink" Target="https://www.tiktok.com/@farhanrn__" TargetMode="External"/><Relationship Id="rId153" Type="http://schemas.openxmlformats.org/officeDocument/2006/relationships/hyperlink" Target="https://www.instagram.com/yuliabaltschun?utm_source=ig_web_button_share_sheet&amp;igsh=ZDNlZDc0MzIxNw==" TargetMode="External"/><Relationship Id="rId274" Type="http://schemas.openxmlformats.org/officeDocument/2006/relationships/hyperlink" Target="http://instagram.com/farhanrn__" TargetMode="External"/><Relationship Id="rId152" Type="http://schemas.openxmlformats.org/officeDocument/2006/relationships/hyperlink" Target="http://tiktok.com/@molita.lin" TargetMode="External"/><Relationship Id="rId273" Type="http://schemas.openxmlformats.org/officeDocument/2006/relationships/hyperlink" Target="https://www.tiktok.com/@pardonmypresence?lang=en" TargetMode="External"/><Relationship Id="rId151" Type="http://schemas.openxmlformats.org/officeDocument/2006/relationships/hyperlink" Target="https://www.instagram.com/molita_lin" TargetMode="External"/><Relationship Id="rId272" Type="http://schemas.openxmlformats.org/officeDocument/2006/relationships/hyperlink" Target="https://www.instagram.com/kaffanugroho" TargetMode="External"/><Relationship Id="rId158" Type="http://schemas.openxmlformats.org/officeDocument/2006/relationships/hyperlink" Target="https://www.tiktok.com/@gabybsaputraa?is_from_webapp=1&amp;sender_device=pc" TargetMode="External"/><Relationship Id="rId279" Type="http://schemas.openxmlformats.org/officeDocument/2006/relationships/hyperlink" Target="http://tiktok.com/@nonikmenieszt" TargetMode="External"/><Relationship Id="rId157" Type="http://schemas.openxmlformats.org/officeDocument/2006/relationships/hyperlink" Target="https://www.instagram.com/gabybsaputra?utm_source=ig_web_button_share_sheet&amp;igsh=ZDNlZDc0MzIxNw==" TargetMode="External"/><Relationship Id="rId278" Type="http://schemas.openxmlformats.org/officeDocument/2006/relationships/hyperlink" Target="http://instagram.com/nonikmeniesszt" TargetMode="External"/><Relationship Id="rId156" Type="http://schemas.openxmlformats.org/officeDocument/2006/relationships/hyperlink" Target="https://www.tiktok.com/@gelangelicca?is_from_webapp=1&amp;sender_device=pc" TargetMode="External"/><Relationship Id="rId277" Type="http://schemas.openxmlformats.org/officeDocument/2006/relationships/hyperlink" Target="http://tiktok.com/@reyyyz" TargetMode="External"/><Relationship Id="rId155" Type="http://schemas.openxmlformats.org/officeDocument/2006/relationships/hyperlink" Target="https://www.instagram.com/gelangelicca?utm_source=ig_web_button_share_sheet&amp;igsh=ZDNlZDc0MzIxNw==" TargetMode="External"/><Relationship Id="rId276" Type="http://schemas.openxmlformats.org/officeDocument/2006/relationships/hyperlink" Target="https://www.instagram.com/abipraya28" TargetMode="External"/><Relationship Id="rId40" Type="http://schemas.openxmlformats.org/officeDocument/2006/relationships/hyperlink" Target="http://tiktok.com/@elyanisaa" TargetMode="External"/><Relationship Id="rId42" Type="http://schemas.openxmlformats.org/officeDocument/2006/relationships/hyperlink" Target="https://www.tiktok.com/@aidnnn2?lang=en" TargetMode="External"/><Relationship Id="rId41" Type="http://schemas.openxmlformats.org/officeDocument/2006/relationships/hyperlink" Target="https://www.instagram.com/faridnuralimm_" TargetMode="External"/><Relationship Id="rId44" Type="http://schemas.openxmlformats.org/officeDocument/2006/relationships/hyperlink" Target="http://tiktok.com/@bellzky16" TargetMode="External"/><Relationship Id="rId43" Type="http://schemas.openxmlformats.org/officeDocument/2006/relationships/hyperlink" Target="http://instagram.com/bellzky16" TargetMode="External"/><Relationship Id="rId46" Type="http://schemas.openxmlformats.org/officeDocument/2006/relationships/hyperlink" Target="https://www.tiktok.com/@hellodhani" TargetMode="External"/><Relationship Id="rId45" Type="http://schemas.openxmlformats.org/officeDocument/2006/relationships/hyperlink" Target="https://www.instagram.com/hellodhanii" TargetMode="External"/><Relationship Id="rId48" Type="http://schemas.openxmlformats.org/officeDocument/2006/relationships/hyperlink" Target="https://www.tiktok.com/@jelitawidiaw?is_from_webapp=1&amp;sender_device=pc" TargetMode="External"/><Relationship Id="rId47" Type="http://schemas.openxmlformats.org/officeDocument/2006/relationships/hyperlink" Target="https://www.instagram.com/jelitawidiaw?igsh=Y2o4NTNubW1wYXVh" TargetMode="External"/><Relationship Id="rId49" Type="http://schemas.openxmlformats.org/officeDocument/2006/relationships/hyperlink" Target="https://www.instagram.com/nennyzoe?igsh=dnM0dzA2NHM0OHps" TargetMode="External"/><Relationship Id="rId31" Type="http://schemas.openxmlformats.org/officeDocument/2006/relationships/hyperlink" Target="https://www.instagram.com/fauzanakhdan?igsh=MW5uZDV0d3E1YWIyaQ==" TargetMode="External"/><Relationship Id="rId30" Type="http://schemas.openxmlformats.org/officeDocument/2006/relationships/hyperlink" Target="https://www.tiktok.com/@willenlen" TargetMode="External"/><Relationship Id="rId33" Type="http://schemas.openxmlformats.org/officeDocument/2006/relationships/hyperlink" Target="http://instagram.com/nabilabellai_" TargetMode="External"/><Relationship Id="rId32" Type="http://schemas.openxmlformats.org/officeDocument/2006/relationships/hyperlink" Target="https://www.tiktok.com/@fauzanakhdan?is_from_webapp=1&amp;sender_device=pc" TargetMode="External"/><Relationship Id="rId35" Type="http://schemas.openxmlformats.org/officeDocument/2006/relationships/hyperlink" Target="https://www.instagram.com/seviqfebinita/" TargetMode="External"/><Relationship Id="rId34" Type="http://schemas.openxmlformats.org/officeDocument/2006/relationships/hyperlink" Target="http://tiktok.com/@nabilabellai_" TargetMode="External"/><Relationship Id="rId37" Type="http://schemas.openxmlformats.org/officeDocument/2006/relationships/hyperlink" Target="https://www.instagram.com/alminetaaz?igsh=b2kyYWlxMjhpb3Vk" TargetMode="External"/><Relationship Id="rId36" Type="http://schemas.openxmlformats.org/officeDocument/2006/relationships/hyperlink" Target="https://www.tiktok.com/@seviqfebinita" TargetMode="External"/><Relationship Id="rId39" Type="http://schemas.openxmlformats.org/officeDocument/2006/relationships/hyperlink" Target="http://instagram.com/elyanisa_" TargetMode="External"/><Relationship Id="rId38" Type="http://schemas.openxmlformats.org/officeDocument/2006/relationships/hyperlink" Target="https://www.tiktok.com/@almineta?is_from_webapp=1&amp;sender_device=pc" TargetMode="External"/><Relationship Id="rId20" Type="http://schemas.openxmlformats.org/officeDocument/2006/relationships/hyperlink" Target="http://tiktok.com/@annisaoyy" TargetMode="External"/><Relationship Id="rId22" Type="http://schemas.openxmlformats.org/officeDocument/2006/relationships/hyperlink" Target="https://www.tiktok.com/@kayesssss?is_from_webapp=1&amp;sender_device=pc" TargetMode="External"/><Relationship Id="rId21" Type="http://schemas.openxmlformats.org/officeDocument/2006/relationships/hyperlink" Target="https://www.instagram.com/ka.reys?igsh=Y2NzNWEyenBjYTkx" TargetMode="External"/><Relationship Id="rId24" Type="http://schemas.openxmlformats.org/officeDocument/2006/relationships/hyperlink" Target="https://www.tiktok.com/@dileeedrn?is_from_webapp=1&amp;sender_device=pc" TargetMode="External"/><Relationship Id="rId23" Type="http://schemas.openxmlformats.org/officeDocument/2006/relationships/hyperlink" Target="https://www.instagram.com/nadiladrn?igsh=dGQxYWhnbW1zMDN1" TargetMode="External"/><Relationship Id="rId26" Type="http://schemas.openxmlformats.org/officeDocument/2006/relationships/hyperlink" Target="https://www.tiktok.com/@fazmif_?is_from_webapp=1&amp;sender_device=pc" TargetMode="External"/><Relationship Id="rId25" Type="http://schemas.openxmlformats.org/officeDocument/2006/relationships/hyperlink" Target="https://www.instagram.com/fazmifebriana_?igsh=MTczcTR2aTh0bDl1aA==" TargetMode="External"/><Relationship Id="rId28" Type="http://schemas.openxmlformats.org/officeDocument/2006/relationships/hyperlink" Target="https://www.tiktok.com/@aisyafputri?is_from_webapp=1&amp;sender_device=pc" TargetMode="External"/><Relationship Id="rId27" Type="http://schemas.openxmlformats.org/officeDocument/2006/relationships/hyperlink" Target="https://www.instagram.com/aisyafputri" TargetMode="External"/><Relationship Id="rId29" Type="http://schemas.openxmlformats.org/officeDocument/2006/relationships/hyperlink" Target="https://www.instagram.com/willenlenn/" TargetMode="External"/><Relationship Id="rId11" Type="http://schemas.openxmlformats.org/officeDocument/2006/relationships/hyperlink" Target="https://www.instagram.com/imasfahriaty_?igsh=MTV0anowb212YmI4dA==" TargetMode="External"/><Relationship Id="rId10" Type="http://schemas.openxmlformats.org/officeDocument/2006/relationships/hyperlink" Target="https://www.tiktok.com/@gelialinda?is_from_webapp=1&amp;sender_device=pc" TargetMode="External"/><Relationship Id="rId13" Type="http://schemas.openxmlformats.org/officeDocument/2006/relationships/hyperlink" Target="https://www.instagram.com/kekevaangelista?igsh=MXUzYWFvaWtmeGZhNg==" TargetMode="External"/><Relationship Id="rId12" Type="http://schemas.openxmlformats.org/officeDocument/2006/relationships/hyperlink" Target="https://www.tiktok.com/@imasfahriaty_?is_from_webapp=1&amp;sender_device=pc" TargetMode="External"/><Relationship Id="rId15" Type="http://schemas.openxmlformats.org/officeDocument/2006/relationships/hyperlink" Target="https://www.instagram.com/putrinahari?igsh=YWV2Mm8yaWdwcnlk" TargetMode="External"/><Relationship Id="rId14" Type="http://schemas.openxmlformats.org/officeDocument/2006/relationships/hyperlink" Target="https://www.tiktok.com/@kekevaangelista?is_from_webapp=1&amp;sender_device=pc" TargetMode="External"/><Relationship Id="rId17" Type="http://schemas.openxmlformats.org/officeDocument/2006/relationships/hyperlink" Target="https://www.instagram.com/trishaazia?igsh=ZDRvOGhtODBqN25v" TargetMode="External"/><Relationship Id="rId16" Type="http://schemas.openxmlformats.org/officeDocument/2006/relationships/hyperlink" Target="https://www.tiktok.com/@putrinaharira?is_from_webapp=1&amp;sender_device=pc" TargetMode="External"/><Relationship Id="rId19" Type="http://schemas.openxmlformats.org/officeDocument/2006/relationships/hyperlink" Target="http://instagram.com/annisaoy" TargetMode="External"/><Relationship Id="rId18" Type="http://schemas.openxmlformats.org/officeDocument/2006/relationships/hyperlink" Target="https://www.tiktok.com/@trishaaazia?is_from_webapp=1&amp;sender_device=pc" TargetMode="External"/><Relationship Id="rId84" Type="http://schemas.openxmlformats.org/officeDocument/2006/relationships/hyperlink" Target="https://www.tiktok.com/@andini__ajeng?is_from_webapp=1&amp;sender_device=pc" TargetMode="External"/><Relationship Id="rId83" Type="http://schemas.openxmlformats.org/officeDocument/2006/relationships/hyperlink" Target="http://instagram.com/andiniajengg" TargetMode="External"/><Relationship Id="rId86" Type="http://schemas.openxmlformats.org/officeDocument/2006/relationships/hyperlink" Target="https://www.tiktok.com/@luthfy.h20?is_from_webapp=1&amp;sender_device=pc" TargetMode="External"/><Relationship Id="rId85" Type="http://schemas.openxmlformats.org/officeDocument/2006/relationships/hyperlink" Target="https://www.instagram.com/luthfy.h20?igsh=eWN1YzMzY3M1emhq" TargetMode="External"/><Relationship Id="rId88" Type="http://schemas.openxmlformats.org/officeDocument/2006/relationships/hyperlink" Target="https://www.tiktok.com/@amoskiduy0512?is_from_webapp=1&amp;sender_device=pc" TargetMode="External"/><Relationship Id="rId87" Type="http://schemas.openxmlformats.org/officeDocument/2006/relationships/hyperlink" Target="https://www.instagram.com/rizkywahyudinata_" TargetMode="External"/><Relationship Id="rId89" Type="http://schemas.openxmlformats.org/officeDocument/2006/relationships/hyperlink" Target="https://www.instagram.com/ulyaslsss__?igsh=MWRxZWYwdDlsbnhtYQ==" TargetMode="External"/><Relationship Id="rId80" Type="http://schemas.openxmlformats.org/officeDocument/2006/relationships/hyperlink" Target="https://www.tiktok.com/@sylvamulachelaa?is_from_webapp=1&amp;sender_device=pc" TargetMode="External"/><Relationship Id="rId82" Type="http://schemas.openxmlformats.org/officeDocument/2006/relationships/hyperlink" Target="https://www.tiktok.com/@keziagc?is_from_webapp=1&amp;sender_device=pc" TargetMode="External"/><Relationship Id="rId81" Type="http://schemas.openxmlformats.org/officeDocument/2006/relationships/hyperlink" Target="https://www.instagram.com/keziagc?igsh=ODNoZWZmcjg2czgw" TargetMode="External"/><Relationship Id="rId73" Type="http://schemas.openxmlformats.org/officeDocument/2006/relationships/hyperlink" Target="http://instagram.com/frdhuha" TargetMode="External"/><Relationship Id="rId72" Type="http://schemas.openxmlformats.org/officeDocument/2006/relationships/hyperlink" Target="https://www.tiktok.com/@redcah?is_from_webapp=1&amp;sender_device=pc" TargetMode="External"/><Relationship Id="rId75" Type="http://schemas.openxmlformats.org/officeDocument/2006/relationships/hyperlink" Target="https://www.instagram.com/s.sraaa?igsh=emEyb2s2MzMydTcz" TargetMode="External"/><Relationship Id="rId74" Type="http://schemas.openxmlformats.org/officeDocument/2006/relationships/hyperlink" Target="http://tiktok.com/@faridahuha" TargetMode="External"/><Relationship Id="rId77" Type="http://schemas.openxmlformats.org/officeDocument/2006/relationships/hyperlink" Target="http://instagram.com/lordjajan" TargetMode="External"/><Relationship Id="rId76" Type="http://schemas.openxmlformats.org/officeDocument/2006/relationships/hyperlink" Target="https://www.tiktok.com/@sssiraa?is_from_webapp=1&amp;sender_device=pc" TargetMode="External"/><Relationship Id="rId79" Type="http://schemas.openxmlformats.org/officeDocument/2006/relationships/hyperlink" Target="https://www.instagram.com/sylvamulachelaa?igsh=MThldGh3NW80aGI3" TargetMode="External"/><Relationship Id="rId78" Type="http://schemas.openxmlformats.org/officeDocument/2006/relationships/hyperlink" Target="http://tiktok.com/@lordjajanofficial" TargetMode="External"/><Relationship Id="rId71" Type="http://schemas.openxmlformats.org/officeDocument/2006/relationships/hyperlink" Target="https://www.instagram.com/redcah?igsh=MTJxeWtyZGZsZHVwNw==" TargetMode="External"/><Relationship Id="rId70" Type="http://schemas.openxmlformats.org/officeDocument/2006/relationships/hyperlink" Target="https://www.tiktok.com/@nabilabyaaa?is_from_webapp=1&amp;sender_device=pc" TargetMode="External"/><Relationship Id="rId62" Type="http://schemas.openxmlformats.org/officeDocument/2006/relationships/hyperlink" Target="https://www.tiktok.com/@viaazulviani?is_from_webapp=1&amp;sender_device=pc" TargetMode="External"/><Relationship Id="rId61" Type="http://schemas.openxmlformats.org/officeDocument/2006/relationships/hyperlink" Target="https://www.instagram.com/viaazulviani?igsh=c3czMjlyb3luMG5u" TargetMode="External"/><Relationship Id="rId64" Type="http://schemas.openxmlformats.org/officeDocument/2006/relationships/hyperlink" Target="https://www.tiktok.com/@cyntiaar_?is_from_webapp=1&amp;sender_device=pc" TargetMode="External"/><Relationship Id="rId63" Type="http://schemas.openxmlformats.org/officeDocument/2006/relationships/hyperlink" Target="https://www.instagram.com/cyntiaar?igsh=YWpvZ2NiNmR1MzFh" TargetMode="External"/><Relationship Id="rId66" Type="http://schemas.openxmlformats.org/officeDocument/2006/relationships/hyperlink" Target="https://www.tiktok.com/@vsbvix?is_from_webapp=1&amp;sender_device=pc" TargetMode="External"/><Relationship Id="rId65" Type="http://schemas.openxmlformats.org/officeDocument/2006/relationships/hyperlink" Target="https://www.instagram.com/vsbvi" TargetMode="External"/><Relationship Id="rId68" Type="http://schemas.openxmlformats.org/officeDocument/2006/relationships/hyperlink" Target="https://www.tiktok.com/@kulinernyaber2" TargetMode="External"/><Relationship Id="rId67" Type="http://schemas.openxmlformats.org/officeDocument/2006/relationships/hyperlink" Target="https://www.instagram.com/kulinernyaberdua/" TargetMode="External"/><Relationship Id="rId60" Type="http://schemas.openxmlformats.org/officeDocument/2006/relationships/hyperlink" Target="https://www.tiktok.com/@juandadaly?is_from_webapp=1&amp;sender_device=pc" TargetMode="External"/><Relationship Id="rId69" Type="http://schemas.openxmlformats.org/officeDocument/2006/relationships/hyperlink" Target="http://instagram.com/nabilabyaaa" TargetMode="External"/><Relationship Id="rId51" Type="http://schemas.openxmlformats.org/officeDocument/2006/relationships/hyperlink" Target="https://www.instagram.com/bbyjiangel_?igsh=Yzl2NDZkdzlsMjU4" TargetMode="External"/><Relationship Id="rId50" Type="http://schemas.openxmlformats.org/officeDocument/2006/relationships/hyperlink" Target="https://www.tiktok.com/@nennyzoe?is_from_webapp=1&amp;sender_device=pc" TargetMode="External"/><Relationship Id="rId53" Type="http://schemas.openxmlformats.org/officeDocument/2006/relationships/hyperlink" Target="https://www.instagram.com/ojankeke?igsh=MTZ5NDc5N3o2YWw5MA==" TargetMode="External"/><Relationship Id="rId52" Type="http://schemas.openxmlformats.org/officeDocument/2006/relationships/hyperlink" Target="https://www.tiktok.com/@jiyaakila?is_from_webapp=1&amp;sender_device=pc" TargetMode="External"/><Relationship Id="rId55" Type="http://schemas.openxmlformats.org/officeDocument/2006/relationships/hyperlink" Target="http://instagram.com/elnandautomo" TargetMode="External"/><Relationship Id="rId54" Type="http://schemas.openxmlformats.org/officeDocument/2006/relationships/hyperlink" Target="https://www.tiktok.com/@ojankeke?is_from_webapp=1&amp;sender_device=pc" TargetMode="External"/><Relationship Id="rId57" Type="http://schemas.openxmlformats.org/officeDocument/2006/relationships/hyperlink" Target="http://instagram.com/angelicamanopo" TargetMode="External"/><Relationship Id="rId56" Type="http://schemas.openxmlformats.org/officeDocument/2006/relationships/hyperlink" Target="http://tiktok.com/@elnandautomoo" TargetMode="External"/><Relationship Id="rId59" Type="http://schemas.openxmlformats.org/officeDocument/2006/relationships/hyperlink" Target="https://www.instagram.com/juandadaly" TargetMode="External"/><Relationship Id="rId58" Type="http://schemas.openxmlformats.org/officeDocument/2006/relationships/hyperlink" Target="http://tiktok.com/@angelicamanopo" TargetMode="External"/><Relationship Id="rId107" Type="http://schemas.openxmlformats.org/officeDocument/2006/relationships/hyperlink" Target="https://www.instagram.com/uulliiaa_/" TargetMode="External"/><Relationship Id="rId228" Type="http://schemas.openxmlformats.org/officeDocument/2006/relationships/hyperlink" Target="https://www.instagram.com/kairirds/" TargetMode="External"/><Relationship Id="rId349" Type="http://schemas.openxmlformats.org/officeDocument/2006/relationships/hyperlink" Target="http://instagram.com/maudyeffrosina" TargetMode="External"/><Relationship Id="rId106" Type="http://schemas.openxmlformats.org/officeDocument/2006/relationships/hyperlink" Target="https://www.tiktok.com/@ficrafth" TargetMode="External"/><Relationship Id="rId227" Type="http://schemas.openxmlformats.org/officeDocument/2006/relationships/hyperlink" Target="https://www.tiktok.com/@fandidk6" TargetMode="External"/><Relationship Id="rId348" Type="http://schemas.openxmlformats.org/officeDocument/2006/relationships/hyperlink" Target="http://tiktok.com/@jennifer.coppen" TargetMode="External"/><Relationship Id="rId105" Type="http://schemas.openxmlformats.org/officeDocument/2006/relationships/hyperlink" Target="http://instagram.com/ficrafth" TargetMode="External"/><Relationship Id="rId226" Type="http://schemas.openxmlformats.org/officeDocument/2006/relationships/hyperlink" Target="https://www.instagram.com/fandidk/" TargetMode="External"/><Relationship Id="rId347" Type="http://schemas.openxmlformats.org/officeDocument/2006/relationships/hyperlink" Target="http://instagram.com/jennifercoppenreal20" TargetMode="External"/><Relationship Id="rId104" Type="http://schemas.openxmlformats.org/officeDocument/2006/relationships/hyperlink" Target="http://tiktok.com/@sayalarimba" TargetMode="External"/><Relationship Id="rId225" Type="http://schemas.openxmlformats.org/officeDocument/2006/relationships/hyperlink" Target="https://www.tiktok.com/@s4y4_im0t" TargetMode="External"/><Relationship Id="rId346" Type="http://schemas.openxmlformats.org/officeDocument/2006/relationships/hyperlink" Target="http://tiktok.com/@wynnneug" TargetMode="External"/><Relationship Id="rId109" Type="http://schemas.openxmlformats.org/officeDocument/2006/relationships/hyperlink" Target="https://www.instagram.com/mewindahttyas" TargetMode="External"/><Relationship Id="rId108" Type="http://schemas.openxmlformats.org/officeDocument/2006/relationships/hyperlink" Target="https://www.tiktok.com/@maisarairalia?is_from_webapp=1&amp;sender_device=pc" TargetMode="External"/><Relationship Id="rId229" Type="http://schemas.openxmlformats.org/officeDocument/2006/relationships/hyperlink" Target="https://www.tiktok.com/@kairirisolmayo" TargetMode="External"/><Relationship Id="rId220" Type="http://schemas.openxmlformats.org/officeDocument/2006/relationships/hyperlink" Target="https://www.instagram.com/apiipp/" TargetMode="External"/><Relationship Id="rId341" Type="http://schemas.openxmlformats.org/officeDocument/2006/relationships/hyperlink" Target="http://instagram.com/ekidarehanf" TargetMode="External"/><Relationship Id="rId340" Type="http://schemas.openxmlformats.org/officeDocument/2006/relationships/hyperlink" Target="http://tiktok.com/@aadaehoon" TargetMode="External"/><Relationship Id="rId103" Type="http://schemas.openxmlformats.org/officeDocument/2006/relationships/hyperlink" Target="http://instagram.com/sayalarimba" TargetMode="External"/><Relationship Id="rId224" Type="http://schemas.openxmlformats.org/officeDocument/2006/relationships/hyperlink" Target="https://www.instagram.com/bagas__dribble/" TargetMode="External"/><Relationship Id="rId345" Type="http://schemas.openxmlformats.org/officeDocument/2006/relationships/hyperlink" Target="http://instagram.com/wynnneug" TargetMode="External"/><Relationship Id="rId102" Type="http://schemas.openxmlformats.org/officeDocument/2006/relationships/hyperlink" Target="https://www.tiktok.com/@bega__?lang=en" TargetMode="External"/><Relationship Id="rId223" Type="http://schemas.openxmlformats.org/officeDocument/2006/relationships/hyperlink" Target="https://www.tiktok.com/@cheekykiddo?lang=en" TargetMode="External"/><Relationship Id="rId344" Type="http://schemas.openxmlformats.org/officeDocument/2006/relationships/hyperlink" Target="http://tiktok.com/@farhanfirms" TargetMode="External"/><Relationship Id="rId101" Type="http://schemas.openxmlformats.org/officeDocument/2006/relationships/hyperlink" Target="https://www.instagram.com/egasyal" TargetMode="External"/><Relationship Id="rId222" Type="http://schemas.openxmlformats.org/officeDocument/2006/relationships/hyperlink" Target="https://www.instagram.com/michelealex/" TargetMode="External"/><Relationship Id="rId343" Type="http://schemas.openxmlformats.org/officeDocument/2006/relationships/hyperlink" Target="http://instagram.com/farhanfirms" TargetMode="External"/><Relationship Id="rId100" Type="http://schemas.openxmlformats.org/officeDocument/2006/relationships/hyperlink" Target="https://www.tiktok.com/@racunyaamos_" TargetMode="External"/><Relationship Id="rId221" Type="http://schemas.openxmlformats.org/officeDocument/2006/relationships/hyperlink" Target="https://www.tiktok.com/@apiipp1294?lang=en" TargetMode="External"/><Relationship Id="rId342" Type="http://schemas.openxmlformats.org/officeDocument/2006/relationships/hyperlink" Target="http://tiktok.com/@ekidarehanf" TargetMode="External"/><Relationship Id="rId217" Type="http://schemas.openxmlformats.org/officeDocument/2006/relationships/hyperlink" Target="https://www.tiktok.com/@firamaringka" TargetMode="External"/><Relationship Id="rId338" Type="http://schemas.openxmlformats.org/officeDocument/2006/relationships/hyperlink" Target="http://tiktok.com/@hansoljang110" TargetMode="External"/><Relationship Id="rId216" Type="http://schemas.openxmlformats.org/officeDocument/2006/relationships/hyperlink" Target="https://www.instagram.com/firamaringka" TargetMode="External"/><Relationship Id="rId337" Type="http://schemas.openxmlformats.org/officeDocument/2006/relationships/hyperlink" Target="http://instagram.com/hansoljang110" TargetMode="External"/><Relationship Id="rId215" Type="http://schemas.openxmlformats.org/officeDocument/2006/relationships/hyperlink" Target="https://www.tiktok.com/@rereanggara" TargetMode="External"/><Relationship Id="rId336" Type="http://schemas.openxmlformats.org/officeDocument/2006/relationships/hyperlink" Target="http://tiktok.com/@jerhemynemoo" TargetMode="External"/><Relationship Id="rId214" Type="http://schemas.openxmlformats.org/officeDocument/2006/relationships/hyperlink" Target="http://instagram.com/rereanggara" TargetMode="External"/><Relationship Id="rId335" Type="http://schemas.openxmlformats.org/officeDocument/2006/relationships/hyperlink" Target="http://instagram.com/jerhemynemo" TargetMode="External"/><Relationship Id="rId219" Type="http://schemas.openxmlformats.org/officeDocument/2006/relationships/hyperlink" Target="https://www.tiktok.com/@jejekaliya" TargetMode="External"/><Relationship Id="rId218" Type="http://schemas.openxmlformats.org/officeDocument/2006/relationships/hyperlink" Target="https://www.instagram.com/jessicaklppr/" TargetMode="External"/><Relationship Id="rId339" Type="http://schemas.openxmlformats.org/officeDocument/2006/relationships/hyperlink" Target="http://instagram.com/daehoon_na" TargetMode="External"/><Relationship Id="rId330" Type="http://schemas.openxmlformats.org/officeDocument/2006/relationships/hyperlink" Target="http://tiktok.com/@fadiljaidi" TargetMode="External"/><Relationship Id="rId213" Type="http://schemas.openxmlformats.org/officeDocument/2006/relationships/hyperlink" Target="https://www.tiktok.com/@alwifahry" TargetMode="External"/><Relationship Id="rId334" Type="http://schemas.openxmlformats.org/officeDocument/2006/relationships/hyperlink" Target="http://tiktok.com/@jeromepolin98" TargetMode="External"/><Relationship Id="rId212" Type="http://schemas.openxmlformats.org/officeDocument/2006/relationships/hyperlink" Target="https://www.instagram.com/alwifachry" TargetMode="External"/><Relationship Id="rId333" Type="http://schemas.openxmlformats.org/officeDocument/2006/relationships/hyperlink" Target="http://instagram.com/jeromepolin" TargetMode="External"/><Relationship Id="rId211" Type="http://schemas.openxmlformats.org/officeDocument/2006/relationships/hyperlink" Target="https://www.tiktok.com/@anaknya_mas_joko" TargetMode="External"/><Relationship Id="rId332" Type="http://schemas.openxmlformats.org/officeDocument/2006/relationships/hyperlink" Target="http://tiktok.com/@miskashf" TargetMode="External"/><Relationship Id="rId210" Type="http://schemas.openxmlformats.org/officeDocument/2006/relationships/hyperlink" Target="https://www.tiktok.com/@dapurmamika_" TargetMode="External"/><Relationship Id="rId331" Type="http://schemas.openxmlformats.org/officeDocument/2006/relationships/hyperlink" Target="http://instagram.com/miskashf" TargetMode="External"/><Relationship Id="rId129" Type="http://schemas.openxmlformats.org/officeDocument/2006/relationships/hyperlink" Target="http://instagram.com/fitbymilla_" TargetMode="External"/><Relationship Id="rId128" Type="http://schemas.openxmlformats.org/officeDocument/2006/relationships/hyperlink" Target="http://tiktok.com/@maudyytt" TargetMode="External"/><Relationship Id="rId249" Type="http://schemas.openxmlformats.org/officeDocument/2006/relationships/hyperlink" Target="https://www.tiktok.com/@raymondchins" TargetMode="External"/><Relationship Id="rId127" Type="http://schemas.openxmlformats.org/officeDocument/2006/relationships/hyperlink" Target="https://www.instagram.com/maudyyyttt?igsh=MWM5MmFjZGFlM3l1Mw==" TargetMode="External"/><Relationship Id="rId248" Type="http://schemas.openxmlformats.org/officeDocument/2006/relationships/hyperlink" Target="https://www.instagram.com/raymondchins/" TargetMode="External"/><Relationship Id="rId126" Type="http://schemas.openxmlformats.org/officeDocument/2006/relationships/hyperlink" Target="https://www.tiktok.com/@fatyabiyaaa" TargetMode="External"/><Relationship Id="rId247" Type="http://schemas.openxmlformats.org/officeDocument/2006/relationships/hyperlink" Target="http://tiktok.com/@geraldvincentt" TargetMode="External"/><Relationship Id="rId121" Type="http://schemas.openxmlformats.org/officeDocument/2006/relationships/hyperlink" Target="https://www.instagram.com/kezhialverta/" TargetMode="External"/><Relationship Id="rId242" Type="http://schemas.openxmlformats.org/officeDocument/2006/relationships/hyperlink" Target="https://www.instagram.com/renaldfadli/%E2%80%A8" TargetMode="External"/><Relationship Id="rId120" Type="http://schemas.openxmlformats.org/officeDocument/2006/relationships/hyperlink" Target="https://www.tiktok.com/@rifani665?is_from_webapp=1&amp;sender_device=pc" TargetMode="External"/><Relationship Id="rId241" Type="http://schemas.openxmlformats.org/officeDocument/2006/relationships/hyperlink" Target="http://tiktok.com/@estherlubis" TargetMode="External"/><Relationship Id="rId240" Type="http://schemas.openxmlformats.org/officeDocument/2006/relationships/hyperlink" Target="https://www.instagram.com/esthernataliaa/" TargetMode="External"/><Relationship Id="rId125" Type="http://schemas.openxmlformats.org/officeDocument/2006/relationships/hyperlink" Target="https://www.instagram.com/fatyabiya/" TargetMode="External"/><Relationship Id="rId246" Type="http://schemas.openxmlformats.org/officeDocument/2006/relationships/hyperlink" Target="http://instagram.com/geraldvincentt" TargetMode="External"/><Relationship Id="rId124" Type="http://schemas.openxmlformats.org/officeDocument/2006/relationships/hyperlink" Target="https://www.tiktok.com/@almineta2?is_from_webapp=1&amp;sender_device=pc" TargetMode="External"/><Relationship Id="rId245" Type="http://schemas.openxmlformats.org/officeDocument/2006/relationships/hyperlink" Target="https://www.tiktok.com/@anakkuliner?lang=en" TargetMode="External"/><Relationship Id="rId123" Type="http://schemas.openxmlformats.org/officeDocument/2006/relationships/hyperlink" Target="https://www.instagram.com/kezhialverta/" TargetMode="External"/><Relationship Id="rId244" Type="http://schemas.openxmlformats.org/officeDocument/2006/relationships/hyperlink" Target="https://www.instagram.com/anak.kuliner/" TargetMode="External"/><Relationship Id="rId122" Type="http://schemas.openxmlformats.org/officeDocument/2006/relationships/hyperlink" Target="https://www.tiktok.com/@kezhialvrt?is_from_webapp=1&amp;sender_device=pc" TargetMode="External"/><Relationship Id="rId243" Type="http://schemas.openxmlformats.org/officeDocument/2006/relationships/hyperlink" Target="https://www.tiktok.com/@mahasiswagendut2?lang=en" TargetMode="External"/><Relationship Id="rId95" Type="http://schemas.openxmlformats.org/officeDocument/2006/relationships/hyperlink" Target="https://www.instagram.com/jessicashainaa?igsh=dmk5aGw4dnlvM2s5" TargetMode="External"/><Relationship Id="rId94" Type="http://schemas.openxmlformats.org/officeDocument/2006/relationships/hyperlink" Target="https://www.tiktok.com/@aiue.oyyy?is_from_webapp=1&amp;sender_device=pc" TargetMode="External"/><Relationship Id="rId97" Type="http://schemas.openxmlformats.org/officeDocument/2006/relationships/hyperlink" Target="https://www.instagram.com/makanlurrrr?igsh=MTRzMW9oZ214NmI2ZQ==" TargetMode="External"/><Relationship Id="rId96" Type="http://schemas.openxmlformats.org/officeDocument/2006/relationships/hyperlink" Target="https://www.tiktok.com/@jessivns?is_from_webapp=1&amp;sender_device=pc" TargetMode="External"/><Relationship Id="rId99" Type="http://schemas.openxmlformats.org/officeDocument/2006/relationships/hyperlink" Target="https://www.instagram.com/racunyaamos_" TargetMode="External"/><Relationship Id="rId98" Type="http://schemas.openxmlformats.org/officeDocument/2006/relationships/hyperlink" Target="https://www.tiktok.com/@makanlurr?is_from_webapp=1&amp;sender_device=pc" TargetMode="External"/><Relationship Id="rId91" Type="http://schemas.openxmlformats.org/officeDocument/2006/relationships/hyperlink" Target="http://instagram.com/rizkeeeyyyyyyyy" TargetMode="External"/><Relationship Id="rId90" Type="http://schemas.openxmlformats.org/officeDocument/2006/relationships/hyperlink" Target="https://www.tiktok.com/@ulyasalsabilaa?is_from_webapp=1&amp;sender_device=pc" TargetMode="External"/><Relationship Id="rId93" Type="http://schemas.openxmlformats.org/officeDocument/2006/relationships/hyperlink" Target="https://www.instagram.com/mutiarasgt?igsh=bnVnZTJjYnNpeTRp" TargetMode="External"/><Relationship Id="rId92" Type="http://schemas.openxmlformats.org/officeDocument/2006/relationships/hyperlink" Target="http://tiktok.com/@rizkeeeyyyyyy" TargetMode="External"/><Relationship Id="rId118" Type="http://schemas.openxmlformats.org/officeDocument/2006/relationships/hyperlink" Target="https://www.tiktok.com/@rachmafira12?is_from_webapp=1&amp;sender_device=pc" TargetMode="External"/><Relationship Id="rId239" Type="http://schemas.openxmlformats.org/officeDocument/2006/relationships/hyperlink" Target="https://www.tiktok.com/@dindacresheilla" TargetMode="External"/><Relationship Id="rId117" Type="http://schemas.openxmlformats.org/officeDocument/2006/relationships/hyperlink" Target="https://www.instagram.com/rachma.fira?igsh=MXhvZTY3ejlqa2NkZA==" TargetMode="External"/><Relationship Id="rId238" Type="http://schemas.openxmlformats.org/officeDocument/2006/relationships/hyperlink" Target="https://www.instagram.com/dindacresheilla" TargetMode="External"/><Relationship Id="rId116" Type="http://schemas.openxmlformats.org/officeDocument/2006/relationships/hyperlink" Target="https://www.tiktok.com/@kenbun88" TargetMode="External"/><Relationship Id="rId237" Type="http://schemas.openxmlformats.org/officeDocument/2006/relationships/hyperlink" Target="https://www.tiktok.com/@angga.yunanda?lang=en" TargetMode="External"/><Relationship Id="rId115" Type="http://schemas.openxmlformats.org/officeDocument/2006/relationships/hyperlink" Target="https://www.instagram.com/hoveryponen12?igsh=bDdtYW1xY2ZmYWp6" TargetMode="External"/><Relationship Id="rId236" Type="http://schemas.openxmlformats.org/officeDocument/2006/relationships/hyperlink" Target="https://www.instagram.com/angga/" TargetMode="External"/><Relationship Id="rId119" Type="http://schemas.openxmlformats.org/officeDocument/2006/relationships/hyperlink" Target="https://www.instagram.com/rifaeny0/" TargetMode="External"/><Relationship Id="rId110" Type="http://schemas.openxmlformats.org/officeDocument/2006/relationships/hyperlink" Target="https://www.tiktok.com/@mewindaaahttyas?is_from_webapp=1&amp;sender_device=pc" TargetMode="External"/><Relationship Id="rId231" Type="http://schemas.openxmlformats.org/officeDocument/2006/relationships/hyperlink" Target="https://www.tiktok.com/@luthfihalimawan42" TargetMode="External"/><Relationship Id="rId230" Type="http://schemas.openxmlformats.org/officeDocument/2006/relationships/hyperlink" Target="https://www.instagram.com/luthfihalimawan/" TargetMode="External"/><Relationship Id="rId351" Type="http://schemas.openxmlformats.org/officeDocument/2006/relationships/drawing" Target="../drawings/drawing8.xml"/><Relationship Id="rId350" Type="http://schemas.openxmlformats.org/officeDocument/2006/relationships/hyperlink" Target="http://tiktok.com/@maudyeffrosinaa" TargetMode="External"/><Relationship Id="rId114" Type="http://schemas.openxmlformats.org/officeDocument/2006/relationships/hyperlink" Target="https://www.tiktok.com/@salmaaristiana?is_from_webapp=1&amp;sender_device=pc" TargetMode="External"/><Relationship Id="rId235" Type="http://schemas.openxmlformats.org/officeDocument/2006/relationships/hyperlink" Target="https://www.tiktok.com/@rifaneyy0?is_from_webapp=1&amp;sender_device=pc" TargetMode="External"/><Relationship Id="rId113" Type="http://schemas.openxmlformats.org/officeDocument/2006/relationships/hyperlink" Target="https://www.instagram.com/salmaristiana?igsh=eXVrc21lZGx4MDJp" TargetMode="External"/><Relationship Id="rId234" Type="http://schemas.openxmlformats.org/officeDocument/2006/relationships/hyperlink" Target="http://instagram.com/meyandjoe_" TargetMode="External"/><Relationship Id="rId112" Type="http://schemas.openxmlformats.org/officeDocument/2006/relationships/hyperlink" Target="https://www.tiktok.com/@sasyaclarissa_?is_from_webapp=1&amp;sender_device=pc" TargetMode="External"/><Relationship Id="rId233" Type="http://schemas.openxmlformats.org/officeDocument/2006/relationships/hyperlink" Target="https://www.tiktok.com/@fachrulhadid?is_from_webapp=1&amp;sender_device=pc" TargetMode="External"/><Relationship Id="rId111" Type="http://schemas.openxmlformats.org/officeDocument/2006/relationships/hyperlink" Target="https://www.instagram.com/sasyaclarissa/" TargetMode="External"/><Relationship Id="rId232" Type="http://schemas.openxmlformats.org/officeDocument/2006/relationships/hyperlink" Target="https://www.instagram.com/fachrulhadid" TargetMode="External"/><Relationship Id="rId305" Type="http://schemas.openxmlformats.org/officeDocument/2006/relationships/hyperlink" Target="http://instagram.com/veyalvia22" TargetMode="External"/><Relationship Id="rId304" Type="http://schemas.openxmlformats.org/officeDocument/2006/relationships/hyperlink" Target="http://tiktok.com/@agml612" TargetMode="External"/><Relationship Id="rId303" Type="http://schemas.openxmlformats.org/officeDocument/2006/relationships/hyperlink" Target="http://instagram.com/amandamanopo" TargetMode="External"/><Relationship Id="rId302" Type="http://schemas.openxmlformats.org/officeDocument/2006/relationships/hyperlink" Target="https://www.instagram.com/amihandmade/" TargetMode="External"/><Relationship Id="rId309" Type="http://schemas.openxmlformats.org/officeDocument/2006/relationships/hyperlink" Target="http://instagram.com/vanessasevilla.vs" TargetMode="External"/><Relationship Id="rId308" Type="http://schemas.openxmlformats.org/officeDocument/2006/relationships/hyperlink" Target="http://tiktok.com/@inginkurrus15" TargetMode="External"/><Relationship Id="rId307" Type="http://schemas.openxmlformats.org/officeDocument/2006/relationships/hyperlink" Target="http://instagram.com/inginkurrus_" TargetMode="External"/><Relationship Id="rId306" Type="http://schemas.openxmlformats.org/officeDocument/2006/relationships/hyperlink" Target="http://tiktok.com/@veyalvia22" TargetMode="External"/><Relationship Id="rId301" Type="http://schemas.openxmlformats.org/officeDocument/2006/relationships/hyperlink" Target="http://tiktok.com/@mardatillahika" TargetMode="External"/><Relationship Id="rId300" Type="http://schemas.openxmlformats.org/officeDocument/2006/relationships/hyperlink" Target="http://instagram.com/mardatillahika" TargetMode="External"/><Relationship Id="rId206" Type="http://schemas.openxmlformats.org/officeDocument/2006/relationships/hyperlink" Target="https://www.tiktok.com/@jalanbarengdarla?lang=id-ID" TargetMode="External"/><Relationship Id="rId327" Type="http://schemas.openxmlformats.org/officeDocument/2006/relationships/hyperlink" Target="http://instagram.com/clarissaputri_" TargetMode="External"/><Relationship Id="rId205" Type="http://schemas.openxmlformats.org/officeDocument/2006/relationships/hyperlink" Target="https://www.instagram.com/jalanbarengdarla/" TargetMode="External"/><Relationship Id="rId326" Type="http://schemas.openxmlformats.org/officeDocument/2006/relationships/hyperlink" Target="http://tiktok.com/@dhip___" TargetMode="External"/><Relationship Id="rId204" Type="http://schemas.openxmlformats.org/officeDocument/2006/relationships/hyperlink" Target="https://www.tiktok.com/@octaviantifransisca" TargetMode="External"/><Relationship Id="rId325" Type="http://schemas.openxmlformats.org/officeDocument/2006/relationships/hyperlink" Target="http://instagram.com/sandrofahdhipa" TargetMode="External"/><Relationship Id="rId203" Type="http://schemas.openxmlformats.org/officeDocument/2006/relationships/hyperlink" Target="http://instagram.com/octaviantifransisca" TargetMode="External"/><Relationship Id="rId324" Type="http://schemas.openxmlformats.org/officeDocument/2006/relationships/hyperlink" Target="https://www.tiktok.com/@kennyauztin16" TargetMode="External"/><Relationship Id="rId209" Type="http://schemas.openxmlformats.org/officeDocument/2006/relationships/hyperlink" Target="http://instagram.com/dapur_mamika30" TargetMode="External"/><Relationship Id="rId208" Type="http://schemas.openxmlformats.org/officeDocument/2006/relationships/hyperlink" Target="http://tiktok.com/@_shaz" TargetMode="External"/><Relationship Id="rId329" Type="http://schemas.openxmlformats.org/officeDocument/2006/relationships/hyperlink" Target="http://instagram.com/fadiljaidi" TargetMode="External"/><Relationship Id="rId207" Type="http://schemas.openxmlformats.org/officeDocument/2006/relationships/hyperlink" Target="http://instagram.com/shazhaniaa" TargetMode="External"/><Relationship Id="rId328" Type="http://schemas.openxmlformats.org/officeDocument/2006/relationships/hyperlink" Target="http://tiktok.com/@clarissaputrih" TargetMode="External"/><Relationship Id="rId202" Type="http://schemas.openxmlformats.org/officeDocument/2006/relationships/hyperlink" Target="https://www.tiktok.com/@icalfariss" TargetMode="External"/><Relationship Id="rId323" Type="http://schemas.openxmlformats.org/officeDocument/2006/relationships/hyperlink" Target="https://www.instagram.com/kennyauztin/" TargetMode="External"/><Relationship Id="rId201" Type="http://schemas.openxmlformats.org/officeDocument/2006/relationships/hyperlink" Target="https://www.instagram.com/icalfariss" TargetMode="External"/><Relationship Id="rId322" Type="http://schemas.openxmlformats.org/officeDocument/2006/relationships/hyperlink" Target="https://www.tiktok.com/@fajarlabatjo" TargetMode="External"/><Relationship Id="rId200" Type="http://schemas.openxmlformats.org/officeDocument/2006/relationships/hyperlink" Target="https://www.tiktok.com/@galyasgeulis?is_from_webapp=1&amp;sender_device=pc" TargetMode="External"/><Relationship Id="rId321" Type="http://schemas.openxmlformats.org/officeDocument/2006/relationships/hyperlink" Target="https://www.instagram.com/fajjarsadboy/" TargetMode="External"/><Relationship Id="rId320" Type="http://schemas.openxmlformats.org/officeDocument/2006/relationships/hyperlink" Target="https://www.tiktok.com/@ratuauliaa22" TargetMode="External"/><Relationship Id="rId316" Type="http://schemas.openxmlformats.org/officeDocument/2006/relationships/hyperlink" Target="https://www.tiktok.com/@ndhiraa07" TargetMode="External"/><Relationship Id="rId315" Type="http://schemas.openxmlformats.org/officeDocument/2006/relationships/hyperlink" Target="https://www.instagram.com/syafira_hdd/" TargetMode="External"/><Relationship Id="rId314" Type="http://schemas.openxmlformats.org/officeDocument/2006/relationships/hyperlink" Target="http://tiktok.com/@teukuryantr" TargetMode="External"/><Relationship Id="rId313" Type="http://schemas.openxmlformats.org/officeDocument/2006/relationships/hyperlink" Target="http://instagram.com/teukuryantr" TargetMode="External"/><Relationship Id="rId319" Type="http://schemas.openxmlformats.org/officeDocument/2006/relationships/hyperlink" Target="https://www.instagram.com/ratuaulia22_/" TargetMode="External"/><Relationship Id="rId318" Type="http://schemas.openxmlformats.org/officeDocument/2006/relationships/hyperlink" Target="https://www.tiktok.com/@violenziajeanette" TargetMode="External"/><Relationship Id="rId317" Type="http://schemas.openxmlformats.org/officeDocument/2006/relationships/hyperlink" Target="https://www.instagram.com/violenziajean/" TargetMode="External"/><Relationship Id="rId312" Type="http://schemas.openxmlformats.org/officeDocument/2006/relationships/hyperlink" Target="http://tiktok.com/@dr.inseqyuur" TargetMode="External"/><Relationship Id="rId311" Type="http://schemas.openxmlformats.org/officeDocument/2006/relationships/hyperlink" Target="http://instagram.com/dr.inseqyuur" TargetMode="External"/><Relationship Id="rId310" Type="http://schemas.openxmlformats.org/officeDocument/2006/relationships/hyperlink" Target="http://tiktok.com/@v.sevillaaa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willenlenn/" TargetMode="External"/><Relationship Id="rId2" Type="http://schemas.openxmlformats.org/officeDocument/2006/relationships/hyperlink" Target="https://www.tiktok.com/@willenlen" TargetMode="External"/><Relationship Id="rId3" Type="http://schemas.openxmlformats.org/officeDocument/2006/relationships/hyperlink" Target="http://instagram.com/lordjajan" TargetMode="External"/><Relationship Id="rId4" Type="http://schemas.openxmlformats.org/officeDocument/2006/relationships/hyperlink" Target="http://tiktok.com/@lordjajanofficial" TargetMode="External"/><Relationship Id="rId9" Type="http://schemas.openxmlformats.org/officeDocument/2006/relationships/hyperlink" Target="https://www.instagram.com/makanlurrrr?igsh=MTRzMW9oZ214NmI2ZQ==" TargetMode="External"/><Relationship Id="rId5" Type="http://schemas.openxmlformats.org/officeDocument/2006/relationships/hyperlink" Target="https://www.instagram.com/kulinernyaberdua/" TargetMode="External"/><Relationship Id="rId6" Type="http://schemas.openxmlformats.org/officeDocument/2006/relationships/hyperlink" Target="https://www.tiktok.com/@kulinernyaber2" TargetMode="External"/><Relationship Id="rId7" Type="http://schemas.openxmlformats.org/officeDocument/2006/relationships/hyperlink" Target="http://instagram.com/rizkeeeyyyyyyyy" TargetMode="External"/><Relationship Id="rId8" Type="http://schemas.openxmlformats.org/officeDocument/2006/relationships/hyperlink" Target="http://tiktok.com/@rizkeeeyyyyyy" TargetMode="External"/><Relationship Id="rId40" Type="http://schemas.openxmlformats.org/officeDocument/2006/relationships/hyperlink" Target="http://tiktok.com/@dr.inseqyuur" TargetMode="External"/><Relationship Id="rId41" Type="http://schemas.openxmlformats.org/officeDocument/2006/relationships/drawing" Target="../drawings/drawing9.xml"/><Relationship Id="rId31" Type="http://schemas.openxmlformats.org/officeDocument/2006/relationships/hyperlink" Target="http://instagram.com/bellatanesiaa" TargetMode="External"/><Relationship Id="rId30" Type="http://schemas.openxmlformats.org/officeDocument/2006/relationships/hyperlink" Target="http://tiktok.com/@ayuwisya666" TargetMode="External"/><Relationship Id="rId33" Type="http://schemas.openxmlformats.org/officeDocument/2006/relationships/hyperlink" Target="https://www.instagram.com/farida.nurhan/" TargetMode="External"/><Relationship Id="rId32" Type="http://schemas.openxmlformats.org/officeDocument/2006/relationships/hyperlink" Target="http://tiktok.com/@bellakukutanesia" TargetMode="External"/><Relationship Id="rId35" Type="http://schemas.openxmlformats.org/officeDocument/2006/relationships/hyperlink" Target="http://instagram.com/idijafar" TargetMode="External"/><Relationship Id="rId34" Type="http://schemas.openxmlformats.org/officeDocument/2006/relationships/hyperlink" Target="https://www.tiktok.com/@farida.nurhan?lang=en" TargetMode="External"/><Relationship Id="rId37" Type="http://schemas.openxmlformats.org/officeDocument/2006/relationships/hyperlink" Target="http://instagram.com/inginkurrus_" TargetMode="External"/><Relationship Id="rId36" Type="http://schemas.openxmlformats.org/officeDocument/2006/relationships/hyperlink" Target="http://tiktok.com/@idijafar" TargetMode="External"/><Relationship Id="rId39" Type="http://schemas.openxmlformats.org/officeDocument/2006/relationships/hyperlink" Target="http://instagram.com/dr.inseqyuur" TargetMode="External"/><Relationship Id="rId38" Type="http://schemas.openxmlformats.org/officeDocument/2006/relationships/hyperlink" Target="http://tiktok.com/@inginkurrus15" TargetMode="External"/><Relationship Id="rId20" Type="http://schemas.openxmlformats.org/officeDocument/2006/relationships/hyperlink" Target="http://tiktok.com/@maudyytt" TargetMode="External"/><Relationship Id="rId22" Type="http://schemas.openxmlformats.org/officeDocument/2006/relationships/hyperlink" Target="http://tiktok.com/@kuliner_bks" TargetMode="External"/><Relationship Id="rId21" Type="http://schemas.openxmlformats.org/officeDocument/2006/relationships/hyperlink" Target="http://instagram.com/kuliner_bekasi" TargetMode="External"/><Relationship Id="rId24" Type="http://schemas.openxmlformats.org/officeDocument/2006/relationships/hyperlink" Target="https://www.tiktok.com/@febignwn?is_from_webapp=1&amp;sender_device=pc" TargetMode="External"/><Relationship Id="rId23" Type="http://schemas.openxmlformats.org/officeDocument/2006/relationships/hyperlink" Target="https://www.instagram.com/febignwn?igsh=NWYxc2FxbmM4OWVh" TargetMode="External"/><Relationship Id="rId26" Type="http://schemas.openxmlformats.org/officeDocument/2006/relationships/hyperlink" Target="https://www.tiktok.com/@mahasiswagendut2?lang=en" TargetMode="External"/><Relationship Id="rId25" Type="http://schemas.openxmlformats.org/officeDocument/2006/relationships/hyperlink" Target="https://www.instagram.com/renaldfadli/%E2%80%A8" TargetMode="External"/><Relationship Id="rId28" Type="http://schemas.openxmlformats.org/officeDocument/2006/relationships/hyperlink" Target="https://www.tiktok.com/@anakkuliner?lang=en" TargetMode="External"/><Relationship Id="rId27" Type="http://schemas.openxmlformats.org/officeDocument/2006/relationships/hyperlink" Target="https://www.instagram.com/anak.kuliner/" TargetMode="External"/><Relationship Id="rId29" Type="http://schemas.openxmlformats.org/officeDocument/2006/relationships/hyperlink" Target="http://instagram.com/ayuwisya" TargetMode="External"/><Relationship Id="rId11" Type="http://schemas.openxmlformats.org/officeDocument/2006/relationships/hyperlink" Target="http://instagram.com/sayalarimba" TargetMode="External"/><Relationship Id="rId10" Type="http://schemas.openxmlformats.org/officeDocument/2006/relationships/hyperlink" Target="https://www.tiktok.com/@makanlurr?is_from_webapp=1&amp;sender_device=pc" TargetMode="External"/><Relationship Id="rId13" Type="http://schemas.openxmlformats.org/officeDocument/2006/relationships/hyperlink" Target="https://www.instagram.com/rachma.fira?igsh=MXhvZTY3ejlqa2NkZA==" TargetMode="External"/><Relationship Id="rId12" Type="http://schemas.openxmlformats.org/officeDocument/2006/relationships/hyperlink" Target="http://tiktok.com/@sayalarimba" TargetMode="External"/><Relationship Id="rId15" Type="http://schemas.openxmlformats.org/officeDocument/2006/relationships/hyperlink" Target="https://www.instagram.com/rifaeny0/" TargetMode="External"/><Relationship Id="rId14" Type="http://schemas.openxmlformats.org/officeDocument/2006/relationships/hyperlink" Target="https://www.tiktok.com/@rachmafira12?is_from_webapp=1&amp;sender_device=pc" TargetMode="External"/><Relationship Id="rId17" Type="http://schemas.openxmlformats.org/officeDocument/2006/relationships/hyperlink" Target="https://www.instagram.com/kezhialverta/" TargetMode="External"/><Relationship Id="rId16" Type="http://schemas.openxmlformats.org/officeDocument/2006/relationships/hyperlink" Target="https://www.tiktok.com/@rifani665?is_from_webapp=1&amp;sender_device=pc" TargetMode="External"/><Relationship Id="rId19" Type="http://schemas.openxmlformats.org/officeDocument/2006/relationships/hyperlink" Target="https://www.instagram.com/maudyyyttt?igsh=MWM5MmFjZGFlM3l1Mw==" TargetMode="External"/><Relationship Id="rId18" Type="http://schemas.openxmlformats.org/officeDocument/2006/relationships/hyperlink" Target="https://www.tiktok.com/@kezhialvrt?is_from_webapp=1&amp;sender_device=pc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saritiw" TargetMode="External"/><Relationship Id="rId2" Type="http://schemas.openxmlformats.org/officeDocument/2006/relationships/hyperlink" Target="http://tiktok.com/@sariendahpratiwi" TargetMode="External"/><Relationship Id="rId3" Type="http://schemas.openxmlformats.org/officeDocument/2006/relationships/hyperlink" Target="https://www.instagram.com/nadiladrn?igsh=dGQxYWhnbW1zMDN1" TargetMode="External"/><Relationship Id="rId4" Type="http://schemas.openxmlformats.org/officeDocument/2006/relationships/hyperlink" Target="https://www.tiktok.com/@dileeedrn?is_from_webapp=1&amp;sender_device=pc" TargetMode="External"/><Relationship Id="rId9" Type="http://schemas.openxmlformats.org/officeDocument/2006/relationships/hyperlink" Target="https://www.instagram.com/nennyzoe?igsh=dnM0dzA2NHM0OHps" TargetMode="External"/><Relationship Id="rId5" Type="http://schemas.openxmlformats.org/officeDocument/2006/relationships/hyperlink" Target="http://instagram.com/nabilabellai_" TargetMode="External"/><Relationship Id="rId6" Type="http://schemas.openxmlformats.org/officeDocument/2006/relationships/hyperlink" Target="http://tiktok.com/@nabilabellai_" TargetMode="External"/><Relationship Id="rId7" Type="http://schemas.openxmlformats.org/officeDocument/2006/relationships/hyperlink" Target="https://www.instagram.com/alminetaaz?igsh=b2kyYWlxMjhpb3Vk" TargetMode="External"/><Relationship Id="rId8" Type="http://schemas.openxmlformats.org/officeDocument/2006/relationships/hyperlink" Target="https://www.tiktok.com/@almineta?is_from_webapp=1&amp;sender_device=pc" TargetMode="External"/><Relationship Id="rId31" Type="http://schemas.openxmlformats.org/officeDocument/2006/relationships/hyperlink" Target="https://www.tiktok.com/@gabybsaputraa?is_from_webapp=1&amp;sender_device=pc" TargetMode="External"/><Relationship Id="rId30" Type="http://schemas.openxmlformats.org/officeDocument/2006/relationships/hyperlink" Target="https://www.instagram.com/gabybsaputra?utm_source=ig_web_button_share_sheet&amp;igsh=ZDNlZDc0MzIxNw==" TargetMode="External"/><Relationship Id="rId32" Type="http://schemas.openxmlformats.org/officeDocument/2006/relationships/drawing" Target="../drawings/drawing10.xml"/><Relationship Id="rId20" Type="http://schemas.openxmlformats.org/officeDocument/2006/relationships/hyperlink" Target="https://www.tiktok.com/@sylvamulachelaa?is_from_webapp=1&amp;sender_device=pc" TargetMode="External"/><Relationship Id="rId22" Type="http://schemas.openxmlformats.org/officeDocument/2006/relationships/hyperlink" Target="https://www.tiktok.com/@andini__ajeng?is_from_webapp=1&amp;sender_device=pc" TargetMode="External"/><Relationship Id="rId21" Type="http://schemas.openxmlformats.org/officeDocument/2006/relationships/hyperlink" Target="http://instagram.com/andiniajengg" TargetMode="External"/><Relationship Id="rId24" Type="http://schemas.openxmlformats.org/officeDocument/2006/relationships/hyperlink" Target="https://www.tiktok.com/@ulyasalsabilaa?is_from_webapp=1&amp;sender_device=pc" TargetMode="External"/><Relationship Id="rId23" Type="http://schemas.openxmlformats.org/officeDocument/2006/relationships/hyperlink" Target="https://www.instagram.com/ulyaslsss__?igsh=MWRxZWYwdDlsbnhtYQ==" TargetMode="External"/><Relationship Id="rId26" Type="http://schemas.openxmlformats.org/officeDocument/2006/relationships/hyperlink" Target="https://www.tiktok.com/@aiue.oyyy?is_from_webapp=1&amp;sender_device=pc" TargetMode="External"/><Relationship Id="rId25" Type="http://schemas.openxmlformats.org/officeDocument/2006/relationships/hyperlink" Target="https://www.instagram.com/mutiarasgt?igsh=bnVnZTJjYnNpeTRp" TargetMode="External"/><Relationship Id="rId28" Type="http://schemas.openxmlformats.org/officeDocument/2006/relationships/hyperlink" Target="https://www.tiktok.com/@egasyal_dachan" TargetMode="External"/><Relationship Id="rId27" Type="http://schemas.openxmlformats.org/officeDocument/2006/relationships/hyperlink" Target="https://www.instagram.com/egasyal" TargetMode="External"/><Relationship Id="rId29" Type="http://schemas.openxmlformats.org/officeDocument/2006/relationships/hyperlink" Target="https://www.tiktok.com/@almineta2?is_from_webapp=1&amp;sender_device=pc" TargetMode="External"/><Relationship Id="rId11" Type="http://schemas.openxmlformats.org/officeDocument/2006/relationships/hyperlink" Target="https://www.instagram.com/bbyjiangel_?igsh=Yzl2NDZkdzlsMjU4" TargetMode="External"/><Relationship Id="rId10" Type="http://schemas.openxmlformats.org/officeDocument/2006/relationships/hyperlink" Target="https://www.tiktok.com/@nennyzoe?is_from_webapp=1&amp;sender_device=pc" TargetMode="External"/><Relationship Id="rId13" Type="http://schemas.openxmlformats.org/officeDocument/2006/relationships/hyperlink" Target="https://www.instagram.com/viaazulviani?igsh=c3czMjlyb3luMG5u" TargetMode="External"/><Relationship Id="rId12" Type="http://schemas.openxmlformats.org/officeDocument/2006/relationships/hyperlink" Target="https://www.tiktok.com/@jiyaakila?is_from_webapp=1&amp;sender_device=pc" TargetMode="External"/><Relationship Id="rId15" Type="http://schemas.openxmlformats.org/officeDocument/2006/relationships/hyperlink" Target="http://instagram.com/nabilabyaaa" TargetMode="External"/><Relationship Id="rId14" Type="http://schemas.openxmlformats.org/officeDocument/2006/relationships/hyperlink" Target="https://www.tiktok.com/@viaazulviani?is_from_webapp=1&amp;sender_device=pc" TargetMode="External"/><Relationship Id="rId17" Type="http://schemas.openxmlformats.org/officeDocument/2006/relationships/hyperlink" Target="https://www.instagram.com/s.sraaa?igsh=emEyb2s2MzMydTcz" TargetMode="External"/><Relationship Id="rId16" Type="http://schemas.openxmlformats.org/officeDocument/2006/relationships/hyperlink" Target="https://www.tiktok.com/@nabilabyaaa?is_from_webapp=1&amp;sender_device=pc" TargetMode="External"/><Relationship Id="rId19" Type="http://schemas.openxmlformats.org/officeDocument/2006/relationships/hyperlink" Target="https://www.instagram.com/sylvamulachelaa?igsh=MThldGh3NW80aGI3" TargetMode="External"/><Relationship Id="rId18" Type="http://schemas.openxmlformats.org/officeDocument/2006/relationships/hyperlink" Target="https://www.tiktok.com/@sssiraa?is_from_webapp=1&amp;sender_device=pc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fazmifebriana_?igsh=MTczcTR2aTh0bDl1aA==" TargetMode="External"/><Relationship Id="rId2" Type="http://schemas.openxmlformats.org/officeDocument/2006/relationships/hyperlink" Target="https://www.tiktok.com/@fazmif_?is_from_webapp=1&amp;sender_device=pc" TargetMode="External"/><Relationship Id="rId3" Type="http://schemas.openxmlformats.org/officeDocument/2006/relationships/hyperlink" Target="http://instagram.com/teukuryantr" TargetMode="External"/><Relationship Id="rId4" Type="http://schemas.openxmlformats.org/officeDocument/2006/relationships/hyperlink" Target="http://tiktok.com/@teukuryantr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jalanbarengdarla/" TargetMode="External"/><Relationship Id="rId2" Type="http://schemas.openxmlformats.org/officeDocument/2006/relationships/hyperlink" Target="https://www.tiktok.com/@jalanbarengdarla?lang=id-ID" TargetMode="External"/><Relationship Id="rId3" Type="http://schemas.openxmlformats.org/officeDocument/2006/relationships/hyperlink" Target="http://instagram.com/sayalarimba" TargetMode="External"/><Relationship Id="rId4" Type="http://schemas.openxmlformats.org/officeDocument/2006/relationships/hyperlink" Target="http://tiktok.com/@sayalarimba" TargetMode="External"/><Relationship Id="rId9" Type="http://schemas.openxmlformats.org/officeDocument/2006/relationships/hyperlink" Target="https://www.instagram.com/icalfariss" TargetMode="External"/><Relationship Id="rId5" Type="http://schemas.openxmlformats.org/officeDocument/2006/relationships/hyperlink" Target="https://www.instagram.com/rifaeny0/" TargetMode="External"/><Relationship Id="rId6" Type="http://schemas.openxmlformats.org/officeDocument/2006/relationships/hyperlink" Target="https://www.tiktok.com/@rifani665?is_from_webapp=1&amp;sender_device=pc" TargetMode="External"/><Relationship Id="rId7" Type="http://schemas.openxmlformats.org/officeDocument/2006/relationships/hyperlink" Target="http://instagram.com/octaviantifransisca" TargetMode="External"/><Relationship Id="rId8" Type="http://schemas.openxmlformats.org/officeDocument/2006/relationships/hyperlink" Target="https://www.tiktok.com/@octaviantifransisca" TargetMode="External"/><Relationship Id="rId20" Type="http://schemas.openxmlformats.org/officeDocument/2006/relationships/hyperlink" Target="https://www.tiktok.com/@kulinernyaber2" TargetMode="External"/><Relationship Id="rId21" Type="http://schemas.openxmlformats.org/officeDocument/2006/relationships/drawing" Target="../drawings/drawing12.xml"/><Relationship Id="rId11" Type="http://schemas.openxmlformats.org/officeDocument/2006/relationships/hyperlink" Target="http://instagram.com/claratandean" TargetMode="External"/><Relationship Id="rId10" Type="http://schemas.openxmlformats.org/officeDocument/2006/relationships/hyperlink" Target="https://www.tiktok.com/@icalfariss" TargetMode="External"/><Relationship Id="rId13" Type="http://schemas.openxmlformats.org/officeDocument/2006/relationships/hyperlink" Target="https://www.instagram.com/harbie16?igsh=bm96aGpjZ2xkNXFk" TargetMode="External"/><Relationship Id="rId12" Type="http://schemas.openxmlformats.org/officeDocument/2006/relationships/hyperlink" Target="http://tiktok.com/@jehianps" TargetMode="External"/><Relationship Id="rId15" Type="http://schemas.openxmlformats.org/officeDocument/2006/relationships/hyperlink" Target="https://www.instagram.com/caesadhanisa?igsh=dmh1ejFnbGZ4dm1p" TargetMode="External"/><Relationship Id="rId14" Type="http://schemas.openxmlformats.org/officeDocument/2006/relationships/hyperlink" Target="https://www.tiktok.com/@harbie16?is_from_webapp=1&amp;sender_device=pc" TargetMode="External"/><Relationship Id="rId17" Type="http://schemas.openxmlformats.org/officeDocument/2006/relationships/hyperlink" Target="https://www.instagram.com/anak.kuliner/" TargetMode="External"/><Relationship Id="rId16" Type="http://schemas.openxmlformats.org/officeDocument/2006/relationships/hyperlink" Target="https://www.tiktok.com/@caesadhanisa?is_from_webapp=1&amp;sender_device=pc" TargetMode="External"/><Relationship Id="rId19" Type="http://schemas.openxmlformats.org/officeDocument/2006/relationships/hyperlink" Target="https://www.instagram.com/kulinernyaberdua/" TargetMode="External"/><Relationship Id="rId18" Type="http://schemas.openxmlformats.org/officeDocument/2006/relationships/hyperlink" Target="https://www.tiktok.com/@anakkuliner?lang=en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shazhaniaa" TargetMode="External"/><Relationship Id="rId2" Type="http://schemas.openxmlformats.org/officeDocument/2006/relationships/hyperlink" Target="http://tiktok.com/@_shaz" TargetMode="External"/><Relationship Id="rId3" Type="http://schemas.openxmlformats.org/officeDocument/2006/relationships/hyperlink" Target="http://instagram.com/nabilabellai_" TargetMode="External"/><Relationship Id="rId4" Type="http://schemas.openxmlformats.org/officeDocument/2006/relationships/hyperlink" Target="http://tiktok.com/@nabilabellai_" TargetMode="External"/><Relationship Id="rId9" Type="http://schemas.openxmlformats.org/officeDocument/2006/relationships/hyperlink" Target="https://www.instagram.com/fatyabiya/" TargetMode="External"/><Relationship Id="rId5" Type="http://schemas.openxmlformats.org/officeDocument/2006/relationships/hyperlink" Target="https://www.instagram.com/ilhamsucirahmadhani/" TargetMode="External"/><Relationship Id="rId6" Type="http://schemas.openxmlformats.org/officeDocument/2006/relationships/hyperlink" Target="https://www.tiktok.com/@hellodhani" TargetMode="External"/><Relationship Id="rId7" Type="http://schemas.openxmlformats.org/officeDocument/2006/relationships/hyperlink" Target="https://www.instagram.com/cyntiaar?igsh=YWpvZ2NiNmR1MzFh" TargetMode="External"/><Relationship Id="rId8" Type="http://schemas.openxmlformats.org/officeDocument/2006/relationships/hyperlink" Target="https://www.tiktok.com/@cyntiaar_?is_from_webapp=1&amp;sender_device=pc" TargetMode="External"/><Relationship Id="rId31" Type="http://schemas.openxmlformats.org/officeDocument/2006/relationships/hyperlink" Target="http://instagram.com/fahiramira" TargetMode="External"/><Relationship Id="rId30" Type="http://schemas.openxmlformats.org/officeDocument/2006/relationships/hyperlink" Target="http://tiktok.com/@sarahtumiwa" TargetMode="External"/><Relationship Id="rId33" Type="http://schemas.openxmlformats.org/officeDocument/2006/relationships/hyperlink" Target="http://instagram.com/unadembler" TargetMode="External"/><Relationship Id="rId32" Type="http://schemas.openxmlformats.org/officeDocument/2006/relationships/hyperlink" Target="http://tiktok.com/@fahiramira" TargetMode="External"/><Relationship Id="rId35" Type="http://schemas.openxmlformats.org/officeDocument/2006/relationships/hyperlink" Target="http://instagram.com/vanessasevilla.vs" TargetMode="External"/><Relationship Id="rId34" Type="http://schemas.openxmlformats.org/officeDocument/2006/relationships/hyperlink" Target="http://tiktok.com/@unadembler25" TargetMode="External"/><Relationship Id="rId37" Type="http://schemas.openxmlformats.org/officeDocument/2006/relationships/drawing" Target="../drawings/drawing13.xml"/><Relationship Id="rId36" Type="http://schemas.openxmlformats.org/officeDocument/2006/relationships/hyperlink" Target="http://tiktok.com/@v.sevillaaa" TargetMode="External"/><Relationship Id="rId20" Type="http://schemas.openxmlformats.org/officeDocument/2006/relationships/hyperlink" Target="http://tiktok.com/@molita.lin" TargetMode="External"/><Relationship Id="rId22" Type="http://schemas.openxmlformats.org/officeDocument/2006/relationships/hyperlink" Target="https://www.tiktok.com/@gelangelicca?is_from_webapp=1&amp;sender_device=pc" TargetMode="External"/><Relationship Id="rId21" Type="http://schemas.openxmlformats.org/officeDocument/2006/relationships/hyperlink" Target="https://www.instagram.com/gelangelicca?utm_source=ig_web_button_share_sheet&amp;igsh=ZDNlZDc0MzIxNw==" TargetMode="External"/><Relationship Id="rId24" Type="http://schemas.openxmlformats.org/officeDocument/2006/relationships/hyperlink" Target="https://www.tiktok.com/@gabybsaputraa?is_from_webapp=1&amp;sender_device=pc" TargetMode="External"/><Relationship Id="rId23" Type="http://schemas.openxmlformats.org/officeDocument/2006/relationships/hyperlink" Target="https://www.instagram.com/gabybsaputra?utm_source=ig_web_button_share_sheet&amp;igsh=ZDNlZDc0MzIxNw==" TargetMode="External"/><Relationship Id="rId26" Type="http://schemas.openxmlformats.org/officeDocument/2006/relationships/hyperlink" Target="http://tiktok.com/@abel_cantika" TargetMode="External"/><Relationship Id="rId25" Type="http://schemas.openxmlformats.org/officeDocument/2006/relationships/hyperlink" Target="http://instagram.com/abellyc" TargetMode="External"/><Relationship Id="rId28" Type="http://schemas.openxmlformats.org/officeDocument/2006/relationships/hyperlink" Target="https://www.tiktok.com/@emilmario69?lang=en" TargetMode="External"/><Relationship Id="rId27" Type="http://schemas.openxmlformats.org/officeDocument/2006/relationships/hyperlink" Target="http://instagram.com/emilmari0" TargetMode="External"/><Relationship Id="rId29" Type="http://schemas.openxmlformats.org/officeDocument/2006/relationships/hyperlink" Target="http://instagram.com/sarahtumiwa" TargetMode="External"/><Relationship Id="rId11" Type="http://schemas.openxmlformats.org/officeDocument/2006/relationships/hyperlink" Target="http://instagram.com/emyaghnia" TargetMode="External"/><Relationship Id="rId10" Type="http://schemas.openxmlformats.org/officeDocument/2006/relationships/hyperlink" Target="https://www.tiktok.com/@fatyabiyaaa" TargetMode="External"/><Relationship Id="rId13" Type="http://schemas.openxmlformats.org/officeDocument/2006/relationships/hyperlink" Target="https://www.instagram.com/santaniatiofelo/" TargetMode="External"/><Relationship Id="rId12" Type="http://schemas.openxmlformats.org/officeDocument/2006/relationships/hyperlink" Target="http://tiktok.com/@jehianps" TargetMode="External"/><Relationship Id="rId15" Type="http://schemas.openxmlformats.org/officeDocument/2006/relationships/hyperlink" Target="https://www.instagram.com/stefanytalita/" TargetMode="External"/><Relationship Id="rId14" Type="http://schemas.openxmlformats.org/officeDocument/2006/relationships/hyperlink" Target="http://tiktok.com/@sanntania" TargetMode="External"/><Relationship Id="rId17" Type="http://schemas.openxmlformats.org/officeDocument/2006/relationships/hyperlink" Target="https://www.instagram.com/dianarsds" TargetMode="External"/><Relationship Id="rId16" Type="http://schemas.openxmlformats.org/officeDocument/2006/relationships/hyperlink" Target="http://tiktok.com/@stefanytalita" TargetMode="External"/><Relationship Id="rId19" Type="http://schemas.openxmlformats.org/officeDocument/2006/relationships/hyperlink" Target="https://www.instagram.com/molita_lin" TargetMode="External"/><Relationship Id="rId18" Type="http://schemas.openxmlformats.org/officeDocument/2006/relationships/hyperlink" Target="https://www.tiktok.com/@salmonbellys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klopperr?igsh=MWlyamtsM2FlY3UzMQ==" TargetMode="External"/><Relationship Id="rId2" Type="http://schemas.openxmlformats.org/officeDocument/2006/relationships/hyperlink" Target="https://www.tiktok.com/@rkloppperr?is_from_webapp=1&amp;sender_device=pc" TargetMode="External"/><Relationship Id="rId3" Type="http://schemas.openxmlformats.org/officeDocument/2006/relationships/hyperlink" Target="http://instagram.com/saritiw" TargetMode="External"/><Relationship Id="rId4" Type="http://schemas.openxmlformats.org/officeDocument/2006/relationships/hyperlink" Target="http://tiktok.com/@sariendahpratiwi" TargetMode="External"/><Relationship Id="rId9" Type="http://schemas.openxmlformats.org/officeDocument/2006/relationships/hyperlink" Target="https://www.instagram.com/imasfahriaty_?igsh=MTV0anowb212YmI4dA==" TargetMode="External"/><Relationship Id="rId5" Type="http://schemas.openxmlformats.org/officeDocument/2006/relationships/hyperlink" Target="https://www.instagram.com/nadianraulya?igsh=b3VlaXE3ZW53cDNu" TargetMode="External"/><Relationship Id="rId6" Type="http://schemas.openxmlformats.org/officeDocument/2006/relationships/hyperlink" Target="https://www.tiktok.com/@nadianuraulyaa?is_from_webapp=1&amp;sender_device=pc" TargetMode="External"/><Relationship Id="rId7" Type="http://schemas.openxmlformats.org/officeDocument/2006/relationships/hyperlink" Target="https://www.instagram.com/gelialinn?igsh=c2M2Z2cxZGNmdXF1" TargetMode="External"/><Relationship Id="rId8" Type="http://schemas.openxmlformats.org/officeDocument/2006/relationships/hyperlink" Target="https://www.tiktok.com/@gelialinda?is_from_webapp=1&amp;sender_device=pc" TargetMode="External"/><Relationship Id="rId40" Type="http://schemas.openxmlformats.org/officeDocument/2006/relationships/hyperlink" Target="https://www.tiktok.com/@nennyzoe?is_from_webapp=1&amp;sender_device=pc" TargetMode="External"/><Relationship Id="rId42" Type="http://schemas.openxmlformats.org/officeDocument/2006/relationships/hyperlink" Target="http://tiktok.com/@angelicamanopo" TargetMode="External"/><Relationship Id="rId41" Type="http://schemas.openxmlformats.org/officeDocument/2006/relationships/hyperlink" Target="http://instagram.com/angelicamanopo" TargetMode="External"/><Relationship Id="rId44" Type="http://schemas.openxmlformats.org/officeDocument/2006/relationships/hyperlink" Target="https://www.tiktok.com/@viaazulviani?is_from_webapp=1&amp;sender_device=pc" TargetMode="External"/><Relationship Id="rId43" Type="http://schemas.openxmlformats.org/officeDocument/2006/relationships/hyperlink" Target="https://www.instagram.com/viaazulviani?igsh=c3czMjlyb3luMG5u" TargetMode="External"/><Relationship Id="rId46" Type="http://schemas.openxmlformats.org/officeDocument/2006/relationships/hyperlink" Target="https://www.tiktok.com/@cyntiaar_?is_from_webapp=1&amp;sender_device=pc" TargetMode="External"/><Relationship Id="rId45" Type="http://schemas.openxmlformats.org/officeDocument/2006/relationships/hyperlink" Target="https://www.instagram.com/cyntiaar?igsh=YWpvZ2NiNmR1MzFh" TargetMode="External"/><Relationship Id="rId48" Type="http://schemas.openxmlformats.org/officeDocument/2006/relationships/hyperlink" Target="https://www.tiktok.com/@vsbvix?is_from_webapp=1&amp;sender_device=pc" TargetMode="External"/><Relationship Id="rId47" Type="http://schemas.openxmlformats.org/officeDocument/2006/relationships/hyperlink" Target="https://www.instagram.com/vsbvi" TargetMode="External"/><Relationship Id="rId49" Type="http://schemas.openxmlformats.org/officeDocument/2006/relationships/hyperlink" Target="http://instagram.com/frdhuha" TargetMode="External"/><Relationship Id="rId31" Type="http://schemas.openxmlformats.org/officeDocument/2006/relationships/hyperlink" Target="http://instagram.com/elyanisa_" TargetMode="External"/><Relationship Id="rId30" Type="http://schemas.openxmlformats.org/officeDocument/2006/relationships/hyperlink" Target="https://www.tiktok.com/@almineta?is_from_webapp=1&amp;sender_device=pc" TargetMode="External"/><Relationship Id="rId33" Type="http://schemas.openxmlformats.org/officeDocument/2006/relationships/hyperlink" Target="http://instagram.com/bellzky16" TargetMode="External"/><Relationship Id="rId32" Type="http://schemas.openxmlformats.org/officeDocument/2006/relationships/hyperlink" Target="http://tiktok.com/@elyanisaa" TargetMode="External"/><Relationship Id="rId35" Type="http://schemas.openxmlformats.org/officeDocument/2006/relationships/hyperlink" Target="https://www.instagram.com/hellodhanii" TargetMode="External"/><Relationship Id="rId34" Type="http://schemas.openxmlformats.org/officeDocument/2006/relationships/hyperlink" Target="http://tiktok.com/@bellzky16" TargetMode="External"/><Relationship Id="rId37" Type="http://schemas.openxmlformats.org/officeDocument/2006/relationships/hyperlink" Target="https://www.instagram.com/jelitawidiaw?igsh=Y2o4NTNubW1wYXVh" TargetMode="External"/><Relationship Id="rId36" Type="http://schemas.openxmlformats.org/officeDocument/2006/relationships/hyperlink" Target="https://www.tiktok.com/@hellodhani" TargetMode="External"/><Relationship Id="rId39" Type="http://schemas.openxmlformats.org/officeDocument/2006/relationships/hyperlink" Target="https://www.instagram.com/nennyzoe?igsh=dnM0dzA2NHM0OHps" TargetMode="External"/><Relationship Id="rId38" Type="http://schemas.openxmlformats.org/officeDocument/2006/relationships/hyperlink" Target="https://www.tiktok.com/@jelitawidiaw?is_from_webapp=1&amp;sender_device=pc" TargetMode="External"/><Relationship Id="rId20" Type="http://schemas.openxmlformats.org/officeDocument/2006/relationships/hyperlink" Target="https://www.tiktok.com/@kayesssss?is_from_webapp=1&amp;sender_device=pc" TargetMode="External"/><Relationship Id="rId22" Type="http://schemas.openxmlformats.org/officeDocument/2006/relationships/hyperlink" Target="https://www.tiktok.com/@dileeedrn?is_from_webapp=1&amp;sender_device=pc" TargetMode="External"/><Relationship Id="rId21" Type="http://schemas.openxmlformats.org/officeDocument/2006/relationships/hyperlink" Target="https://www.instagram.com/nadiladrn?igsh=dGQxYWhnbW1zMDN1" TargetMode="External"/><Relationship Id="rId24" Type="http://schemas.openxmlformats.org/officeDocument/2006/relationships/hyperlink" Target="https://www.tiktok.com/@aisyafputri?is_from_webapp=1&amp;sender_device=pc" TargetMode="External"/><Relationship Id="rId23" Type="http://schemas.openxmlformats.org/officeDocument/2006/relationships/hyperlink" Target="https://www.instagram.com/aisyafputri" TargetMode="External"/><Relationship Id="rId26" Type="http://schemas.openxmlformats.org/officeDocument/2006/relationships/hyperlink" Target="http://tiktok.com/@nabilabellai_" TargetMode="External"/><Relationship Id="rId25" Type="http://schemas.openxmlformats.org/officeDocument/2006/relationships/hyperlink" Target="http://instagram.com/nabilabellai_" TargetMode="External"/><Relationship Id="rId28" Type="http://schemas.openxmlformats.org/officeDocument/2006/relationships/hyperlink" Target="https://www.tiktok.com/@seviqfebinita" TargetMode="External"/><Relationship Id="rId27" Type="http://schemas.openxmlformats.org/officeDocument/2006/relationships/hyperlink" Target="https://www.instagram.com/seviqfebinita/" TargetMode="External"/><Relationship Id="rId29" Type="http://schemas.openxmlformats.org/officeDocument/2006/relationships/hyperlink" Target="https://www.instagram.com/alminetaaz?igsh=b2kyYWlxMjhpb3Vk" TargetMode="External"/><Relationship Id="rId11" Type="http://schemas.openxmlformats.org/officeDocument/2006/relationships/hyperlink" Target="https://www.instagram.com/kekevaangelista?igsh=MXUzYWFvaWtmeGZhNg==" TargetMode="External"/><Relationship Id="rId10" Type="http://schemas.openxmlformats.org/officeDocument/2006/relationships/hyperlink" Target="https://www.tiktok.com/@imasfahriaty_?is_from_webapp=1&amp;sender_device=pc" TargetMode="External"/><Relationship Id="rId13" Type="http://schemas.openxmlformats.org/officeDocument/2006/relationships/hyperlink" Target="https://www.instagram.com/putrinahari?igsh=YWV2Mm8yaWdwcnlk" TargetMode="External"/><Relationship Id="rId12" Type="http://schemas.openxmlformats.org/officeDocument/2006/relationships/hyperlink" Target="https://www.tiktok.com/@kekevaangelista?is_from_webapp=1&amp;sender_device=pc" TargetMode="External"/><Relationship Id="rId15" Type="http://schemas.openxmlformats.org/officeDocument/2006/relationships/hyperlink" Target="https://www.instagram.com/trishaazia?igsh=ZDRvOGhtODBqN25v" TargetMode="External"/><Relationship Id="rId14" Type="http://schemas.openxmlformats.org/officeDocument/2006/relationships/hyperlink" Target="https://www.tiktok.com/@putrinaharira?is_from_webapp=1&amp;sender_device=pc" TargetMode="External"/><Relationship Id="rId17" Type="http://schemas.openxmlformats.org/officeDocument/2006/relationships/hyperlink" Target="http://instagram.com/annisaoy" TargetMode="External"/><Relationship Id="rId16" Type="http://schemas.openxmlformats.org/officeDocument/2006/relationships/hyperlink" Target="https://www.tiktok.com/@trishaaazia?is_from_webapp=1&amp;sender_device=pc" TargetMode="External"/><Relationship Id="rId19" Type="http://schemas.openxmlformats.org/officeDocument/2006/relationships/hyperlink" Target="https://www.instagram.com/ka.reys?igsh=Y2NzNWEyenBjYTkx" TargetMode="External"/><Relationship Id="rId18" Type="http://schemas.openxmlformats.org/officeDocument/2006/relationships/hyperlink" Target="http://tiktok.com/@annisaoyy" TargetMode="External"/><Relationship Id="rId84" Type="http://schemas.openxmlformats.org/officeDocument/2006/relationships/hyperlink" Target="https://www.tiktok.com/@dewizuhriati?is_from_webapp=1&amp;sender_device=pc" TargetMode="External"/><Relationship Id="rId83" Type="http://schemas.openxmlformats.org/officeDocument/2006/relationships/hyperlink" Target="https://www.instagram.com/dewizuhriati?igsh=MXc1anQwcmNiNXVydQ==" TargetMode="External"/><Relationship Id="rId86" Type="http://schemas.openxmlformats.org/officeDocument/2006/relationships/hyperlink" Target="https://www.tiktok.com/@niaghan?is_from_webapp=1&amp;sender_device=pc" TargetMode="External"/><Relationship Id="rId85" Type="http://schemas.openxmlformats.org/officeDocument/2006/relationships/hyperlink" Target="https://www.instagram.com/niaghania?igsh=MTEzNWQ1M3o2b2N5dA==" TargetMode="External"/><Relationship Id="rId88" Type="http://schemas.openxmlformats.org/officeDocument/2006/relationships/hyperlink" Target="https://www.tiktok.com/@ferraagustina2?is_from_webapp=1&amp;sender_device=pc" TargetMode="External"/><Relationship Id="rId87" Type="http://schemas.openxmlformats.org/officeDocument/2006/relationships/hyperlink" Target="https://www.instagram.com/ferra_agustina?igsh=MWQ4MnBlbDhuZGQ4bA==" TargetMode="External"/><Relationship Id="rId89" Type="http://schemas.openxmlformats.org/officeDocument/2006/relationships/hyperlink" Target="https://www.instagram.com/galyasgeulis?igsh=MTA4cjMzMG9oN2didQ==" TargetMode="External"/><Relationship Id="rId80" Type="http://schemas.openxmlformats.org/officeDocument/2006/relationships/hyperlink" Target="https://www.tiktok.com/@rachelvennya" TargetMode="External"/><Relationship Id="rId82" Type="http://schemas.openxmlformats.org/officeDocument/2006/relationships/hyperlink" Target="https://www.tiktok.com/@shaturday?is_from_webapp=1&amp;sender_device=pc" TargetMode="External"/><Relationship Id="rId81" Type="http://schemas.openxmlformats.org/officeDocument/2006/relationships/hyperlink" Target="https://www.instagram.com/shadirafirdausii?igsh=Nm5oamV3ZjViNnp2" TargetMode="External"/><Relationship Id="rId73" Type="http://schemas.openxmlformats.org/officeDocument/2006/relationships/hyperlink" Target="https://www.instagram.com/kezialetheia/" TargetMode="External"/><Relationship Id="rId72" Type="http://schemas.openxmlformats.org/officeDocument/2006/relationships/hyperlink" Target="https://www.tiktok.com/@jenniferchrstie" TargetMode="External"/><Relationship Id="rId75" Type="http://schemas.openxmlformats.org/officeDocument/2006/relationships/hyperlink" Target="https://www.instagram.com/yourminbite/" TargetMode="External"/><Relationship Id="rId74" Type="http://schemas.openxmlformats.org/officeDocument/2006/relationships/hyperlink" Target="https://www.tiktok.com/@keziaaletheia" TargetMode="External"/><Relationship Id="rId77" Type="http://schemas.openxmlformats.org/officeDocument/2006/relationships/hyperlink" Target="https://www.instagram.com/reginaaphx" TargetMode="External"/><Relationship Id="rId76" Type="http://schemas.openxmlformats.org/officeDocument/2006/relationships/hyperlink" Target="https://www.tiktok.com/@yourminbite" TargetMode="External"/><Relationship Id="rId79" Type="http://schemas.openxmlformats.org/officeDocument/2006/relationships/hyperlink" Target="http://instagram.com/rachelvennya" TargetMode="External"/><Relationship Id="rId78" Type="http://schemas.openxmlformats.org/officeDocument/2006/relationships/hyperlink" Target="https://www.tiktok.com/@reginaphx" TargetMode="External"/><Relationship Id="rId71" Type="http://schemas.openxmlformats.org/officeDocument/2006/relationships/hyperlink" Target="https://www.instagram.com/jenniferchrstie/" TargetMode="External"/><Relationship Id="rId70" Type="http://schemas.openxmlformats.org/officeDocument/2006/relationships/hyperlink" Target="https://www.tiktok.com/@rucenuenda1?is_from_webapp=1&amp;sender_device=pc" TargetMode="External"/><Relationship Id="rId62" Type="http://schemas.openxmlformats.org/officeDocument/2006/relationships/hyperlink" Target="https://www.tiktok.com/@salmaaristiana?is_from_webapp=1&amp;sender_device=pc" TargetMode="External"/><Relationship Id="rId61" Type="http://schemas.openxmlformats.org/officeDocument/2006/relationships/hyperlink" Target="https://www.instagram.com/salmaristiana?igsh=eXVrc21lZGx4MDJp" TargetMode="External"/><Relationship Id="rId64" Type="http://schemas.openxmlformats.org/officeDocument/2006/relationships/hyperlink" Target="https://www.tiktok.com/@rifani665?is_from_webapp=1&amp;sender_device=pc" TargetMode="External"/><Relationship Id="rId63" Type="http://schemas.openxmlformats.org/officeDocument/2006/relationships/hyperlink" Target="https://www.instagram.com/rifaeny0/" TargetMode="External"/><Relationship Id="rId66" Type="http://schemas.openxmlformats.org/officeDocument/2006/relationships/hyperlink" Target="https://www.tiktok.com/@almineta2?is_from_webapp=1&amp;sender_device=pc" TargetMode="External"/><Relationship Id="rId65" Type="http://schemas.openxmlformats.org/officeDocument/2006/relationships/hyperlink" Target="https://www.instagram.com/sasyaclarissa/" TargetMode="External"/><Relationship Id="rId68" Type="http://schemas.openxmlformats.org/officeDocument/2006/relationships/hyperlink" Target="http://tiktok.com/@aalmassaid" TargetMode="External"/><Relationship Id="rId67" Type="http://schemas.openxmlformats.org/officeDocument/2006/relationships/hyperlink" Target="http://instagram.com/aaliyah.massaid" TargetMode="External"/><Relationship Id="rId60" Type="http://schemas.openxmlformats.org/officeDocument/2006/relationships/hyperlink" Target="https://www.tiktok.com/@sasyaclarissa_?is_from_webapp=1&amp;sender_device=pc" TargetMode="External"/><Relationship Id="rId69" Type="http://schemas.openxmlformats.org/officeDocument/2006/relationships/hyperlink" Target="https://www.instagram.com/rucenuenda?igsh=MWk4ZGliNDYwbG10cg==" TargetMode="External"/><Relationship Id="rId51" Type="http://schemas.openxmlformats.org/officeDocument/2006/relationships/hyperlink" Target="https://www.instagram.com/asyahidann?igsh=MWVkeWJmdWFlY3JqZw==" TargetMode="External"/><Relationship Id="rId50" Type="http://schemas.openxmlformats.org/officeDocument/2006/relationships/hyperlink" Target="http://tiktok.com/@faridahuha" TargetMode="External"/><Relationship Id="rId53" Type="http://schemas.openxmlformats.org/officeDocument/2006/relationships/hyperlink" Target="https://www.instagram.com/ulyaslsss__?igsh=MWRxZWYwdDlsbnhtYQ==" TargetMode="External"/><Relationship Id="rId52" Type="http://schemas.openxmlformats.org/officeDocument/2006/relationships/hyperlink" Target="https://www.tiktok.com/@asyahidan?is_from_webapp=1&amp;sender_device=pc" TargetMode="External"/><Relationship Id="rId55" Type="http://schemas.openxmlformats.org/officeDocument/2006/relationships/hyperlink" Target="https://www.instagram.com/mutiarasgt?igsh=bnVnZTJjYnNpeTRp" TargetMode="External"/><Relationship Id="rId54" Type="http://schemas.openxmlformats.org/officeDocument/2006/relationships/hyperlink" Target="https://www.tiktok.com/@ulyasalsabilaa?is_from_webapp=1&amp;sender_device=pc" TargetMode="External"/><Relationship Id="rId57" Type="http://schemas.openxmlformats.org/officeDocument/2006/relationships/hyperlink" Target="https://www.instagram.com/jessicashainaa?igsh=dmk5aGw4dnlvM2s5" TargetMode="External"/><Relationship Id="rId56" Type="http://schemas.openxmlformats.org/officeDocument/2006/relationships/hyperlink" Target="https://www.tiktok.com/@aiue.oyyy?is_from_webapp=1&amp;sender_device=pc" TargetMode="External"/><Relationship Id="rId59" Type="http://schemas.openxmlformats.org/officeDocument/2006/relationships/hyperlink" Target="https://www.instagram.com/sasyaclarissa/" TargetMode="External"/><Relationship Id="rId58" Type="http://schemas.openxmlformats.org/officeDocument/2006/relationships/hyperlink" Target="https://www.tiktok.com/@jessivns?is_from_webapp=1&amp;sender_device=pc" TargetMode="External"/><Relationship Id="rId107" Type="http://schemas.openxmlformats.org/officeDocument/2006/relationships/hyperlink" Target="http://instagram.com/miskashf" TargetMode="External"/><Relationship Id="rId106" Type="http://schemas.openxmlformats.org/officeDocument/2006/relationships/hyperlink" Target="http://tiktok.com/@clarissaputrih" TargetMode="External"/><Relationship Id="rId105" Type="http://schemas.openxmlformats.org/officeDocument/2006/relationships/hyperlink" Target="http://instagram.com/clarissaputri_" TargetMode="External"/><Relationship Id="rId104" Type="http://schemas.openxmlformats.org/officeDocument/2006/relationships/hyperlink" Target="https://www.tiktok.com/@ratuauliaa22" TargetMode="External"/><Relationship Id="rId109" Type="http://schemas.openxmlformats.org/officeDocument/2006/relationships/hyperlink" Target="http://instagram.com/wynnneug" TargetMode="External"/><Relationship Id="rId108" Type="http://schemas.openxmlformats.org/officeDocument/2006/relationships/hyperlink" Target="http://tiktok.com/@miskashf" TargetMode="External"/><Relationship Id="rId103" Type="http://schemas.openxmlformats.org/officeDocument/2006/relationships/hyperlink" Target="https://www.instagram.com/ratuaulia22_/" TargetMode="External"/><Relationship Id="rId102" Type="http://schemas.openxmlformats.org/officeDocument/2006/relationships/hyperlink" Target="https://www.tiktok.com/@violenziajeanette" TargetMode="External"/><Relationship Id="rId101" Type="http://schemas.openxmlformats.org/officeDocument/2006/relationships/hyperlink" Target="https://www.instagram.com/violenziajean/" TargetMode="External"/><Relationship Id="rId100" Type="http://schemas.openxmlformats.org/officeDocument/2006/relationships/hyperlink" Target="https://www.tiktok.com/@ndhiraa07" TargetMode="External"/><Relationship Id="rId95" Type="http://schemas.openxmlformats.org/officeDocument/2006/relationships/hyperlink" Target="http://instagram.com/tutorialhidub" TargetMode="External"/><Relationship Id="rId94" Type="http://schemas.openxmlformats.org/officeDocument/2006/relationships/hyperlink" Target="https://www.tiktok.com/@jejekaliya" TargetMode="External"/><Relationship Id="rId97" Type="http://schemas.openxmlformats.org/officeDocument/2006/relationships/hyperlink" Target="https://www.instagram.com/iranndha/" TargetMode="External"/><Relationship Id="rId96" Type="http://schemas.openxmlformats.org/officeDocument/2006/relationships/hyperlink" Target="http://tiktok.com/@aulianuzl" TargetMode="External"/><Relationship Id="rId99" Type="http://schemas.openxmlformats.org/officeDocument/2006/relationships/hyperlink" Target="https://www.instagram.com/syafira_hdd/" TargetMode="External"/><Relationship Id="rId98" Type="http://schemas.openxmlformats.org/officeDocument/2006/relationships/hyperlink" Target="https://www.tiktok.com/@iranandha?lang=en" TargetMode="External"/><Relationship Id="rId91" Type="http://schemas.openxmlformats.org/officeDocument/2006/relationships/hyperlink" Target="http://instagram.com/shazhaniaa" TargetMode="External"/><Relationship Id="rId90" Type="http://schemas.openxmlformats.org/officeDocument/2006/relationships/hyperlink" Target="https://www.tiktok.com/@galyasgeulis?is_from_webapp=1&amp;sender_device=pc" TargetMode="External"/><Relationship Id="rId93" Type="http://schemas.openxmlformats.org/officeDocument/2006/relationships/hyperlink" Target="https://www.instagram.com/jessicaklppr/" TargetMode="External"/><Relationship Id="rId92" Type="http://schemas.openxmlformats.org/officeDocument/2006/relationships/hyperlink" Target="http://tiktok.com/@_shaz" TargetMode="External"/><Relationship Id="rId110" Type="http://schemas.openxmlformats.org/officeDocument/2006/relationships/hyperlink" Target="http://tiktok.com/@wynnneug" TargetMode="External"/><Relationship Id="rId113" Type="http://schemas.openxmlformats.org/officeDocument/2006/relationships/drawing" Target="../drawings/drawing14.xml"/><Relationship Id="rId112" Type="http://schemas.openxmlformats.org/officeDocument/2006/relationships/hyperlink" Target="http://tiktok.com/@jennifer.coppen" TargetMode="External"/><Relationship Id="rId111" Type="http://schemas.openxmlformats.org/officeDocument/2006/relationships/hyperlink" Target="http://instagram.com/jennifercoppenreal20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fadlyfsl_/?hl=id" TargetMode="External"/><Relationship Id="rId2" Type="http://schemas.openxmlformats.org/officeDocument/2006/relationships/hyperlink" Target="https://www.tiktok.com/@fadlyfsl_" TargetMode="External"/><Relationship Id="rId3" Type="http://schemas.openxmlformats.org/officeDocument/2006/relationships/hyperlink" Target="https://www.instagram.com/fauzanakhdan?igsh=MW5uZDV0d3E1YWIyaQ==" TargetMode="External"/><Relationship Id="rId4" Type="http://schemas.openxmlformats.org/officeDocument/2006/relationships/hyperlink" Target="https://www.tiktok.com/@fauzanakhdan?is_from_webapp=1&amp;sender_device=pc" TargetMode="External"/><Relationship Id="rId9" Type="http://schemas.openxmlformats.org/officeDocument/2006/relationships/hyperlink" Target="https://www.instagram.com/juandadaly" TargetMode="External"/><Relationship Id="rId5" Type="http://schemas.openxmlformats.org/officeDocument/2006/relationships/hyperlink" Target="https://www.instagram.com/faridnuralimm_" TargetMode="External"/><Relationship Id="rId6" Type="http://schemas.openxmlformats.org/officeDocument/2006/relationships/hyperlink" Target="https://www.tiktok.com/@aidnnn2?lang=en" TargetMode="External"/><Relationship Id="rId7" Type="http://schemas.openxmlformats.org/officeDocument/2006/relationships/hyperlink" Target="http://instagram.com/elnandautomo" TargetMode="External"/><Relationship Id="rId8" Type="http://schemas.openxmlformats.org/officeDocument/2006/relationships/hyperlink" Target="http://tiktok.com/@elnandautomoo" TargetMode="External"/><Relationship Id="rId40" Type="http://schemas.openxmlformats.org/officeDocument/2006/relationships/hyperlink" Target="http://tiktok.com/@__ehan" TargetMode="External"/><Relationship Id="rId42" Type="http://schemas.openxmlformats.org/officeDocument/2006/relationships/hyperlink" Target="https://www.tiktok.com/@pardonmypresence?lang=en" TargetMode="External"/><Relationship Id="rId41" Type="http://schemas.openxmlformats.org/officeDocument/2006/relationships/hyperlink" Target="https://www.instagram.com/kaffanugroho" TargetMode="External"/><Relationship Id="rId44" Type="http://schemas.openxmlformats.org/officeDocument/2006/relationships/hyperlink" Target="https://www.tiktok.com/@farhanrn__" TargetMode="External"/><Relationship Id="rId43" Type="http://schemas.openxmlformats.org/officeDocument/2006/relationships/hyperlink" Target="http://instagram.com/farhanrn__" TargetMode="External"/><Relationship Id="rId46" Type="http://schemas.openxmlformats.org/officeDocument/2006/relationships/hyperlink" Target="http://tiktok.com/@reyyyz" TargetMode="External"/><Relationship Id="rId45" Type="http://schemas.openxmlformats.org/officeDocument/2006/relationships/hyperlink" Target="https://www.instagram.com/abipraya28" TargetMode="External"/><Relationship Id="rId48" Type="http://schemas.openxmlformats.org/officeDocument/2006/relationships/hyperlink" Target="http://tiktok.com/@dictionarei" TargetMode="External"/><Relationship Id="rId47" Type="http://schemas.openxmlformats.org/officeDocument/2006/relationships/hyperlink" Target="http://instagram.com/reizukaaari" TargetMode="External"/><Relationship Id="rId49" Type="http://schemas.openxmlformats.org/officeDocument/2006/relationships/hyperlink" Target="http://instagram.com/teukuryantr" TargetMode="External"/><Relationship Id="rId31" Type="http://schemas.openxmlformats.org/officeDocument/2006/relationships/hyperlink" Target="https://www.instagram.com/renaldfadli/%E2%80%A8" TargetMode="External"/><Relationship Id="rId30" Type="http://schemas.openxmlformats.org/officeDocument/2006/relationships/hyperlink" Target="https://www.tiktok.com/@fachrulhadid?is_from_webapp=1&amp;sender_device=pc" TargetMode="External"/><Relationship Id="rId33" Type="http://schemas.openxmlformats.org/officeDocument/2006/relationships/hyperlink" Target="http://instagram.com/emilmari0" TargetMode="External"/><Relationship Id="rId32" Type="http://schemas.openxmlformats.org/officeDocument/2006/relationships/hyperlink" Target="https://www.tiktok.com/@mahasiswagendut2?lang=en" TargetMode="External"/><Relationship Id="rId35" Type="http://schemas.openxmlformats.org/officeDocument/2006/relationships/hyperlink" Target="https://www.instagram.com/gilangsamiadji" TargetMode="External"/><Relationship Id="rId34" Type="http://schemas.openxmlformats.org/officeDocument/2006/relationships/hyperlink" Target="https://www.tiktok.com/@emilmario69?lang=en" TargetMode="External"/><Relationship Id="rId37" Type="http://schemas.openxmlformats.org/officeDocument/2006/relationships/hyperlink" Target="https://www.instagram.com/holaofadlan/" TargetMode="External"/><Relationship Id="rId36" Type="http://schemas.openxmlformats.org/officeDocument/2006/relationships/hyperlink" Target="https://www.tiktok.com/@gilangsamiadji?lang=en" TargetMode="External"/><Relationship Id="rId39" Type="http://schemas.openxmlformats.org/officeDocument/2006/relationships/hyperlink" Target="http://instagram.com/__ehan" TargetMode="External"/><Relationship Id="rId38" Type="http://schemas.openxmlformats.org/officeDocument/2006/relationships/hyperlink" Target="https://www.tiktok.com/@fadlanholao?lang=en" TargetMode="External"/><Relationship Id="rId20" Type="http://schemas.openxmlformats.org/officeDocument/2006/relationships/hyperlink" Target="http://tiktok.com/@mike__frans" TargetMode="External"/><Relationship Id="rId22" Type="http://schemas.openxmlformats.org/officeDocument/2006/relationships/hyperlink" Target="https://www.tiktok.com/@opahgalareal?is_from_webapp=1&amp;sender_device=pc" TargetMode="External"/><Relationship Id="rId21" Type="http://schemas.openxmlformats.org/officeDocument/2006/relationships/hyperlink" Target="https://www.instagram.com/opah_faisal?igsh=cmdueGN3OGprbGNr" TargetMode="External"/><Relationship Id="rId24" Type="http://schemas.openxmlformats.org/officeDocument/2006/relationships/hyperlink" Target="https://www.tiktok.com/@fachrulhadid?is_from_webapp=1&amp;sender_device=pc" TargetMode="External"/><Relationship Id="rId23" Type="http://schemas.openxmlformats.org/officeDocument/2006/relationships/hyperlink" Target="https://www.instagram.com/ayunghadid/" TargetMode="External"/><Relationship Id="rId26" Type="http://schemas.openxmlformats.org/officeDocument/2006/relationships/hyperlink" Target="https://www.tiktok.com/@rereanggara" TargetMode="External"/><Relationship Id="rId25" Type="http://schemas.openxmlformats.org/officeDocument/2006/relationships/hyperlink" Target="http://instagram.com/rereanggara" TargetMode="External"/><Relationship Id="rId28" Type="http://schemas.openxmlformats.org/officeDocument/2006/relationships/hyperlink" Target="https://www.tiktok.com/@s4y4_im0t" TargetMode="External"/><Relationship Id="rId27" Type="http://schemas.openxmlformats.org/officeDocument/2006/relationships/hyperlink" Target="https://www.instagram.com/bagas__dribble/" TargetMode="External"/><Relationship Id="rId29" Type="http://schemas.openxmlformats.org/officeDocument/2006/relationships/hyperlink" Target="https://www.instagram.com/fachrulhadid" TargetMode="External"/><Relationship Id="rId11" Type="http://schemas.openxmlformats.org/officeDocument/2006/relationships/hyperlink" Target="https://www.instagram.com/redcah?igsh=MTJxeWtyZGZsZHVwNw==" TargetMode="External"/><Relationship Id="rId10" Type="http://schemas.openxmlformats.org/officeDocument/2006/relationships/hyperlink" Target="https://www.tiktok.com/@juandadaly?is_from_webapp=1&amp;sender_device=pc" TargetMode="External"/><Relationship Id="rId13" Type="http://schemas.openxmlformats.org/officeDocument/2006/relationships/hyperlink" Target="https://www.instagram.com/luthfy.h20?igsh=eWN1YzMzY3M1emhq" TargetMode="External"/><Relationship Id="rId12" Type="http://schemas.openxmlformats.org/officeDocument/2006/relationships/hyperlink" Target="https://www.tiktok.com/@redcah?is_from_webapp=1&amp;sender_device=pc" TargetMode="External"/><Relationship Id="rId15" Type="http://schemas.openxmlformats.org/officeDocument/2006/relationships/hyperlink" Target="http://instagram.com/ficrafth" TargetMode="External"/><Relationship Id="rId14" Type="http://schemas.openxmlformats.org/officeDocument/2006/relationships/hyperlink" Target="https://www.tiktok.com/@luthfy.h20?is_from_webapp=1&amp;sender_device=pc" TargetMode="External"/><Relationship Id="rId17" Type="http://schemas.openxmlformats.org/officeDocument/2006/relationships/hyperlink" Target="https://www.instagram.com/hoveryponen12?igsh=bDdtYW1xY2ZmYWp6" TargetMode="External"/><Relationship Id="rId16" Type="http://schemas.openxmlformats.org/officeDocument/2006/relationships/hyperlink" Target="https://www.tiktok.com/@ficrafth" TargetMode="External"/><Relationship Id="rId19" Type="http://schemas.openxmlformats.org/officeDocument/2006/relationships/hyperlink" Target="http://instagram.com/mike__frans" TargetMode="External"/><Relationship Id="rId18" Type="http://schemas.openxmlformats.org/officeDocument/2006/relationships/hyperlink" Target="https://www.tiktok.com/@kenbun88" TargetMode="External"/><Relationship Id="rId51" Type="http://schemas.openxmlformats.org/officeDocument/2006/relationships/hyperlink" Target="http://instagram.com/sandrofahdhipa" TargetMode="External"/><Relationship Id="rId50" Type="http://schemas.openxmlformats.org/officeDocument/2006/relationships/hyperlink" Target="http://tiktok.com/@teukuryantr" TargetMode="External"/><Relationship Id="rId53" Type="http://schemas.openxmlformats.org/officeDocument/2006/relationships/hyperlink" Target="http://instagram.com/fadiljaidi" TargetMode="External"/><Relationship Id="rId52" Type="http://schemas.openxmlformats.org/officeDocument/2006/relationships/hyperlink" Target="http://tiktok.com/@dhip___" TargetMode="External"/><Relationship Id="rId55" Type="http://schemas.openxmlformats.org/officeDocument/2006/relationships/drawing" Target="../drawings/drawing15.xml"/><Relationship Id="rId54" Type="http://schemas.openxmlformats.org/officeDocument/2006/relationships/hyperlink" Target="http://tiktok.com/@fadiljaidi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galyasgeulis?igsh=MTA4cjMzMG9oN2didQ==" TargetMode="External"/><Relationship Id="rId2" Type="http://schemas.openxmlformats.org/officeDocument/2006/relationships/hyperlink" Target="https://www.tiktok.com/@galyasgeulis?is_from_webapp=1&amp;sender_device=pc" TargetMode="External"/><Relationship Id="rId3" Type="http://schemas.openxmlformats.org/officeDocument/2006/relationships/hyperlink" Target="https://www.instagram.com/gelialinn?igsh=c2M2Z2cxZGNmdXF1" TargetMode="External"/><Relationship Id="rId4" Type="http://schemas.openxmlformats.org/officeDocument/2006/relationships/hyperlink" Target="https://www.tiktok.com/@gelialinda?is_from_webapp=1&amp;sender_device=pc" TargetMode="External"/><Relationship Id="rId9" Type="http://schemas.openxmlformats.org/officeDocument/2006/relationships/hyperlink" Target="https://www.instagram.com/ka.reys?igsh=Y2NzNWEyenBjYTkx" TargetMode="External"/><Relationship Id="rId5" Type="http://schemas.openxmlformats.org/officeDocument/2006/relationships/hyperlink" Target="https://www.instagram.com/kekevaangelista?igsh=MXUzYWFvaWtmeGZhNg==" TargetMode="External"/><Relationship Id="rId6" Type="http://schemas.openxmlformats.org/officeDocument/2006/relationships/hyperlink" Target="https://www.tiktok.com/@kekevaangelista?is_from_webapp=1&amp;sender_device=pc" TargetMode="External"/><Relationship Id="rId7" Type="http://schemas.openxmlformats.org/officeDocument/2006/relationships/hyperlink" Target="https://www.instagram.com/trishaazia?igsh=ZDRvOGhtODBqN25v" TargetMode="External"/><Relationship Id="rId8" Type="http://schemas.openxmlformats.org/officeDocument/2006/relationships/hyperlink" Target="https://www.tiktok.com/@trishaaazia?is_from_webapp=1&amp;sender_device=pc" TargetMode="External"/><Relationship Id="rId20" Type="http://schemas.openxmlformats.org/officeDocument/2006/relationships/hyperlink" Target="https://www.tiktok.com/@shaturday?is_from_webapp=1&amp;sender_device=pc" TargetMode="External"/><Relationship Id="rId22" Type="http://schemas.openxmlformats.org/officeDocument/2006/relationships/hyperlink" Target="https://www.tiktok.com/@ferraagustina2?is_from_webapp=1&amp;sender_device=pc" TargetMode="External"/><Relationship Id="rId21" Type="http://schemas.openxmlformats.org/officeDocument/2006/relationships/hyperlink" Target="https://www.instagram.com/ferra_agustina?igsh=MWQ4MnBlbDhuZGQ4bA==" TargetMode="External"/><Relationship Id="rId24" Type="http://schemas.openxmlformats.org/officeDocument/2006/relationships/hyperlink" Target="https://www.tiktok.com/@carlenedoraa?is_from_webapp=1&amp;sender_device=pc" TargetMode="External"/><Relationship Id="rId23" Type="http://schemas.openxmlformats.org/officeDocument/2006/relationships/hyperlink" Target="https://www.instagram.com/carlenedoraa?igsh=MTJmbXUzM3o4MTUybQ==" TargetMode="External"/><Relationship Id="rId26" Type="http://schemas.openxmlformats.org/officeDocument/2006/relationships/hyperlink" Target="https://www.tiktok.com/@caesadhanisa?is_from_webapp=1&amp;sender_device=pc" TargetMode="External"/><Relationship Id="rId25" Type="http://schemas.openxmlformats.org/officeDocument/2006/relationships/hyperlink" Target="https://www.instagram.com/caesadhanisa?igsh=dmh1ejFnbGZ4dm1p" TargetMode="External"/><Relationship Id="rId27" Type="http://schemas.openxmlformats.org/officeDocument/2006/relationships/drawing" Target="../drawings/drawing16.xml"/><Relationship Id="rId11" Type="http://schemas.openxmlformats.org/officeDocument/2006/relationships/hyperlink" Target="https://www.instagram.com/aisyafputri" TargetMode="External"/><Relationship Id="rId10" Type="http://schemas.openxmlformats.org/officeDocument/2006/relationships/hyperlink" Target="https://www.tiktok.com/@kayesssss?is_from_webapp=1&amp;sender_device=pc" TargetMode="External"/><Relationship Id="rId13" Type="http://schemas.openxmlformats.org/officeDocument/2006/relationships/hyperlink" Target="https://www.instagram.com/fauzanakhdan?igsh=MW5uZDV0d3E1YWIyaQ==" TargetMode="External"/><Relationship Id="rId12" Type="http://schemas.openxmlformats.org/officeDocument/2006/relationships/hyperlink" Target="https://www.tiktok.com/@aisyafputri?is_from_webapp=1&amp;sender_device=pc" TargetMode="External"/><Relationship Id="rId15" Type="http://schemas.openxmlformats.org/officeDocument/2006/relationships/hyperlink" Target="https://www.instagram.com/ojankeke?igsh=MTZ5NDc5N3o2YWw5MA==" TargetMode="External"/><Relationship Id="rId14" Type="http://schemas.openxmlformats.org/officeDocument/2006/relationships/hyperlink" Target="https://www.tiktok.com/@fauzanakhdan?is_from_webapp=1&amp;sender_device=pc" TargetMode="External"/><Relationship Id="rId17" Type="http://schemas.openxmlformats.org/officeDocument/2006/relationships/hyperlink" Target="https://www.instagram.com/luthfy.h20?igsh=eWN1YzMzY3M1emhq" TargetMode="External"/><Relationship Id="rId16" Type="http://schemas.openxmlformats.org/officeDocument/2006/relationships/hyperlink" Target="https://www.tiktok.com/@ojankeke?is_from_webapp=1&amp;sender_device=pc" TargetMode="External"/><Relationship Id="rId19" Type="http://schemas.openxmlformats.org/officeDocument/2006/relationships/hyperlink" Target="https://www.instagram.com/shadirafirdausii?igsh=Nm5oamV3ZjViNnp2" TargetMode="External"/><Relationship Id="rId18" Type="http://schemas.openxmlformats.org/officeDocument/2006/relationships/hyperlink" Target="https://www.tiktok.com/@luthfy.h20?is_from_webapp=1&amp;sender_device=pc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imasfahriaty_?igsh=MTV0anowb212YmI4dA==" TargetMode="External"/><Relationship Id="rId2" Type="http://schemas.openxmlformats.org/officeDocument/2006/relationships/hyperlink" Target="https://www.tiktok.com/@imasfahriaty_?is_from_webapp=1&amp;sender_device=pc" TargetMode="External"/><Relationship Id="rId3" Type="http://schemas.openxmlformats.org/officeDocument/2006/relationships/hyperlink" Target="https://www.instagram.com/kekevaangelista?igsh=MXUzYWFvaWtmeGZhNg==" TargetMode="External"/><Relationship Id="rId4" Type="http://schemas.openxmlformats.org/officeDocument/2006/relationships/hyperlink" Target="https://www.tiktok.com/@kekevaangelista?is_from_webapp=1&amp;sender_device=pc" TargetMode="External"/><Relationship Id="rId9" Type="http://schemas.openxmlformats.org/officeDocument/2006/relationships/hyperlink" Target="https://www.instagram.com/alminetaaz?igsh=b2kyYWlxMjhpb3Vk" TargetMode="External"/><Relationship Id="rId5" Type="http://schemas.openxmlformats.org/officeDocument/2006/relationships/hyperlink" Target="https://www.instagram.com/putrinahari?igsh=YWV2Mm8yaWdwcnlk" TargetMode="External"/><Relationship Id="rId6" Type="http://schemas.openxmlformats.org/officeDocument/2006/relationships/hyperlink" Target="https://www.tiktok.com/@putrinaharira?is_from_webapp=1&amp;sender_device=pc" TargetMode="External"/><Relationship Id="rId7" Type="http://schemas.openxmlformats.org/officeDocument/2006/relationships/hyperlink" Target="https://www.instagram.com/ka.reys?igsh=Y2NzNWEyenBjYTkx" TargetMode="External"/><Relationship Id="rId8" Type="http://schemas.openxmlformats.org/officeDocument/2006/relationships/hyperlink" Target="https://www.tiktok.com/@kayesssss?is_from_webapp=1&amp;sender_device=pc" TargetMode="External"/><Relationship Id="rId11" Type="http://schemas.openxmlformats.org/officeDocument/2006/relationships/hyperlink" Target="https://www.instagram.com/ojankeke?igsh=MTZ5NDc5N3o2YWw5MA==" TargetMode="External"/><Relationship Id="rId10" Type="http://schemas.openxmlformats.org/officeDocument/2006/relationships/hyperlink" Target="https://www.tiktok.com/@almineta?is_from_webapp=1&amp;sender_device=pc" TargetMode="External"/><Relationship Id="rId13" Type="http://schemas.openxmlformats.org/officeDocument/2006/relationships/hyperlink" Target="https://www.instagram.com/redcah?igsh=MTJxeWtyZGZsZHVwNw==" TargetMode="External"/><Relationship Id="rId12" Type="http://schemas.openxmlformats.org/officeDocument/2006/relationships/hyperlink" Target="https://www.tiktok.com/@ojankeke?is_from_webapp=1&amp;sender_device=pc" TargetMode="External"/><Relationship Id="rId15" Type="http://schemas.openxmlformats.org/officeDocument/2006/relationships/hyperlink" Target="https://www.instagram.com/rizkywahyudinata_" TargetMode="External"/><Relationship Id="rId14" Type="http://schemas.openxmlformats.org/officeDocument/2006/relationships/hyperlink" Target="https://www.tiktok.com/@redcah?is_from_webapp=1&amp;sender_device=pc" TargetMode="External"/><Relationship Id="rId17" Type="http://schemas.openxmlformats.org/officeDocument/2006/relationships/hyperlink" Target="http://instagram.com/meyandjoe_" TargetMode="External"/><Relationship Id="rId16" Type="http://schemas.openxmlformats.org/officeDocument/2006/relationships/hyperlink" Target="https://www.tiktok.com/@amoskiduy0512?is_from_webapp=1&amp;sender_device=pc" TargetMode="External"/><Relationship Id="rId19" Type="http://schemas.openxmlformats.org/officeDocument/2006/relationships/drawing" Target="../drawings/drawing17.xml"/><Relationship Id="rId18" Type="http://schemas.openxmlformats.org/officeDocument/2006/relationships/hyperlink" Target="http://tiktok.com/@meyandjoe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angelicamanopo" TargetMode="External"/><Relationship Id="rId2" Type="http://schemas.openxmlformats.org/officeDocument/2006/relationships/hyperlink" Target="http://tiktok.com/@angelicamanopo" TargetMode="External"/><Relationship Id="rId3" Type="http://schemas.openxmlformats.org/officeDocument/2006/relationships/hyperlink" Target="https://www.instagram.com/keziagc?igsh=ODNoZWZmcjg2czgw" TargetMode="External"/><Relationship Id="rId4" Type="http://schemas.openxmlformats.org/officeDocument/2006/relationships/hyperlink" Target="https://www.tiktok.com/@keziagc?is_from_webapp=1&amp;sender_device=pc" TargetMode="External"/><Relationship Id="rId9" Type="http://schemas.openxmlformats.org/officeDocument/2006/relationships/drawing" Target="../drawings/drawing18.xml"/><Relationship Id="rId5" Type="http://schemas.openxmlformats.org/officeDocument/2006/relationships/hyperlink" Target="https://www.instagram.com/uulliiaa_/" TargetMode="External"/><Relationship Id="rId6" Type="http://schemas.openxmlformats.org/officeDocument/2006/relationships/hyperlink" Target="https://www.tiktok.com/@maisarairalia?is_from_webapp=1&amp;sender_device=pc" TargetMode="External"/><Relationship Id="rId7" Type="http://schemas.openxmlformats.org/officeDocument/2006/relationships/hyperlink" Target="https://www.instagram.com/mewindahttyas" TargetMode="External"/><Relationship Id="rId8" Type="http://schemas.openxmlformats.org/officeDocument/2006/relationships/hyperlink" Target="https://www.tiktok.com/@mewindaaahttyas?is_from_webapp=1&amp;sender_device=pc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ichelealex/" TargetMode="External"/><Relationship Id="rId2" Type="http://schemas.openxmlformats.org/officeDocument/2006/relationships/hyperlink" Target="https://www.tiktok.com/@cheekykiddo?lang=en" TargetMode="External"/><Relationship Id="rId3" Type="http://schemas.openxmlformats.org/officeDocument/2006/relationships/hyperlink" Target="http://instagram.com/dapur_mamika30" TargetMode="External"/><Relationship Id="rId4" Type="http://schemas.openxmlformats.org/officeDocument/2006/relationships/hyperlink" Target="https://www.tiktok.com/@dapurmamika_" TargetMode="External"/><Relationship Id="rId9" Type="http://schemas.openxmlformats.org/officeDocument/2006/relationships/hyperlink" Target="https://www.instagram.com/riniandriyanii/" TargetMode="External"/><Relationship Id="rId5" Type="http://schemas.openxmlformats.org/officeDocument/2006/relationships/hyperlink" Target="https://www.instagram.com/skylarsveta?igsh=OW12MHJibWZ1eHlj" TargetMode="External"/><Relationship Id="rId6" Type="http://schemas.openxmlformats.org/officeDocument/2006/relationships/hyperlink" Target="https://www.tiktok.com/@skylarsveta?is_from_webapp=1&amp;sender_device=pc" TargetMode="External"/><Relationship Id="rId7" Type="http://schemas.openxmlformats.org/officeDocument/2006/relationships/hyperlink" Target="https://www.instagram.com/adelscooking/" TargetMode="External"/><Relationship Id="rId8" Type="http://schemas.openxmlformats.org/officeDocument/2006/relationships/hyperlink" Target="https://www.tiktok.com/@adelscooking?lang=en" TargetMode="External"/><Relationship Id="rId20" Type="http://schemas.openxmlformats.org/officeDocument/2006/relationships/hyperlink" Target="http://tiktok.com/@aniszaita" TargetMode="External"/><Relationship Id="rId22" Type="http://schemas.openxmlformats.org/officeDocument/2006/relationships/hyperlink" Target="http://tiktok.com/@mardatillahika" TargetMode="External"/><Relationship Id="rId21" Type="http://schemas.openxmlformats.org/officeDocument/2006/relationships/hyperlink" Target="http://instagram.com/mardatillahika" TargetMode="External"/><Relationship Id="rId24" Type="http://schemas.openxmlformats.org/officeDocument/2006/relationships/drawing" Target="../drawings/drawing20.xml"/><Relationship Id="rId23" Type="http://schemas.openxmlformats.org/officeDocument/2006/relationships/hyperlink" Target="https://www.instagram.com/amihandmade/" TargetMode="External"/><Relationship Id="rId11" Type="http://schemas.openxmlformats.org/officeDocument/2006/relationships/hyperlink" Target="https://www.instagram.com/dapurmukbang99/" TargetMode="External"/><Relationship Id="rId10" Type="http://schemas.openxmlformats.org/officeDocument/2006/relationships/hyperlink" Target="https://www.tiktok.com/@riniandriyanii?lang=en" TargetMode="External"/><Relationship Id="rId13" Type="http://schemas.openxmlformats.org/officeDocument/2006/relationships/hyperlink" Target="http://instagram.com/putrihabibie" TargetMode="External"/><Relationship Id="rId12" Type="http://schemas.openxmlformats.org/officeDocument/2006/relationships/hyperlink" Target="https://www.tiktok.com/@dapurmukbang?lang=en" TargetMode="External"/><Relationship Id="rId15" Type="http://schemas.openxmlformats.org/officeDocument/2006/relationships/hyperlink" Target="http://instagram.com/winnibarus" TargetMode="External"/><Relationship Id="rId14" Type="http://schemas.openxmlformats.org/officeDocument/2006/relationships/hyperlink" Target="http://tiktok.com/@putrihabibierecipes" TargetMode="External"/><Relationship Id="rId17" Type="http://schemas.openxmlformats.org/officeDocument/2006/relationships/hyperlink" Target="http://instagram.com/zakiya0916" TargetMode="External"/><Relationship Id="rId16" Type="http://schemas.openxmlformats.org/officeDocument/2006/relationships/hyperlink" Target="http://tiktok.com/@winnibarus" TargetMode="External"/><Relationship Id="rId19" Type="http://schemas.openxmlformats.org/officeDocument/2006/relationships/hyperlink" Target="https://www.instagram.com/aniszaita/" TargetMode="External"/><Relationship Id="rId18" Type="http://schemas.openxmlformats.org/officeDocument/2006/relationships/hyperlink" Target="http://tiktok.com/@zakiya0916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juandadaly" TargetMode="External"/><Relationship Id="rId2" Type="http://schemas.openxmlformats.org/officeDocument/2006/relationships/hyperlink" Target="https://www.tiktok.com/@juandadaly?is_from_webapp=1&amp;sender_device=pc" TargetMode="External"/><Relationship Id="rId3" Type="http://schemas.openxmlformats.org/officeDocument/2006/relationships/hyperlink" Target="https://www.instagram.com/hoveryponen12?igsh=bDdtYW1xY2ZmYWp6" TargetMode="External"/><Relationship Id="rId4" Type="http://schemas.openxmlformats.org/officeDocument/2006/relationships/hyperlink" Target="https://www.tiktok.com/@kenbun88" TargetMode="External"/><Relationship Id="rId9" Type="http://schemas.openxmlformats.org/officeDocument/2006/relationships/hyperlink" Target="http://instagram.com/mike__frans" TargetMode="External"/><Relationship Id="rId5" Type="http://schemas.openxmlformats.org/officeDocument/2006/relationships/hyperlink" Target="http://instagram.com/fitbymilla_" TargetMode="External"/><Relationship Id="rId6" Type="http://schemas.openxmlformats.org/officeDocument/2006/relationships/hyperlink" Target="http://tiktok.com/@fitbymilla" TargetMode="External"/><Relationship Id="rId7" Type="http://schemas.openxmlformats.org/officeDocument/2006/relationships/hyperlink" Target="http://instagram.com/bodyfitbyagus" TargetMode="External"/><Relationship Id="rId8" Type="http://schemas.openxmlformats.org/officeDocument/2006/relationships/hyperlink" Target="http://tiktok.com/@jehianps" TargetMode="External"/><Relationship Id="rId11" Type="http://schemas.openxmlformats.org/officeDocument/2006/relationships/hyperlink" Target="https://www.instagram.com/yuliabaltschun?utm_source=ig_web_button_share_sheet&amp;igsh=ZDNlZDc0MzIxNw==" TargetMode="External"/><Relationship Id="rId10" Type="http://schemas.openxmlformats.org/officeDocument/2006/relationships/hyperlink" Target="http://tiktok.com/@mike__frans" TargetMode="External"/><Relationship Id="rId13" Type="http://schemas.openxmlformats.org/officeDocument/2006/relationships/drawing" Target="../drawings/drawing21.xml"/><Relationship Id="rId12" Type="http://schemas.openxmlformats.org/officeDocument/2006/relationships/hyperlink" Target="https://www.tiktok.com/@yuliabaltschun?is_from_webapp=1&amp;sender_device=pc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acunyaamos_" TargetMode="External"/><Relationship Id="rId2" Type="http://schemas.openxmlformats.org/officeDocument/2006/relationships/hyperlink" Target="https://www.tiktok.com/@racunyaamos_" TargetMode="External"/><Relationship Id="rId3" Type="http://schemas.openxmlformats.org/officeDocument/2006/relationships/hyperlink" Target="https://www.instagram.com/hazealnut?igsh=ZHdkZmNvM2NxdjRs" TargetMode="External"/><Relationship Id="rId4" Type="http://schemas.openxmlformats.org/officeDocument/2006/relationships/hyperlink" Target="https://www.tiktok.com/@hazealnut?is_from_webapp=1&amp;sender_device=pc" TargetMode="External"/><Relationship Id="rId9" Type="http://schemas.openxmlformats.org/officeDocument/2006/relationships/drawing" Target="../drawings/drawing22.xml"/><Relationship Id="rId5" Type="http://schemas.openxmlformats.org/officeDocument/2006/relationships/hyperlink" Target="https://www.instagram.com/carlenedoraa?igsh=MTJmbXUzM3o4MTUybQ==" TargetMode="External"/><Relationship Id="rId6" Type="http://schemas.openxmlformats.org/officeDocument/2006/relationships/hyperlink" Target="https://www.tiktok.com/@carlenedoraa?is_from_webapp=1&amp;sender_device=pc" TargetMode="External"/><Relationship Id="rId7" Type="http://schemas.openxmlformats.org/officeDocument/2006/relationships/hyperlink" Target="http://instagram.com/veyalvia22" TargetMode="External"/><Relationship Id="rId8" Type="http://schemas.openxmlformats.org/officeDocument/2006/relationships/hyperlink" Target="http://tiktok.com/@veyalvia22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faridnuralimm_" TargetMode="External"/><Relationship Id="rId2" Type="http://schemas.openxmlformats.org/officeDocument/2006/relationships/hyperlink" Target="https://www.tiktok.com/@aidnnnnn?is_from_webapp=1&amp;sender_device=pc" TargetMode="External"/><Relationship Id="rId3" Type="http://schemas.openxmlformats.org/officeDocument/2006/relationships/hyperlink" Target="http://instagram.com/ficrafth" TargetMode="External"/><Relationship Id="rId4" Type="http://schemas.openxmlformats.org/officeDocument/2006/relationships/hyperlink" Target="https://www.tiktok.com/@ficrafth" TargetMode="External"/><Relationship Id="rId9" Type="http://schemas.openxmlformats.org/officeDocument/2006/relationships/hyperlink" Target="https://www.tiktok.com/@fachrulhadid?is_from_webapp=1&amp;sender_device=pc" TargetMode="External"/><Relationship Id="rId5" Type="http://schemas.openxmlformats.org/officeDocument/2006/relationships/hyperlink" Target="https://www.instagram.com/salmaristiana?igsh=eXVrc21lZGx4MDJp" TargetMode="External"/><Relationship Id="rId6" Type="http://schemas.openxmlformats.org/officeDocument/2006/relationships/hyperlink" Target="https://www.tiktok.com/@salmaaristiana?is_from_webapp=1&amp;sender_device=pc" TargetMode="External"/><Relationship Id="rId7" Type="http://schemas.openxmlformats.org/officeDocument/2006/relationships/hyperlink" Target="https://www.tiktok.com/@rifaneyy0?is_from_webapp=1&amp;sender_device=pc" TargetMode="External"/><Relationship Id="rId8" Type="http://schemas.openxmlformats.org/officeDocument/2006/relationships/hyperlink" Target="https://www.instagram.com/ayunghadid/" TargetMode="External"/><Relationship Id="rId31" Type="http://schemas.openxmlformats.org/officeDocument/2006/relationships/hyperlink" Target="https://www.tiktok.com/@pardonmypresence?lang=en" TargetMode="External"/><Relationship Id="rId30" Type="http://schemas.openxmlformats.org/officeDocument/2006/relationships/hyperlink" Target="https://www.instagram.com/kaffanugroho" TargetMode="External"/><Relationship Id="rId33" Type="http://schemas.openxmlformats.org/officeDocument/2006/relationships/hyperlink" Target="http://tiktok.com/@nonikmenieszt" TargetMode="External"/><Relationship Id="rId32" Type="http://schemas.openxmlformats.org/officeDocument/2006/relationships/hyperlink" Target="http://instagram.com/nonikmeniesszt" TargetMode="External"/><Relationship Id="rId34" Type="http://schemas.openxmlformats.org/officeDocument/2006/relationships/drawing" Target="../drawings/drawing23.xml"/><Relationship Id="rId20" Type="http://schemas.openxmlformats.org/officeDocument/2006/relationships/hyperlink" Target="https://www.tiktok.com/@fachrulhadid?is_from_webapp=1&amp;sender_device=pc" TargetMode="External"/><Relationship Id="rId22" Type="http://schemas.openxmlformats.org/officeDocument/2006/relationships/hyperlink" Target="http://instagram.com/tutorialhidub" TargetMode="External"/><Relationship Id="rId21" Type="http://schemas.openxmlformats.org/officeDocument/2006/relationships/hyperlink" Target="https://www.tiktok.com/@rifaneyy0?is_from_webapp=1&amp;sender_device=pc" TargetMode="External"/><Relationship Id="rId24" Type="http://schemas.openxmlformats.org/officeDocument/2006/relationships/hyperlink" Target="http://instagram.com/utepsunarya" TargetMode="External"/><Relationship Id="rId23" Type="http://schemas.openxmlformats.org/officeDocument/2006/relationships/hyperlink" Target="http://tiktok.com/@aulianuzl" TargetMode="External"/><Relationship Id="rId26" Type="http://schemas.openxmlformats.org/officeDocument/2006/relationships/hyperlink" Target="https://www.instagram.com/holaofadlan/" TargetMode="External"/><Relationship Id="rId25" Type="http://schemas.openxmlformats.org/officeDocument/2006/relationships/hyperlink" Target="http://tiktok.com/@utepsunarya" TargetMode="External"/><Relationship Id="rId28" Type="http://schemas.openxmlformats.org/officeDocument/2006/relationships/hyperlink" Target="http://instagram.com/__ehan" TargetMode="External"/><Relationship Id="rId27" Type="http://schemas.openxmlformats.org/officeDocument/2006/relationships/hyperlink" Target="https://www.tiktok.com/@fadlanholao?lang=en" TargetMode="External"/><Relationship Id="rId29" Type="http://schemas.openxmlformats.org/officeDocument/2006/relationships/hyperlink" Target="http://tiktok.com/@__ehan" TargetMode="External"/><Relationship Id="rId11" Type="http://schemas.openxmlformats.org/officeDocument/2006/relationships/hyperlink" Target="https://www.instagram.com/alwifachry" TargetMode="External"/><Relationship Id="rId10" Type="http://schemas.openxmlformats.org/officeDocument/2006/relationships/hyperlink" Target="https://www.tiktok.com/@anaknya_mas_joko" TargetMode="External"/><Relationship Id="rId13" Type="http://schemas.openxmlformats.org/officeDocument/2006/relationships/hyperlink" Target="http://instagram.com/rereanggara" TargetMode="External"/><Relationship Id="rId12" Type="http://schemas.openxmlformats.org/officeDocument/2006/relationships/hyperlink" Target="https://www.tiktok.com/@alwifahry" TargetMode="External"/><Relationship Id="rId15" Type="http://schemas.openxmlformats.org/officeDocument/2006/relationships/hyperlink" Target="https://www.instagram.com/firamaringka" TargetMode="External"/><Relationship Id="rId14" Type="http://schemas.openxmlformats.org/officeDocument/2006/relationships/hyperlink" Target="https://www.tiktok.com/@rereanggara" TargetMode="External"/><Relationship Id="rId17" Type="http://schemas.openxmlformats.org/officeDocument/2006/relationships/hyperlink" Target="https://www.instagram.com/bagas__dribble/" TargetMode="External"/><Relationship Id="rId16" Type="http://schemas.openxmlformats.org/officeDocument/2006/relationships/hyperlink" Target="https://www.tiktok.com/@firamaringka" TargetMode="External"/><Relationship Id="rId19" Type="http://schemas.openxmlformats.org/officeDocument/2006/relationships/hyperlink" Target="https://www.instagram.com/fachrulhadid" TargetMode="External"/><Relationship Id="rId18" Type="http://schemas.openxmlformats.org/officeDocument/2006/relationships/hyperlink" Target="https://www.tiktok.com/@s4y4_im0t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kylarsveta?igsh=OW12MHJibWZ1eHlj" TargetMode="External"/><Relationship Id="rId2" Type="http://schemas.openxmlformats.org/officeDocument/2006/relationships/hyperlink" Target="https://www.tiktok.com/@skylarsveta?is_from_webapp=1&amp;sender_device=pc" TargetMode="External"/><Relationship Id="rId3" Type="http://schemas.openxmlformats.org/officeDocument/2006/relationships/hyperlink" Target="https://www.instagram.com/niaghania?igsh=MTEzNWQ1M3o2b2N5dA==" TargetMode="External"/><Relationship Id="rId4" Type="http://schemas.openxmlformats.org/officeDocument/2006/relationships/hyperlink" Target="https://www.tiktok.com/@niaghan?is_from_webapp=1&amp;sender_device=pc" TargetMode="External"/><Relationship Id="rId9" Type="http://schemas.openxmlformats.org/officeDocument/2006/relationships/hyperlink" Target="https://www.instagram.com/raymondchins/" TargetMode="External"/><Relationship Id="rId5" Type="http://schemas.openxmlformats.org/officeDocument/2006/relationships/hyperlink" Target="https://www.instagram.com/esthernataliaa/" TargetMode="External"/><Relationship Id="rId6" Type="http://schemas.openxmlformats.org/officeDocument/2006/relationships/hyperlink" Target="http://tiktok.com/@estherlubis" TargetMode="External"/><Relationship Id="rId7" Type="http://schemas.openxmlformats.org/officeDocument/2006/relationships/hyperlink" Target="http://instagram.com/geraldvincentt" TargetMode="External"/><Relationship Id="rId8" Type="http://schemas.openxmlformats.org/officeDocument/2006/relationships/hyperlink" Target="http://tiktok.com/@geraldvincentt" TargetMode="External"/><Relationship Id="rId11" Type="http://schemas.openxmlformats.org/officeDocument/2006/relationships/drawing" Target="../drawings/drawing24.xml"/><Relationship Id="rId10" Type="http://schemas.openxmlformats.org/officeDocument/2006/relationships/hyperlink" Target="https://www.tiktok.com/@raymondchins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jehianps" TargetMode="External"/><Relationship Id="rId2" Type="http://schemas.openxmlformats.org/officeDocument/2006/relationships/hyperlink" Target="http://tiktok.com/@jehianps" TargetMode="External"/><Relationship Id="rId3" Type="http://schemas.openxmlformats.org/officeDocument/2006/relationships/hyperlink" Target="http://instagram.com/yolanyoo" TargetMode="External"/><Relationship Id="rId4" Type="http://schemas.openxmlformats.org/officeDocument/2006/relationships/hyperlink" Target="http://tiktok.com/@yolanyoo" TargetMode="External"/><Relationship Id="rId5" Type="http://schemas.openxmlformats.org/officeDocument/2006/relationships/hyperlink" Target="https://www.instagram.com/renaldfadli/%E2%80%A8" TargetMode="External"/><Relationship Id="rId6" Type="http://schemas.openxmlformats.org/officeDocument/2006/relationships/hyperlink" Target="https://www.tiktok.com/@mahasiswagendut2?lang=en" TargetMode="External"/><Relationship Id="rId7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angelicamanopo" TargetMode="External"/><Relationship Id="rId2" Type="http://schemas.openxmlformats.org/officeDocument/2006/relationships/hyperlink" Target="http://tiktok.com/@angelicamanopo" TargetMode="External"/><Relationship Id="rId3" Type="http://schemas.openxmlformats.org/officeDocument/2006/relationships/hyperlink" Target="http://instagram.com/aaliyah.massaid" TargetMode="External"/><Relationship Id="rId4" Type="http://schemas.openxmlformats.org/officeDocument/2006/relationships/hyperlink" Target="http://tiktok.com/@aalmassaid" TargetMode="External"/><Relationship Id="rId9" Type="http://schemas.openxmlformats.org/officeDocument/2006/relationships/hyperlink" Target="https://www.instagram.com/kezialetheia/" TargetMode="External"/><Relationship Id="rId5" Type="http://schemas.openxmlformats.org/officeDocument/2006/relationships/hyperlink" Target="https://www.instagram.com/molita_lin" TargetMode="External"/><Relationship Id="rId6" Type="http://schemas.openxmlformats.org/officeDocument/2006/relationships/hyperlink" Target="http://tiktok.com/@molita.lin" TargetMode="External"/><Relationship Id="rId7" Type="http://schemas.openxmlformats.org/officeDocument/2006/relationships/hyperlink" Target="https://www.instagram.com/jenniferchrstie/" TargetMode="External"/><Relationship Id="rId8" Type="http://schemas.openxmlformats.org/officeDocument/2006/relationships/hyperlink" Target="https://www.tiktok.com/@jenniferchrstie" TargetMode="External"/><Relationship Id="rId11" Type="http://schemas.openxmlformats.org/officeDocument/2006/relationships/hyperlink" Target="https://www.instagram.com/jessicaklppr/" TargetMode="External"/><Relationship Id="rId10" Type="http://schemas.openxmlformats.org/officeDocument/2006/relationships/hyperlink" Target="https://www.tiktok.com/@keziaaletheia" TargetMode="External"/><Relationship Id="rId13" Type="http://schemas.openxmlformats.org/officeDocument/2006/relationships/drawing" Target="../drawings/drawing26.xml"/><Relationship Id="rId12" Type="http://schemas.openxmlformats.org/officeDocument/2006/relationships/hyperlink" Target="https://www.tiktok.com/@jejekaliya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piipp/" TargetMode="External"/><Relationship Id="rId2" Type="http://schemas.openxmlformats.org/officeDocument/2006/relationships/hyperlink" Target="https://www.tiktok.com/@apiipp1294?lang=en" TargetMode="External"/><Relationship Id="rId3" Type="http://schemas.openxmlformats.org/officeDocument/2006/relationships/hyperlink" Target="https://www.instagram.com/fandidk/" TargetMode="External"/><Relationship Id="rId4" Type="http://schemas.openxmlformats.org/officeDocument/2006/relationships/hyperlink" Target="https://www.tiktok.com/@fandidk6" TargetMode="External"/><Relationship Id="rId9" Type="http://schemas.openxmlformats.org/officeDocument/2006/relationships/drawing" Target="../drawings/drawing27.xml"/><Relationship Id="rId5" Type="http://schemas.openxmlformats.org/officeDocument/2006/relationships/hyperlink" Target="https://www.instagram.com/kairirds/" TargetMode="External"/><Relationship Id="rId6" Type="http://schemas.openxmlformats.org/officeDocument/2006/relationships/hyperlink" Target="https://www.tiktok.com/@kairirisolmayo" TargetMode="External"/><Relationship Id="rId7" Type="http://schemas.openxmlformats.org/officeDocument/2006/relationships/hyperlink" Target="https://www.instagram.com/luthfihalimawan/" TargetMode="External"/><Relationship Id="rId8" Type="http://schemas.openxmlformats.org/officeDocument/2006/relationships/hyperlink" Target="https://www.tiktok.com/@luthfihalimawan42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amandamanopo" TargetMode="External"/><Relationship Id="rId2" Type="http://schemas.openxmlformats.org/officeDocument/2006/relationships/hyperlink" Target="http://tiktok.com/@agml612" TargetMode="External"/><Relationship Id="rId3" Type="http://schemas.openxmlformats.org/officeDocument/2006/relationships/hyperlink" Target="https://www.instagram.com/angga/" TargetMode="External"/><Relationship Id="rId4" Type="http://schemas.openxmlformats.org/officeDocument/2006/relationships/hyperlink" Target="https://www.tiktok.com/@angga.yunanda?lang=en" TargetMode="External"/><Relationship Id="rId9" Type="http://schemas.openxmlformats.org/officeDocument/2006/relationships/hyperlink" Target="https://www.instagram.com/fajjarsadboy/" TargetMode="External"/><Relationship Id="rId5" Type="http://schemas.openxmlformats.org/officeDocument/2006/relationships/hyperlink" Target="https://www.instagram.com/rklopperr?igsh=MWlyamtsM2FlY3UzMQ==" TargetMode="External"/><Relationship Id="rId6" Type="http://schemas.openxmlformats.org/officeDocument/2006/relationships/hyperlink" Target="https://www.tiktok.com/@rkloppperr?is_from_webapp=1&amp;sender_device=pc" TargetMode="External"/><Relationship Id="rId7" Type="http://schemas.openxmlformats.org/officeDocument/2006/relationships/hyperlink" Target="https://www.instagram.com/dindacresheilla" TargetMode="External"/><Relationship Id="rId8" Type="http://schemas.openxmlformats.org/officeDocument/2006/relationships/hyperlink" Target="https://www.tiktok.com/@dindacresheilla" TargetMode="External"/><Relationship Id="rId11" Type="http://schemas.openxmlformats.org/officeDocument/2006/relationships/hyperlink" Target="https://www.instagram.com/kennyauztin/" TargetMode="External"/><Relationship Id="rId10" Type="http://schemas.openxmlformats.org/officeDocument/2006/relationships/hyperlink" Target="https://www.tiktok.com/@fajarlabatjo" TargetMode="External"/><Relationship Id="rId13" Type="http://schemas.openxmlformats.org/officeDocument/2006/relationships/drawing" Target="../drawings/drawing28.xml"/><Relationship Id="rId12" Type="http://schemas.openxmlformats.org/officeDocument/2006/relationships/hyperlink" Target="https://www.tiktok.com/@kennyauztin16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saritiw" TargetMode="External"/><Relationship Id="rId2" Type="http://schemas.openxmlformats.org/officeDocument/2006/relationships/hyperlink" Target="http://tiktok.com/@sariendahpratiwi" TargetMode="External"/><Relationship Id="rId3" Type="http://schemas.openxmlformats.org/officeDocument/2006/relationships/hyperlink" Target="https://www.instagram.com/nadianraulya?igsh=b3VlaXE3ZW53cDNu" TargetMode="External"/><Relationship Id="rId4" Type="http://schemas.openxmlformats.org/officeDocument/2006/relationships/hyperlink" Target="https://www.tiktok.com/@nadianuraulyaa?is_from_webapp=1&amp;sender_device=pc" TargetMode="External"/><Relationship Id="rId9" Type="http://schemas.openxmlformats.org/officeDocument/2006/relationships/hyperlink" Target="https://www.instagram.com/seviqfebinita/" TargetMode="External"/><Relationship Id="rId5" Type="http://schemas.openxmlformats.org/officeDocument/2006/relationships/hyperlink" Target="https://www.instagram.com/nadiladrn?igsh=dGQxYWhnbW1zMDN1" TargetMode="External"/><Relationship Id="rId6" Type="http://schemas.openxmlformats.org/officeDocument/2006/relationships/hyperlink" Target="https://www.tiktok.com/@dileeedrn?is_from_webapp=1&amp;sender_device=pc" TargetMode="External"/><Relationship Id="rId7" Type="http://schemas.openxmlformats.org/officeDocument/2006/relationships/hyperlink" Target="http://instagram.com/nabilabellai_" TargetMode="External"/><Relationship Id="rId8" Type="http://schemas.openxmlformats.org/officeDocument/2006/relationships/hyperlink" Target="http://tiktok.com/@nabilabellai_" TargetMode="External"/><Relationship Id="rId31" Type="http://schemas.openxmlformats.org/officeDocument/2006/relationships/hyperlink" Target="https://www.instagram.com/mutiarasgt?igsh=bnVnZTJjYnNpeTRp" TargetMode="External"/><Relationship Id="rId30" Type="http://schemas.openxmlformats.org/officeDocument/2006/relationships/hyperlink" Target="https://www.tiktok.com/@ulyasalsabilaa?is_from_webapp=1&amp;sender_device=pc" TargetMode="External"/><Relationship Id="rId33" Type="http://schemas.openxmlformats.org/officeDocument/2006/relationships/hyperlink" Target="https://www.tiktok.com/@almineta2?is_from_webapp=1&amp;sender_device=pc" TargetMode="External"/><Relationship Id="rId32" Type="http://schemas.openxmlformats.org/officeDocument/2006/relationships/hyperlink" Target="http://tiktok.com/@mutiarsh" TargetMode="External"/><Relationship Id="rId35" Type="http://schemas.openxmlformats.org/officeDocument/2006/relationships/hyperlink" Target="http://tiktok.com/@putrialynnn" TargetMode="External"/><Relationship Id="rId34" Type="http://schemas.openxmlformats.org/officeDocument/2006/relationships/hyperlink" Target="http://instagram.com/putrialyn" TargetMode="External"/><Relationship Id="rId37" Type="http://schemas.openxmlformats.org/officeDocument/2006/relationships/hyperlink" Target="http://tiktok.com/@inigiscka" TargetMode="External"/><Relationship Id="rId36" Type="http://schemas.openxmlformats.org/officeDocument/2006/relationships/hyperlink" Target="http://instagram.com/stephaniegiscka" TargetMode="External"/><Relationship Id="rId38" Type="http://schemas.openxmlformats.org/officeDocument/2006/relationships/drawing" Target="../drawings/drawing29.xml"/><Relationship Id="rId20" Type="http://schemas.openxmlformats.org/officeDocument/2006/relationships/hyperlink" Target="https://www.tiktok.com/@jiyaakila?is_from_webapp=1&amp;sender_device=pc" TargetMode="External"/><Relationship Id="rId22" Type="http://schemas.openxmlformats.org/officeDocument/2006/relationships/hyperlink" Target="https://www.tiktok.com/@nabilabyaaa?is_from_webapp=1&amp;sender_device=pc" TargetMode="External"/><Relationship Id="rId21" Type="http://schemas.openxmlformats.org/officeDocument/2006/relationships/hyperlink" Target="http://instagram.com/nabilabyaaa" TargetMode="External"/><Relationship Id="rId24" Type="http://schemas.openxmlformats.org/officeDocument/2006/relationships/hyperlink" Target="https://www.tiktok.com/@viaazulviani?is_from_webapp=1&amp;sender_device=pc" TargetMode="External"/><Relationship Id="rId23" Type="http://schemas.openxmlformats.org/officeDocument/2006/relationships/hyperlink" Target="https://www.instagram.com/viaazulviani?igsh=c3czMjlyb3luMG5u" TargetMode="External"/><Relationship Id="rId26" Type="http://schemas.openxmlformats.org/officeDocument/2006/relationships/hyperlink" Target="https://www.tiktok.com/@sssiraa?is_from_webapp=1&amp;sender_device=pc" TargetMode="External"/><Relationship Id="rId25" Type="http://schemas.openxmlformats.org/officeDocument/2006/relationships/hyperlink" Target="https://www.instagram.com/s.sraaa?igsh=emEyb2s2MzMydTcz" TargetMode="External"/><Relationship Id="rId28" Type="http://schemas.openxmlformats.org/officeDocument/2006/relationships/hyperlink" Target="https://www.tiktok.com/@sylvamulachelaa?is_from_webapp=1&amp;sender_device=pc" TargetMode="External"/><Relationship Id="rId27" Type="http://schemas.openxmlformats.org/officeDocument/2006/relationships/hyperlink" Target="https://www.instagram.com/sylvamulachelaa?igsh=MThldGh3NW80aGI3" TargetMode="External"/><Relationship Id="rId29" Type="http://schemas.openxmlformats.org/officeDocument/2006/relationships/hyperlink" Target="https://www.instagram.com/ulyaslsss__?igsh=MWRxZWYwdDlsbnhtYQ==" TargetMode="External"/><Relationship Id="rId11" Type="http://schemas.openxmlformats.org/officeDocument/2006/relationships/hyperlink" Target="https://www.instagram.com/alminetaaz?igsh=b2kyYWlxMjhpb3Vk" TargetMode="External"/><Relationship Id="rId10" Type="http://schemas.openxmlformats.org/officeDocument/2006/relationships/hyperlink" Target="https://www.tiktok.com/@seviqfebinita" TargetMode="External"/><Relationship Id="rId13" Type="http://schemas.openxmlformats.org/officeDocument/2006/relationships/hyperlink" Target="http://instagram.com/elyanisa_" TargetMode="External"/><Relationship Id="rId12" Type="http://schemas.openxmlformats.org/officeDocument/2006/relationships/hyperlink" Target="https://www.tiktok.com/@almineta?is_from_webapp=1&amp;sender_device=pc" TargetMode="External"/><Relationship Id="rId15" Type="http://schemas.openxmlformats.org/officeDocument/2006/relationships/hyperlink" Target="https://www.instagram.com/hellodhanii" TargetMode="External"/><Relationship Id="rId14" Type="http://schemas.openxmlformats.org/officeDocument/2006/relationships/hyperlink" Target="http://tiktok.com/@elyanisaa" TargetMode="External"/><Relationship Id="rId17" Type="http://schemas.openxmlformats.org/officeDocument/2006/relationships/hyperlink" Target="https://www.instagram.com/nennyzoe?igsh=dnM0dzA2NHM0OHps" TargetMode="External"/><Relationship Id="rId16" Type="http://schemas.openxmlformats.org/officeDocument/2006/relationships/hyperlink" Target="https://www.tiktok.com/@hellodhani" TargetMode="External"/><Relationship Id="rId19" Type="http://schemas.openxmlformats.org/officeDocument/2006/relationships/hyperlink" Target="https://www.instagram.com/bbyjiangel_?igsh=Yzl2NDZkdzlsMjU4" TargetMode="External"/><Relationship Id="rId18" Type="http://schemas.openxmlformats.org/officeDocument/2006/relationships/hyperlink" Target="https://www.tiktok.com/@nennyzoe?is_from_webapp=1&amp;sender_device=pc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fazmifebriana_?igsh=MTczcTR2aTh0bDl1aA==" TargetMode="External"/><Relationship Id="rId2" Type="http://schemas.openxmlformats.org/officeDocument/2006/relationships/hyperlink" Target="https://www.tiktok.com/@fazmif_?is_from_webapp=1&amp;sender_device=pc" TargetMode="External"/><Relationship Id="rId3" Type="http://schemas.openxmlformats.org/officeDocument/2006/relationships/hyperlink" Target="https://www.instagram.com/fauzanakhdan?igsh=MW5uZDV0d3E1YWIyaQ==" TargetMode="External"/><Relationship Id="rId4" Type="http://schemas.openxmlformats.org/officeDocument/2006/relationships/hyperlink" Target="https://www.tiktok.com/@fauzanakhdan?is_from_webapp=1&amp;sender_device=pc" TargetMode="External"/><Relationship Id="rId9" Type="http://schemas.openxmlformats.org/officeDocument/2006/relationships/hyperlink" Target="http://instagram.com/sandrofahdhipa" TargetMode="External"/><Relationship Id="rId5" Type="http://schemas.openxmlformats.org/officeDocument/2006/relationships/hyperlink" Target="http://instagram.com/elnandautomo" TargetMode="External"/><Relationship Id="rId6" Type="http://schemas.openxmlformats.org/officeDocument/2006/relationships/hyperlink" Target="http://tiktok.com/@elnandautomoo" TargetMode="External"/><Relationship Id="rId7" Type="http://schemas.openxmlformats.org/officeDocument/2006/relationships/hyperlink" Target="https://www.instagram.com/redcah?igsh=MTJxeWtyZGZsZHVwNw==" TargetMode="External"/><Relationship Id="rId8" Type="http://schemas.openxmlformats.org/officeDocument/2006/relationships/hyperlink" Target="https://www.tiktok.com/@redcah?is_from_webapp=1&amp;sender_device=pc" TargetMode="External"/><Relationship Id="rId11" Type="http://schemas.openxmlformats.org/officeDocument/2006/relationships/hyperlink" Target="http://instagram.com/mrleizhu" TargetMode="External"/><Relationship Id="rId10" Type="http://schemas.openxmlformats.org/officeDocument/2006/relationships/hyperlink" Target="http://tiktok.com/@dhip___" TargetMode="External"/><Relationship Id="rId13" Type="http://schemas.openxmlformats.org/officeDocument/2006/relationships/drawing" Target="../drawings/drawing30.xml"/><Relationship Id="rId12" Type="http://schemas.openxmlformats.org/officeDocument/2006/relationships/hyperlink" Target="http://tiktok.com/@restudehin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ylvamulachelaa?igsh=MThldGh3NW80aGI3" TargetMode="External"/><Relationship Id="rId2" Type="http://schemas.openxmlformats.org/officeDocument/2006/relationships/hyperlink" Target="https://www.tiktok.com/@sylvamulachelaa?is_from_webapp=1&amp;sender_device=pc" TargetMode="External"/><Relationship Id="rId3" Type="http://schemas.openxmlformats.org/officeDocument/2006/relationships/hyperlink" Target="http://instagram.com/claratandean" TargetMode="External"/><Relationship Id="rId4" Type="http://schemas.openxmlformats.org/officeDocument/2006/relationships/hyperlink" Target="http://tiktok.com/@jehianps" TargetMode="External"/><Relationship Id="rId9" Type="http://schemas.openxmlformats.org/officeDocument/2006/relationships/hyperlink" Target="https://www.instagram.com/icalfariss" TargetMode="External"/><Relationship Id="rId5" Type="http://schemas.openxmlformats.org/officeDocument/2006/relationships/hyperlink" Target="https://www.instagram.com/harbie16?igsh=bm96aGpjZ2xkNXFk" TargetMode="External"/><Relationship Id="rId6" Type="http://schemas.openxmlformats.org/officeDocument/2006/relationships/hyperlink" Target="https://www.tiktok.com/@harbie16?is_from_webapp=1&amp;sender_device=pc" TargetMode="External"/><Relationship Id="rId7" Type="http://schemas.openxmlformats.org/officeDocument/2006/relationships/hyperlink" Target="https://www.instagram.com/febignwn?igsh=NWYxc2FxbmM4OWVh" TargetMode="External"/><Relationship Id="rId8" Type="http://schemas.openxmlformats.org/officeDocument/2006/relationships/hyperlink" Target="https://www.tiktok.com/@febignwn?is_from_webapp=1&amp;sender_device=pc" TargetMode="External"/><Relationship Id="rId11" Type="http://schemas.openxmlformats.org/officeDocument/2006/relationships/hyperlink" Target="http://instagram.com/octaviantifransisca" TargetMode="External"/><Relationship Id="rId10" Type="http://schemas.openxmlformats.org/officeDocument/2006/relationships/hyperlink" Target="https://www.tiktok.com/@icalfariss" TargetMode="External"/><Relationship Id="rId13" Type="http://schemas.openxmlformats.org/officeDocument/2006/relationships/hyperlink" Target="https://www.instagram.com/jalanbarengdarla/" TargetMode="External"/><Relationship Id="rId12" Type="http://schemas.openxmlformats.org/officeDocument/2006/relationships/hyperlink" Target="https://www.tiktok.com/@octaviantifransisca" TargetMode="External"/><Relationship Id="rId15" Type="http://schemas.openxmlformats.org/officeDocument/2006/relationships/hyperlink" Target="https://www.instagram.com/anak.kuliner/" TargetMode="External"/><Relationship Id="rId14" Type="http://schemas.openxmlformats.org/officeDocument/2006/relationships/hyperlink" Target="https://www.tiktok.com/@jalanbarengdarla?lang=id-ID" TargetMode="External"/><Relationship Id="rId17" Type="http://schemas.openxmlformats.org/officeDocument/2006/relationships/hyperlink" Target="http://instagram.com/jajanviralbekasi" TargetMode="External"/><Relationship Id="rId16" Type="http://schemas.openxmlformats.org/officeDocument/2006/relationships/hyperlink" Target="https://www.tiktok.com/@anakkuliner?lang=en" TargetMode="External"/><Relationship Id="rId19" Type="http://schemas.openxmlformats.org/officeDocument/2006/relationships/drawing" Target="../drawings/drawing31.xml"/><Relationship Id="rId18" Type="http://schemas.openxmlformats.org/officeDocument/2006/relationships/hyperlink" Target="http://tiktok.com/@jajanviralbekasi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hesfinatia" TargetMode="External"/><Relationship Id="rId2" Type="http://schemas.openxmlformats.org/officeDocument/2006/relationships/hyperlink" Target="http://tiktok.com/@hesfinatia" TargetMode="External"/><Relationship Id="rId3" Type="http://schemas.openxmlformats.org/officeDocument/2006/relationships/hyperlink" Target="https://www.instagram.com/gelialinn?igsh=c2M2Z2cxZGNmdXF1" TargetMode="External"/><Relationship Id="rId4" Type="http://schemas.openxmlformats.org/officeDocument/2006/relationships/hyperlink" Target="https://www.tiktok.com/@gelialinda?is_from_webapp=1&amp;sender_device=pc" TargetMode="External"/><Relationship Id="rId9" Type="http://schemas.openxmlformats.org/officeDocument/2006/relationships/hyperlink" Target="https://www.instagram.com/putrinahari?igsh=YWV2Mm8yaWdwcnlk" TargetMode="External"/><Relationship Id="rId5" Type="http://schemas.openxmlformats.org/officeDocument/2006/relationships/hyperlink" Target="https://www.instagram.com/imasfahriaty_?igsh=MTV0anowb212YmI4dA==" TargetMode="External"/><Relationship Id="rId6" Type="http://schemas.openxmlformats.org/officeDocument/2006/relationships/hyperlink" Target="https://www.tiktok.com/@imasfahriaty_?is_from_webapp=1&amp;sender_device=pc" TargetMode="External"/><Relationship Id="rId7" Type="http://schemas.openxmlformats.org/officeDocument/2006/relationships/hyperlink" Target="https://www.instagram.com/kekevaangelista?igsh=MXUzYWFvaWtmeGZhNg==" TargetMode="External"/><Relationship Id="rId8" Type="http://schemas.openxmlformats.org/officeDocument/2006/relationships/hyperlink" Target="https://www.tiktok.com/@kekevaangelista?is_from_webapp=1&amp;sender_device=pc" TargetMode="External"/><Relationship Id="rId40" Type="http://schemas.openxmlformats.org/officeDocument/2006/relationships/hyperlink" Target="https://www.tiktok.com/@shaturday?is_from_webapp=1&amp;sender_device=pc" TargetMode="External"/><Relationship Id="rId42" Type="http://schemas.openxmlformats.org/officeDocument/2006/relationships/hyperlink" Target="https://www.tiktok.com/@dewizuhriati?is_from_webapp=1&amp;sender_device=pc" TargetMode="External"/><Relationship Id="rId41" Type="http://schemas.openxmlformats.org/officeDocument/2006/relationships/hyperlink" Target="https://www.instagram.com/dewizuhriati?igsh=MXc1anQwcmNiNXVydQ==" TargetMode="External"/><Relationship Id="rId44" Type="http://schemas.openxmlformats.org/officeDocument/2006/relationships/hyperlink" Target="https://www.tiktok.com/@opahgalareal?is_from_webapp=1&amp;sender_device=pc" TargetMode="External"/><Relationship Id="rId43" Type="http://schemas.openxmlformats.org/officeDocument/2006/relationships/hyperlink" Target="https://www.instagram.com/opah_faisal?igsh=cmdueGN3OGprbGNr" TargetMode="External"/><Relationship Id="rId46" Type="http://schemas.openxmlformats.org/officeDocument/2006/relationships/hyperlink" Target="https://www.tiktok.com/@ferraagustina2?is_from_webapp=1&amp;sender_device=pc" TargetMode="External"/><Relationship Id="rId45" Type="http://schemas.openxmlformats.org/officeDocument/2006/relationships/hyperlink" Target="https://www.instagram.com/ferra_agustina?igsh=MWQ4MnBlbDhuZGQ4bA==" TargetMode="External"/><Relationship Id="rId48" Type="http://schemas.openxmlformats.org/officeDocument/2006/relationships/hyperlink" Target="https://www.tiktok.com/@carlenedoraa?is_from_webapp=1&amp;sender_device=pc" TargetMode="External"/><Relationship Id="rId47" Type="http://schemas.openxmlformats.org/officeDocument/2006/relationships/hyperlink" Target="https://www.instagram.com/carlenedoraa?igsh=MTJmbXUzM3o4MTUybQ==" TargetMode="External"/><Relationship Id="rId49" Type="http://schemas.openxmlformats.org/officeDocument/2006/relationships/hyperlink" Target="https://www.instagram.com/caesadhanisa?igsh=dmh1ejFnbGZ4dm1p" TargetMode="External"/><Relationship Id="rId31" Type="http://schemas.openxmlformats.org/officeDocument/2006/relationships/hyperlink" Target="https://www.instagram.com/rizkywahyudinata_" TargetMode="External"/><Relationship Id="rId30" Type="http://schemas.openxmlformats.org/officeDocument/2006/relationships/hyperlink" Target="https://www.tiktok.com/@luthfy.h20?is_from_webapp=1&amp;sender_device=pc" TargetMode="External"/><Relationship Id="rId33" Type="http://schemas.openxmlformats.org/officeDocument/2006/relationships/hyperlink" Target="http://instagram.com/hasbyalf" TargetMode="External"/><Relationship Id="rId32" Type="http://schemas.openxmlformats.org/officeDocument/2006/relationships/hyperlink" Target="https://www.tiktok.com/@amoskiduy0512?is_from_webapp=1&amp;sender_device=pc" TargetMode="External"/><Relationship Id="rId35" Type="http://schemas.openxmlformats.org/officeDocument/2006/relationships/hyperlink" Target="http://instagram.com/abellyc" TargetMode="External"/><Relationship Id="rId34" Type="http://schemas.openxmlformats.org/officeDocument/2006/relationships/hyperlink" Target="http://tiktok.com/@hasbyalf" TargetMode="External"/><Relationship Id="rId37" Type="http://schemas.openxmlformats.org/officeDocument/2006/relationships/hyperlink" Target="http://instagram.com/rachelvennya" TargetMode="External"/><Relationship Id="rId36" Type="http://schemas.openxmlformats.org/officeDocument/2006/relationships/hyperlink" Target="http://tiktok.com/@abel_cantika" TargetMode="External"/><Relationship Id="rId39" Type="http://schemas.openxmlformats.org/officeDocument/2006/relationships/hyperlink" Target="https://www.instagram.com/shadirafirdausii?igsh=Nm5oamV3ZjViNnp2" TargetMode="External"/><Relationship Id="rId38" Type="http://schemas.openxmlformats.org/officeDocument/2006/relationships/hyperlink" Target="https://www.tiktok.com/@rachelvennya" TargetMode="External"/><Relationship Id="rId20" Type="http://schemas.openxmlformats.org/officeDocument/2006/relationships/hyperlink" Target="http://tiktok.com/@bellzky16" TargetMode="External"/><Relationship Id="rId22" Type="http://schemas.openxmlformats.org/officeDocument/2006/relationships/hyperlink" Target="https://www.tiktok.com/@jelitawidiaw?is_from_webapp=1&amp;sender_device=pc" TargetMode="External"/><Relationship Id="rId21" Type="http://schemas.openxmlformats.org/officeDocument/2006/relationships/hyperlink" Target="https://www.instagram.com/jelitawidiaw?igsh=Y2o4NTNubW1wYXVh" TargetMode="External"/><Relationship Id="rId24" Type="http://schemas.openxmlformats.org/officeDocument/2006/relationships/hyperlink" Target="https://www.tiktok.com/@nennyzoe?is_from_webapp=1&amp;sender_device=pc" TargetMode="External"/><Relationship Id="rId23" Type="http://schemas.openxmlformats.org/officeDocument/2006/relationships/hyperlink" Target="https://www.instagram.com/nennyzoe?igsh=dnM0dzA2NHM0OHps" TargetMode="External"/><Relationship Id="rId26" Type="http://schemas.openxmlformats.org/officeDocument/2006/relationships/hyperlink" Target="https://www.tiktok.com/@ojankeke?is_from_webapp=1&amp;sender_device=pc" TargetMode="External"/><Relationship Id="rId25" Type="http://schemas.openxmlformats.org/officeDocument/2006/relationships/hyperlink" Target="https://www.instagram.com/ojankeke?igsh=MTZ5NDc5N3o2YWw5MA==" TargetMode="External"/><Relationship Id="rId28" Type="http://schemas.openxmlformats.org/officeDocument/2006/relationships/hyperlink" Target="https://www.tiktok.com/@juandadaly?is_from_webapp=1&amp;sender_device=pc" TargetMode="External"/><Relationship Id="rId27" Type="http://schemas.openxmlformats.org/officeDocument/2006/relationships/hyperlink" Target="https://www.instagram.com/juandadaly" TargetMode="External"/><Relationship Id="rId29" Type="http://schemas.openxmlformats.org/officeDocument/2006/relationships/hyperlink" Target="https://www.instagram.com/luthfy.h20/" TargetMode="External"/><Relationship Id="rId11" Type="http://schemas.openxmlformats.org/officeDocument/2006/relationships/hyperlink" Target="https://www.instagram.com/trishaazia?igsh=ZDRvOGhtODBqN25v" TargetMode="External"/><Relationship Id="rId10" Type="http://schemas.openxmlformats.org/officeDocument/2006/relationships/hyperlink" Target="https://www.tiktok.com/@putrinaharira" TargetMode="External"/><Relationship Id="rId13" Type="http://schemas.openxmlformats.org/officeDocument/2006/relationships/hyperlink" Target="https://www.instagram.com/ka.reys?igsh=Y2NzNWEyenBjYTkx" TargetMode="External"/><Relationship Id="rId12" Type="http://schemas.openxmlformats.org/officeDocument/2006/relationships/hyperlink" Target="https://www.tiktok.com/@trishaaazia?is_from_webapp=1&amp;sender_device=pc" TargetMode="External"/><Relationship Id="rId15" Type="http://schemas.openxmlformats.org/officeDocument/2006/relationships/hyperlink" Target="https://www.instagram.com/aisyafputri" TargetMode="External"/><Relationship Id="rId14" Type="http://schemas.openxmlformats.org/officeDocument/2006/relationships/hyperlink" Target="https://www.tiktok.com/@kayesssss?is_from_webapp=1&amp;sender_device=pc" TargetMode="External"/><Relationship Id="rId17" Type="http://schemas.openxmlformats.org/officeDocument/2006/relationships/hyperlink" Target="https://www.instagram.com/fauzanakhdan?igsh=MW5uZDV0d3E1YWIyaQ==" TargetMode="External"/><Relationship Id="rId16" Type="http://schemas.openxmlformats.org/officeDocument/2006/relationships/hyperlink" Target="https://www.tiktok.com/@aisyafputri?is_from_webapp=1&amp;sender_device=pc" TargetMode="External"/><Relationship Id="rId19" Type="http://schemas.openxmlformats.org/officeDocument/2006/relationships/hyperlink" Target="http://instagram.com/bellzky16" TargetMode="External"/><Relationship Id="rId18" Type="http://schemas.openxmlformats.org/officeDocument/2006/relationships/hyperlink" Target="https://www.tiktok.com/@fauzanakhdan?is_from_webapp=1&amp;sender_device=pc" TargetMode="External"/><Relationship Id="rId62" Type="http://schemas.openxmlformats.org/officeDocument/2006/relationships/hyperlink" Target="http://tiktok.com/@fadiljaidi" TargetMode="External"/><Relationship Id="rId61" Type="http://schemas.openxmlformats.org/officeDocument/2006/relationships/hyperlink" Target="http://instagram.com/fadiljaidi" TargetMode="External"/><Relationship Id="rId63" Type="http://schemas.openxmlformats.org/officeDocument/2006/relationships/drawing" Target="../drawings/drawing32.xml"/><Relationship Id="rId60" Type="http://schemas.openxmlformats.org/officeDocument/2006/relationships/hyperlink" Target="http://tiktok.com/@dhip___" TargetMode="External"/><Relationship Id="rId51" Type="http://schemas.openxmlformats.org/officeDocument/2006/relationships/hyperlink" Target="https://www.instagram.com/galyasgeulis?igsh=MTA4cjMzMG9oN2didQ==" TargetMode="External"/><Relationship Id="rId50" Type="http://schemas.openxmlformats.org/officeDocument/2006/relationships/hyperlink" Target="https://www.tiktok.com/@caesadhanisa?is_from_webapp=1&amp;sender_device=pc" TargetMode="External"/><Relationship Id="rId53" Type="http://schemas.openxmlformats.org/officeDocument/2006/relationships/hyperlink" Target="http://instagram.com/shazhaniaa" TargetMode="External"/><Relationship Id="rId52" Type="http://schemas.openxmlformats.org/officeDocument/2006/relationships/hyperlink" Target="https://www.tiktok.com/@galyasgeulis?is_from_webapp=1&amp;sender_device=pc" TargetMode="External"/><Relationship Id="rId55" Type="http://schemas.openxmlformats.org/officeDocument/2006/relationships/hyperlink" Target="https://www.instagram.com/apiipp/" TargetMode="External"/><Relationship Id="rId54" Type="http://schemas.openxmlformats.org/officeDocument/2006/relationships/hyperlink" Target="http://tiktok.com/@_shaz" TargetMode="External"/><Relationship Id="rId57" Type="http://schemas.openxmlformats.org/officeDocument/2006/relationships/hyperlink" Target="https://www.instagram.com/syafira_hdd/" TargetMode="External"/><Relationship Id="rId56" Type="http://schemas.openxmlformats.org/officeDocument/2006/relationships/hyperlink" Target="https://www.tiktok.com/@apiipp1294?lang=en" TargetMode="External"/><Relationship Id="rId59" Type="http://schemas.openxmlformats.org/officeDocument/2006/relationships/hyperlink" Target="http://instagram.com/sandrofahdhipa" TargetMode="External"/><Relationship Id="rId58" Type="http://schemas.openxmlformats.org/officeDocument/2006/relationships/hyperlink" Target="https://www.tiktok.com/@ndhiraa07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hesfinatia" TargetMode="External"/><Relationship Id="rId2" Type="http://schemas.openxmlformats.org/officeDocument/2006/relationships/hyperlink" Target="http://tiktok.com/@hesfinatia" TargetMode="External"/><Relationship Id="rId3" Type="http://schemas.openxmlformats.org/officeDocument/2006/relationships/hyperlink" Target="https://www.instagram.com/gelialinn?igsh=c2M2Z2cxZGNmdXF1" TargetMode="External"/><Relationship Id="rId4" Type="http://schemas.openxmlformats.org/officeDocument/2006/relationships/hyperlink" Target="https://www.tiktok.com/@gelialinda?is_from_webapp=1&amp;sender_device=pc" TargetMode="External"/><Relationship Id="rId9" Type="http://schemas.openxmlformats.org/officeDocument/2006/relationships/hyperlink" Target="https://www.instagram.com/putrinahari?igsh=YWV2Mm8yaWdwcnlk" TargetMode="External"/><Relationship Id="rId5" Type="http://schemas.openxmlformats.org/officeDocument/2006/relationships/hyperlink" Target="https://www.instagram.com/imasfahriaty_?igsh=MTV0anowb212YmI4dA==" TargetMode="External"/><Relationship Id="rId6" Type="http://schemas.openxmlformats.org/officeDocument/2006/relationships/hyperlink" Target="https://www.tiktok.com/@imasfahriaty_?is_from_webapp=1&amp;sender_device=pc" TargetMode="External"/><Relationship Id="rId7" Type="http://schemas.openxmlformats.org/officeDocument/2006/relationships/hyperlink" Target="https://www.instagram.com/kekevaangelista?igsh=MXUzYWFvaWtmeGZhNg==" TargetMode="External"/><Relationship Id="rId8" Type="http://schemas.openxmlformats.org/officeDocument/2006/relationships/hyperlink" Target="https://www.tiktok.com/@kekevaangelista?is_from_webapp=1&amp;sender_device=pc" TargetMode="External"/><Relationship Id="rId40" Type="http://schemas.openxmlformats.org/officeDocument/2006/relationships/hyperlink" Target="http://tiktok.com/@molita.lin" TargetMode="External"/><Relationship Id="rId42" Type="http://schemas.openxmlformats.org/officeDocument/2006/relationships/hyperlink" Target="https://www.tiktok.com/@jenniferchrstie" TargetMode="External"/><Relationship Id="rId41" Type="http://schemas.openxmlformats.org/officeDocument/2006/relationships/hyperlink" Target="https://www.instagram.com/jenniferchrstie/" TargetMode="External"/><Relationship Id="rId44" Type="http://schemas.openxmlformats.org/officeDocument/2006/relationships/hyperlink" Target="http://tiktok.com/@_shaz" TargetMode="External"/><Relationship Id="rId43" Type="http://schemas.openxmlformats.org/officeDocument/2006/relationships/hyperlink" Target="http://instagram.com/shazhaniaa" TargetMode="External"/><Relationship Id="rId46" Type="http://schemas.openxmlformats.org/officeDocument/2006/relationships/hyperlink" Target="http://tiktok.com/@v.sevillaaa" TargetMode="External"/><Relationship Id="rId45" Type="http://schemas.openxmlformats.org/officeDocument/2006/relationships/hyperlink" Target="http://instagram.com/vanessasevilla.vs" TargetMode="External"/><Relationship Id="rId47" Type="http://schemas.openxmlformats.org/officeDocument/2006/relationships/drawing" Target="../drawings/drawing33.xml"/><Relationship Id="rId31" Type="http://schemas.openxmlformats.org/officeDocument/2006/relationships/hyperlink" Target="https://www.instagram.com/redcah?igsh=MTJxeWtyZGZsZHVwNw==" TargetMode="External"/><Relationship Id="rId30" Type="http://schemas.openxmlformats.org/officeDocument/2006/relationships/hyperlink" Target="http://tiktok.com/@faridahuha" TargetMode="External"/><Relationship Id="rId33" Type="http://schemas.openxmlformats.org/officeDocument/2006/relationships/hyperlink" Target="https://www.instagram.com/luthfy.h20/" TargetMode="External"/><Relationship Id="rId32" Type="http://schemas.openxmlformats.org/officeDocument/2006/relationships/hyperlink" Target="https://www.tiktok.com/@redcah?is_from_webapp=1&amp;sender_device=pc" TargetMode="External"/><Relationship Id="rId35" Type="http://schemas.openxmlformats.org/officeDocument/2006/relationships/hyperlink" Target="https://www.instagram.com/rizkywahyudinata_" TargetMode="External"/><Relationship Id="rId34" Type="http://schemas.openxmlformats.org/officeDocument/2006/relationships/hyperlink" Target="https://www.tiktok.com/@luthfy.h20?is_from_webapp=1&amp;sender_device=pc" TargetMode="External"/><Relationship Id="rId37" Type="http://schemas.openxmlformats.org/officeDocument/2006/relationships/hyperlink" Target="http://instagram.com/hasbyalf" TargetMode="External"/><Relationship Id="rId36" Type="http://schemas.openxmlformats.org/officeDocument/2006/relationships/hyperlink" Target="https://www.tiktok.com/@amoskiduy0512?is_from_webapp=1&amp;sender_device=pc" TargetMode="External"/><Relationship Id="rId39" Type="http://schemas.openxmlformats.org/officeDocument/2006/relationships/hyperlink" Target="https://www.instagram.com/molita_lin" TargetMode="External"/><Relationship Id="rId38" Type="http://schemas.openxmlformats.org/officeDocument/2006/relationships/hyperlink" Target="http://tiktok.com/@hasbyalf" TargetMode="External"/><Relationship Id="rId20" Type="http://schemas.openxmlformats.org/officeDocument/2006/relationships/hyperlink" Target="https://www.tiktok.com/@almineta?is_from_webapp=1&amp;sender_device=pc" TargetMode="External"/><Relationship Id="rId22" Type="http://schemas.openxmlformats.org/officeDocument/2006/relationships/hyperlink" Target="http://tiktok.com/@bellzky16" TargetMode="External"/><Relationship Id="rId21" Type="http://schemas.openxmlformats.org/officeDocument/2006/relationships/hyperlink" Target="http://instagram.com/bellzky16" TargetMode="External"/><Relationship Id="rId24" Type="http://schemas.openxmlformats.org/officeDocument/2006/relationships/hyperlink" Target="https://www.tiktok.com/@jelitawidiaw?is_from_webapp=1&amp;sender_device=pc" TargetMode="External"/><Relationship Id="rId23" Type="http://schemas.openxmlformats.org/officeDocument/2006/relationships/hyperlink" Target="https://www.instagram.com/jelitawidiaw?igsh=Y2o4NTNubW1wYXVh" TargetMode="External"/><Relationship Id="rId26" Type="http://schemas.openxmlformats.org/officeDocument/2006/relationships/hyperlink" Target="https://www.tiktok.com/@ojankeke?is_from_webapp=1&amp;sender_device=pc" TargetMode="External"/><Relationship Id="rId25" Type="http://schemas.openxmlformats.org/officeDocument/2006/relationships/hyperlink" Target="https://www.instagram.com/ojankeke?igsh=MTZ5NDc5N3o2YWw5MA==" TargetMode="External"/><Relationship Id="rId28" Type="http://schemas.openxmlformats.org/officeDocument/2006/relationships/hyperlink" Target="https://www.tiktok.com/@cyntiaar_?is_from_webapp=1&amp;sender_device=pc" TargetMode="External"/><Relationship Id="rId27" Type="http://schemas.openxmlformats.org/officeDocument/2006/relationships/hyperlink" Target="https://www.instagram.com/cyntiaar?igsh=YWpvZ2NiNmR1MzFh" TargetMode="External"/><Relationship Id="rId29" Type="http://schemas.openxmlformats.org/officeDocument/2006/relationships/hyperlink" Target="http://instagram.com/frdhuha" TargetMode="External"/><Relationship Id="rId11" Type="http://schemas.openxmlformats.org/officeDocument/2006/relationships/hyperlink" Target="https://www.instagram.com/trishaazia?igsh=ZDRvOGhtODBqN25v" TargetMode="External"/><Relationship Id="rId10" Type="http://schemas.openxmlformats.org/officeDocument/2006/relationships/hyperlink" Target="https://www.tiktok.com/@putrinaharira" TargetMode="External"/><Relationship Id="rId13" Type="http://schemas.openxmlformats.org/officeDocument/2006/relationships/hyperlink" Target="https://www.instagram.com/ka.reys?igsh=Y2NzNWEyenBjYTkx" TargetMode="External"/><Relationship Id="rId12" Type="http://schemas.openxmlformats.org/officeDocument/2006/relationships/hyperlink" Target="https://www.tiktok.com/@trishaaazia?is_from_webapp=1&amp;sender_device=pc" TargetMode="External"/><Relationship Id="rId15" Type="http://schemas.openxmlformats.org/officeDocument/2006/relationships/hyperlink" Target="https://www.instagram.com/aisyafputri" TargetMode="External"/><Relationship Id="rId14" Type="http://schemas.openxmlformats.org/officeDocument/2006/relationships/hyperlink" Target="https://www.tiktok.com/@kayesssss?is_from_webapp=1&amp;sender_device=pc" TargetMode="External"/><Relationship Id="rId17" Type="http://schemas.openxmlformats.org/officeDocument/2006/relationships/hyperlink" Target="https://www.instagram.com/fauzanakhdan?igsh=MW5uZDV0d3E1YWIyaQ==" TargetMode="External"/><Relationship Id="rId16" Type="http://schemas.openxmlformats.org/officeDocument/2006/relationships/hyperlink" Target="https://www.tiktok.com/@aisyafputri?is_from_webapp=1&amp;sender_device=pc" TargetMode="External"/><Relationship Id="rId19" Type="http://schemas.openxmlformats.org/officeDocument/2006/relationships/hyperlink" Target="https://www.instagram.com/alminetaaz?igsh=b2kyYWlxMjhpb3Vk" TargetMode="External"/><Relationship Id="rId18" Type="http://schemas.openxmlformats.org/officeDocument/2006/relationships/hyperlink" Target="https://www.tiktok.com/@fauzanakhdan?is_from_webapp=1&amp;sender_device=pc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nadianraulya?igsh=b3VlaXE3ZW53cDNu" TargetMode="External"/><Relationship Id="rId2" Type="http://schemas.openxmlformats.org/officeDocument/2006/relationships/hyperlink" Target="https://www.tiktok.com/@nadianuraulyaa?is_from_webapp=1&amp;sender_device=pc" TargetMode="External"/><Relationship Id="rId3" Type="http://schemas.openxmlformats.org/officeDocument/2006/relationships/hyperlink" Target="https://www.instagram.com/gelialinn?igsh=c2M2Z2cxZGNmdXF1" TargetMode="External"/><Relationship Id="rId4" Type="http://schemas.openxmlformats.org/officeDocument/2006/relationships/hyperlink" Target="https://www.tiktok.com/@gelialinda?is_from_webapp=1&amp;sender_device=pc" TargetMode="External"/><Relationship Id="rId9" Type="http://schemas.openxmlformats.org/officeDocument/2006/relationships/hyperlink" Target="https://www.instagram.com/putrinahari?igsh=YWV2Mm8yaWdwcnlk" TargetMode="External"/><Relationship Id="rId5" Type="http://schemas.openxmlformats.org/officeDocument/2006/relationships/hyperlink" Target="https://www.instagram.com/imasfahriaty_?igsh=MTV0anowb212YmI4dA==" TargetMode="External"/><Relationship Id="rId6" Type="http://schemas.openxmlformats.org/officeDocument/2006/relationships/hyperlink" Target="https://www.tiktok.com/@imasfahriaty_?is_from_webapp=1&amp;sender_device=pc" TargetMode="External"/><Relationship Id="rId7" Type="http://schemas.openxmlformats.org/officeDocument/2006/relationships/hyperlink" Target="https://www.instagram.com/kekevaangelista?igsh=MXUzYWFvaWtmeGZhNg==" TargetMode="External"/><Relationship Id="rId8" Type="http://schemas.openxmlformats.org/officeDocument/2006/relationships/hyperlink" Target="https://www.tiktok.com/@kekevaangelista?is_from_webapp=1&amp;sender_device=pc" TargetMode="External"/><Relationship Id="rId40" Type="http://schemas.openxmlformats.org/officeDocument/2006/relationships/hyperlink" Target="https://www.tiktok.com/@rachelvennya" TargetMode="External"/><Relationship Id="rId42" Type="http://schemas.openxmlformats.org/officeDocument/2006/relationships/hyperlink" Target="https://www.tiktok.com/@shaturday?is_from_webapp=1&amp;sender_device=pc" TargetMode="External"/><Relationship Id="rId41" Type="http://schemas.openxmlformats.org/officeDocument/2006/relationships/hyperlink" Target="https://www.instagram.com/shadirafirdausii?igsh=Nm5oamV3ZjViNnp2" TargetMode="External"/><Relationship Id="rId44" Type="http://schemas.openxmlformats.org/officeDocument/2006/relationships/hyperlink" Target="https://www.tiktok.com/@dewizuhriati?is_from_webapp=1&amp;sender_device=pc" TargetMode="External"/><Relationship Id="rId43" Type="http://schemas.openxmlformats.org/officeDocument/2006/relationships/hyperlink" Target="https://www.instagram.com/dewizuhriati?igsh=MXc1anQwcmNiNXVydQ==" TargetMode="External"/><Relationship Id="rId46" Type="http://schemas.openxmlformats.org/officeDocument/2006/relationships/hyperlink" Target="https://www.tiktok.com/@ferraagustina2?is_from_webapp=1&amp;sender_device=pc" TargetMode="External"/><Relationship Id="rId45" Type="http://schemas.openxmlformats.org/officeDocument/2006/relationships/hyperlink" Target="https://www.instagram.com/ferra_agustina?igsh=MWQ4MnBlbDhuZGQ4bA==" TargetMode="External"/><Relationship Id="rId48" Type="http://schemas.openxmlformats.org/officeDocument/2006/relationships/hyperlink" Target="https://www.tiktok.com/@carlenedoraa?is_from_webapp=1&amp;sender_device=pc" TargetMode="External"/><Relationship Id="rId47" Type="http://schemas.openxmlformats.org/officeDocument/2006/relationships/hyperlink" Target="https://www.instagram.com/carlenedoraa?igsh=MTJmbXUzM3o4MTUybQ==" TargetMode="External"/><Relationship Id="rId49" Type="http://schemas.openxmlformats.org/officeDocument/2006/relationships/hyperlink" Target="https://www.instagram.com/galyasgeulis?igsh=MTA4cjMzMG9oN2didQ==" TargetMode="External"/><Relationship Id="rId31" Type="http://schemas.openxmlformats.org/officeDocument/2006/relationships/hyperlink" Target="https://www.instagram.com/keziagc?igsh=ODNoZWZmcjg2czgw" TargetMode="External"/><Relationship Id="rId30" Type="http://schemas.openxmlformats.org/officeDocument/2006/relationships/hyperlink" Target="https://www.tiktok.com/@viaazulviani?is_from_webapp=1&amp;sender_device=pc" TargetMode="External"/><Relationship Id="rId33" Type="http://schemas.openxmlformats.org/officeDocument/2006/relationships/hyperlink" Target="https://www.instagram.com/uulliiaa_/" TargetMode="External"/><Relationship Id="rId32" Type="http://schemas.openxmlformats.org/officeDocument/2006/relationships/hyperlink" Target="https://www.tiktok.com/@keziagc?is_from_webapp=1&amp;sender_device=pc" TargetMode="External"/><Relationship Id="rId35" Type="http://schemas.openxmlformats.org/officeDocument/2006/relationships/hyperlink" Target="https://www.instagram.com/mewindahttyas" TargetMode="External"/><Relationship Id="rId34" Type="http://schemas.openxmlformats.org/officeDocument/2006/relationships/hyperlink" Target="http://tiktok.com/@maykiana__" TargetMode="External"/><Relationship Id="rId37" Type="http://schemas.openxmlformats.org/officeDocument/2006/relationships/hyperlink" Target="https://www.instagram.com/rucenuenda?igsh=MWk4ZGliNDYwbG10cg==" TargetMode="External"/><Relationship Id="rId36" Type="http://schemas.openxmlformats.org/officeDocument/2006/relationships/hyperlink" Target="https://www.tiktok.com/@mewindaaahttyas?is_from_webapp=1&amp;sender_device=pc" TargetMode="External"/><Relationship Id="rId39" Type="http://schemas.openxmlformats.org/officeDocument/2006/relationships/hyperlink" Target="http://instagram.com/rachelvennya" TargetMode="External"/><Relationship Id="rId38" Type="http://schemas.openxmlformats.org/officeDocument/2006/relationships/hyperlink" Target="https://www.tiktok.com/@rucenuenda1?is_from_webapp=1&amp;sender_device=pc" TargetMode="External"/><Relationship Id="rId20" Type="http://schemas.openxmlformats.org/officeDocument/2006/relationships/hyperlink" Target="https://www.tiktok.com/@seviqfebinita" TargetMode="External"/><Relationship Id="rId22" Type="http://schemas.openxmlformats.org/officeDocument/2006/relationships/hyperlink" Target="http://tiktok.com/@elyanisaa" TargetMode="External"/><Relationship Id="rId21" Type="http://schemas.openxmlformats.org/officeDocument/2006/relationships/hyperlink" Target="http://instagram.com/elyanisa_" TargetMode="External"/><Relationship Id="rId24" Type="http://schemas.openxmlformats.org/officeDocument/2006/relationships/hyperlink" Target="http://tiktok.com/@bellzky16" TargetMode="External"/><Relationship Id="rId23" Type="http://schemas.openxmlformats.org/officeDocument/2006/relationships/hyperlink" Target="http://instagram.com/bellzky16" TargetMode="External"/><Relationship Id="rId26" Type="http://schemas.openxmlformats.org/officeDocument/2006/relationships/hyperlink" Target="https://www.tiktok.com/@jelitawidiaw?is_from_webapp=1&amp;sender_device=pc" TargetMode="External"/><Relationship Id="rId25" Type="http://schemas.openxmlformats.org/officeDocument/2006/relationships/hyperlink" Target="https://www.instagram.com/jelitawidiaw?igsh=Y2o4NTNubW1wYXVh" TargetMode="External"/><Relationship Id="rId28" Type="http://schemas.openxmlformats.org/officeDocument/2006/relationships/hyperlink" Target="http://tiktok.com/@angelicamanopo" TargetMode="External"/><Relationship Id="rId27" Type="http://schemas.openxmlformats.org/officeDocument/2006/relationships/hyperlink" Target="http://instagram.com/angelicamanopo" TargetMode="External"/><Relationship Id="rId29" Type="http://schemas.openxmlformats.org/officeDocument/2006/relationships/hyperlink" Target="https://www.instagram.com/viaazulviani?igsh=c3czMjlyb3luMG5u" TargetMode="External"/><Relationship Id="rId11" Type="http://schemas.openxmlformats.org/officeDocument/2006/relationships/hyperlink" Target="https://www.instagram.com/trishaazia?igsh=ZDRvOGhtODBqN25v" TargetMode="External"/><Relationship Id="rId10" Type="http://schemas.openxmlformats.org/officeDocument/2006/relationships/hyperlink" Target="https://www.tiktok.com/@putrinaharira" TargetMode="External"/><Relationship Id="rId13" Type="http://schemas.openxmlformats.org/officeDocument/2006/relationships/hyperlink" Target="https://www.instagram.com/ka.reys?igsh=Y2NzNWEyenBjYTkx" TargetMode="External"/><Relationship Id="rId12" Type="http://schemas.openxmlformats.org/officeDocument/2006/relationships/hyperlink" Target="https://www.tiktok.com/@trishaaazia?is_from_webapp=1&amp;sender_device=pc" TargetMode="External"/><Relationship Id="rId15" Type="http://schemas.openxmlformats.org/officeDocument/2006/relationships/hyperlink" Target="https://www.instagram.com/aisyafputri" TargetMode="External"/><Relationship Id="rId14" Type="http://schemas.openxmlformats.org/officeDocument/2006/relationships/hyperlink" Target="https://www.tiktok.com/@kayesssss?is_from_webapp=1&amp;sender_device=pc" TargetMode="External"/><Relationship Id="rId17" Type="http://schemas.openxmlformats.org/officeDocument/2006/relationships/hyperlink" Target="http://instagram.com/nabilabellai_" TargetMode="External"/><Relationship Id="rId16" Type="http://schemas.openxmlformats.org/officeDocument/2006/relationships/hyperlink" Target="https://www.tiktok.com/@aisyafputri?is_from_webapp=1&amp;sender_device=pc" TargetMode="External"/><Relationship Id="rId19" Type="http://schemas.openxmlformats.org/officeDocument/2006/relationships/hyperlink" Target="https://www.instagram.com/seviqfebinita/" TargetMode="External"/><Relationship Id="rId18" Type="http://schemas.openxmlformats.org/officeDocument/2006/relationships/hyperlink" Target="http://tiktok.com/@nabilabellai_" TargetMode="External"/><Relationship Id="rId61" Type="http://schemas.openxmlformats.org/officeDocument/2006/relationships/drawing" Target="../drawings/drawing34.xml"/><Relationship Id="rId60" Type="http://schemas.openxmlformats.org/officeDocument/2006/relationships/hyperlink" Target="https://www.tiktok.com/@afifahriyad?_r=1&amp;_t=ZS-95YSI8qdqiI" TargetMode="External"/><Relationship Id="rId51" Type="http://schemas.openxmlformats.org/officeDocument/2006/relationships/hyperlink" Target="https://www.instagram.com/syafira_hdd/" TargetMode="External"/><Relationship Id="rId50" Type="http://schemas.openxmlformats.org/officeDocument/2006/relationships/hyperlink" Target="https://www.tiktok.com/@galyasgeulis?is_from_webapp=1&amp;sender_device=pc" TargetMode="External"/><Relationship Id="rId53" Type="http://schemas.openxmlformats.org/officeDocument/2006/relationships/hyperlink" Target="https://www.instagram.com/violenziajean/" TargetMode="External"/><Relationship Id="rId52" Type="http://schemas.openxmlformats.org/officeDocument/2006/relationships/hyperlink" Target="https://www.tiktok.com/@ndhiraa07" TargetMode="External"/><Relationship Id="rId55" Type="http://schemas.openxmlformats.org/officeDocument/2006/relationships/hyperlink" Target="http://instagram.com/miskashf" TargetMode="External"/><Relationship Id="rId54" Type="http://schemas.openxmlformats.org/officeDocument/2006/relationships/hyperlink" Target="https://www.tiktok.com/@violenziajeanette" TargetMode="External"/><Relationship Id="rId57" Type="http://schemas.openxmlformats.org/officeDocument/2006/relationships/hyperlink" Target="http://instagram.com/jennifercoppenreal20" TargetMode="External"/><Relationship Id="rId56" Type="http://schemas.openxmlformats.org/officeDocument/2006/relationships/hyperlink" Target="http://tiktok.com/@miskashf" TargetMode="External"/><Relationship Id="rId59" Type="http://schemas.openxmlformats.org/officeDocument/2006/relationships/hyperlink" Target="https://www.instagram.com/afifahriyad?igsh=MWVjcnA3cDg5bGVjMg==" TargetMode="External"/><Relationship Id="rId58" Type="http://schemas.openxmlformats.org/officeDocument/2006/relationships/hyperlink" Target="http://tiktok.com/@jennifer.coppen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juandadaly" TargetMode="External"/><Relationship Id="rId2" Type="http://schemas.openxmlformats.org/officeDocument/2006/relationships/hyperlink" Target="https://www.tiktok.com/@juandadaly?is_from_webapp=1&amp;sender_device=pc" TargetMode="External"/><Relationship Id="rId3" Type="http://schemas.openxmlformats.org/officeDocument/2006/relationships/hyperlink" Target="https://www.instagram.com/hoveryponen12?igsh=bDdtYW1xY2ZmYWp6" TargetMode="External"/><Relationship Id="rId4" Type="http://schemas.openxmlformats.org/officeDocument/2006/relationships/hyperlink" Target="https://www.tiktok.com/@kenbun88" TargetMode="External"/><Relationship Id="rId9" Type="http://schemas.openxmlformats.org/officeDocument/2006/relationships/hyperlink" Target="http://instagram.com/mike__frans" TargetMode="External"/><Relationship Id="rId5" Type="http://schemas.openxmlformats.org/officeDocument/2006/relationships/hyperlink" Target="http://instagram.com/fitbymilla_" TargetMode="External"/><Relationship Id="rId6" Type="http://schemas.openxmlformats.org/officeDocument/2006/relationships/hyperlink" Target="http://tiktok.com/@fitbymilla" TargetMode="External"/><Relationship Id="rId7" Type="http://schemas.openxmlformats.org/officeDocument/2006/relationships/hyperlink" Target="http://instagram.com/bodyfitbyagus" TargetMode="External"/><Relationship Id="rId8" Type="http://schemas.openxmlformats.org/officeDocument/2006/relationships/hyperlink" Target="http://tiktok.com/@jehianps" TargetMode="External"/><Relationship Id="rId11" Type="http://schemas.openxmlformats.org/officeDocument/2006/relationships/hyperlink" Target="http://instagram.com/ekidarehanf" TargetMode="External"/><Relationship Id="rId10" Type="http://schemas.openxmlformats.org/officeDocument/2006/relationships/hyperlink" Target="http://tiktok.com/@mike__frans" TargetMode="External"/><Relationship Id="rId13" Type="http://schemas.openxmlformats.org/officeDocument/2006/relationships/hyperlink" Target="http://instagram.com/farhanfirms" TargetMode="External"/><Relationship Id="rId12" Type="http://schemas.openxmlformats.org/officeDocument/2006/relationships/hyperlink" Target="http://tiktok.com/@ekidarehanf" TargetMode="External"/><Relationship Id="rId15" Type="http://schemas.openxmlformats.org/officeDocument/2006/relationships/hyperlink" Target="http://instagram.com/juliobowi" TargetMode="External"/><Relationship Id="rId14" Type="http://schemas.openxmlformats.org/officeDocument/2006/relationships/hyperlink" Target="http://tiktok.com/@farhanfirms" TargetMode="External"/><Relationship Id="rId17" Type="http://schemas.openxmlformats.org/officeDocument/2006/relationships/drawing" Target="../drawings/drawing35.xml"/><Relationship Id="rId16" Type="http://schemas.openxmlformats.org/officeDocument/2006/relationships/hyperlink" Target="http://tiktok.com/@juliobowi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dapur_mamika30" TargetMode="External"/><Relationship Id="rId2" Type="http://schemas.openxmlformats.org/officeDocument/2006/relationships/hyperlink" Target="https://www.tiktok.com/@dapurmamika_" TargetMode="External"/><Relationship Id="rId3" Type="http://schemas.openxmlformats.org/officeDocument/2006/relationships/hyperlink" Target="https://www.instagram.com/michelealex/" TargetMode="External"/><Relationship Id="rId4" Type="http://schemas.openxmlformats.org/officeDocument/2006/relationships/hyperlink" Target="https://www.tiktok.com/@cheekykiddo?lang=en" TargetMode="External"/><Relationship Id="rId9" Type="http://schemas.openxmlformats.org/officeDocument/2006/relationships/hyperlink" Target="https://www.instagram.com/dapurmukbang99/" TargetMode="External"/><Relationship Id="rId5" Type="http://schemas.openxmlformats.org/officeDocument/2006/relationships/hyperlink" Target="https://www.instagram.com/adelscooking/" TargetMode="External"/><Relationship Id="rId6" Type="http://schemas.openxmlformats.org/officeDocument/2006/relationships/hyperlink" Target="https://www.tiktok.com/@adelscooking?lang=en" TargetMode="External"/><Relationship Id="rId7" Type="http://schemas.openxmlformats.org/officeDocument/2006/relationships/hyperlink" Target="https://www.instagram.com/riniandriyanii/" TargetMode="External"/><Relationship Id="rId8" Type="http://schemas.openxmlformats.org/officeDocument/2006/relationships/hyperlink" Target="https://www.tiktok.com/@riniandriyanii?lang=en" TargetMode="External"/><Relationship Id="rId11" Type="http://schemas.openxmlformats.org/officeDocument/2006/relationships/hyperlink" Target="http://instagram.com/putrihabibie" TargetMode="External"/><Relationship Id="rId10" Type="http://schemas.openxmlformats.org/officeDocument/2006/relationships/hyperlink" Target="https://www.tiktok.com/@dapurmukbang?lang=en" TargetMode="External"/><Relationship Id="rId13" Type="http://schemas.openxmlformats.org/officeDocument/2006/relationships/hyperlink" Target="http://instagram.com/winnibarus" TargetMode="External"/><Relationship Id="rId12" Type="http://schemas.openxmlformats.org/officeDocument/2006/relationships/hyperlink" Target="http://tiktok.com/@putrihabibierecipes" TargetMode="External"/><Relationship Id="rId15" Type="http://schemas.openxmlformats.org/officeDocument/2006/relationships/hyperlink" Target="http://instagram.com/mardatillahika" TargetMode="External"/><Relationship Id="rId14" Type="http://schemas.openxmlformats.org/officeDocument/2006/relationships/hyperlink" Target="http://tiktok.com/@winnibarus" TargetMode="External"/><Relationship Id="rId17" Type="http://schemas.openxmlformats.org/officeDocument/2006/relationships/hyperlink" Target="https://www.instagram.com/amihandmade/" TargetMode="External"/><Relationship Id="rId16" Type="http://schemas.openxmlformats.org/officeDocument/2006/relationships/hyperlink" Target="http://tiktok.com/@mardatillahika" TargetMode="External"/><Relationship Id="rId18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keziagc?igsh=ODNoZWZmcjg2czgw" TargetMode="External"/><Relationship Id="rId2" Type="http://schemas.openxmlformats.org/officeDocument/2006/relationships/hyperlink" Target="https://www.tiktok.com/@keziagc?is_from_webapp=1&amp;sender_device=pc" TargetMode="External"/><Relationship Id="rId3" Type="http://schemas.openxmlformats.org/officeDocument/2006/relationships/hyperlink" Target="https://www.instagram.com/racunyaamos_" TargetMode="External"/><Relationship Id="rId4" Type="http://schemas.openxmlformats.org/officeDocument/2006/relationships/hyperlink" Target="https://www.tiktok.com/@racunyaamos_" TargetMode="External"/><Relationship Id="rId9" Type="http://schemas.openxmlformats.org/officeDocument/2006/relationships/hyperlink" Target="http://instagram.com/veyalvia22" TargetMode="External"/><Relationship Id="rId5" Type="http://schemas.openxmlformats.org/officeDocument/2006/relationships/hyperlink" Target="https://www.instagram.com/mewindahttyas" TargetMode="External"/><Relationship Id="rId6" Type="http://schemas.openxmlformats.org/officeDocument/2006/relationships/hyperlink" Target="https://www.tiktok.com/@mewindaaahttyas?is_from_webapp=1&amp;sender_device=pc" TargetMode="External"/><Relationship Id="rId7" Type="http://schemas.openxmlformats.org/officeDocument/2006/relationships/hyperlink" Target="https://www.instagram.com/carlenedoraa?igsh=MTJmbXUzM3o4MTUybQ==" TargetMode="External"/><Relationship Id="rId8" Type="http://schemas.openxmlformats.org/officeDocument/2006/relationships/hyperlink" Target="https://www.tiktok.com/@carlenedoraa?is_from_webapp=1&amp;sender_device=pc" TargetMode="External"/><Relationship Id="rId11" Type="http://schemas.openxmlformats.org/officeDocument/2006/relationships/hyperlink" Target="http://instagram.com/amadeaseptia" TargetMode="External"/><Relationship Id="rId10" Type="http://schemas.openxmlformats.org/officeDocument/2006/relationships/hyperlink" Target="http://tiktok.com/@veyalvia22" TargetMode="External"/><Relationship Id="rId13" Type="http://schemas.openxmlformats.org/officeDocument/2006/relationships/drawing" Target="../drawings/drawing37.xml"/><Relationship Id="rId12" Type="http://schemas.openxmlformats.org/officeDocument/2006/relationships/hyperlink" Target="http://tiktok.com/@amadeaseptiaa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aisyah_putri17" TargetMode="External"/><Relationship Id="rId2" Type="http://schemas.openxmlformats.org/officeDocument/2006/relationships/hyperlink" Target="http://tiktok.com/@aisyah_wanitakalem" TargetMode="External"/><Relationship Id="rId3" Type="http://schemas.openxmlformats.org/officeDocument/2006/relationships/hyperlink" Target="https://www.instagram.com/faridnuralimm_" TargetMode="External"/><Relationship Id="rId4" Type="http://schemas.openxmlformats.org/officeDocument/2006/relationships/hyperlink" Target="https://www.tiktok.com/@aidnnn2?lang=en" TargetMode="External"/><Relationship Id="rId9" Type="http://schemas.openxmlformats.org/officeDocument/2006/relationships/hyperlink" Target="https://www.instagram.com/yourminbite/" TargetMode="External"/><Relationship Id="rId5" Type="http://schemas.openxmlformats.org/officeDocument/2006/relationships/hyperlink" Target="http://instagram.com/ficrafth" TargetMode="External"/><Relationship Id="rId6" Type="http://schemas.openxmlformats.org/officeDocument/2006/relationships/hyperlink" Target="https://www.tiktok.com/@ficrafth" TargetMode="External"/><Relationship Id="rId7" Type="http://schemas.openxmlformats.org/officeDocument/2006/relationships/hyperlink" Target="https://www.instagram.com/salmaristiana?igsh=eXVrc21lZGx4MDJp" TargetMode="External"/><Relationship Id="rId8" Type="http://schemas.openxmlformats.org/officeDocument/2006/relationships/hyperlink" Target="https://www.tiktok.com/@salmaaristiana?is_from_webapp=1&amp;sender_device=pc" TargetMode="External"/><Relationship Id="rId40" Type="http://schemas.openxmlformats.org/officeDocument/2006/relationships/hyperlink" Target="https://www.tiktok.com/@farhanrn__" TargetMode="External"/><Relationship Id="rId42" Type="http://schemas.openxmlformats.org/officeDocument/2006/relationships/hyperlink" Target="http://tiktok.com/@reyyyz" TargetMode="External"/><Relationship Id="rId41" Type="http://schemas.openxmlformats.org/officeDocument/2006/relationships/hyperlink" Target="https://www.instagram.com/abipraya28" TargetMode="External"/><Relationship Id="rId44" Type="http://schemas.openxmlformats.org/officeDocument/2006/relationships/hyperlink" Target="http://tiktok.com/@nonikmenieszt" TargetMode="External"/><Relationship Id="rId43" Type="http://schemas.openxmlformats.org/officeDocument/2006/relationships/hyperlink" Target="http://instagram.com/nonikmeniesszt" TargetMode="External"/><Relationship Id="rId46" Type="http://schemas.openxmlformats.org/officeDocument/2006/relationships/hyperlink" Target="http://tiktok.com/@fadiljaidi" TargetMode="External"/><Relationship Id="rId45" Type="http://schemas.openxmlformats.org/officeDocument/2006/relationships/hyperlink" Target="http://instagram.com/fadiljaidi" TargetMode="External"/><Relationship Id="rId48" Type="http://schemas.openxmlformats.org/officeDocument/2006/relationships/hyperlink" Target="http://tiktok.com/@shellacletus" TargetMode="External"/><Relationship Id="rId47" Type="http://schemas.openxmlformats.org/officeDocument/2006/relationships/hyperlink" Target="http://instagram.com/shella_cletus" TargetMode="External"/><Relationship Id="rId49" Type="http://schemas.openxmlformats.org/officeDocument/2006/relationships/hyperlink" Target="http://instagram.com/cantikalulu" TargetMode="External"/><Relationship Id="rId31" Type="http://schemas.openxmlformats.org/officeDocument/2006/relationships/hyperlink" Target="https://www.instagram.com/gilangsamiadji" TargetMode="External"/><Relationship Id="rId30" Type="http://schemas.openxmlformats.org/officeDocument/2006/relationships/hyperlink" Target="https://www.tiktok.com/@emilmario69?lang=en" TargetMode="External"/><Relationship Id="rId33" Type="http://schemas.openxmlformats.org/officeDocument/2006/relationships/hyperlink" Target="https://www.instagram.com/holaofadlan/" TargetMode="External"/><Relationship Id="rId32" Type="http://schemas.openxmlformats.org/officeDocument/2006/relationships/hyperlink" Target="https://www.tiktok.com/@gilangsamiadji?lang=en" TargetMode="External"/><Relationship Id="rId35" Type="http://schemas.openxmlformats.org/officeDocument/2006/relationships/hyperlink" Target="http://instagram.com/__ehan" TargetMode="External"/><Relationship Id="rId34" Type="http://schemas.openxmlformats.org/officeDocument/2006/relationships/hyperlink" Target="https://www.tiktok.com/@fadlanholao?lang=en" TargetMode="External"/><Relationship Id="rId37" Type="http://schemas.openxmlformats.org/officeDocument/2006/relationships/hyperlink" Target="https://www.instagram.com/kaffanugroho" TargetMode="External"/><Relationship Id="rId36" Type="http://schemas.openxmlformats.org/officeDocument/2006/relationships/hyperlink" Target="http://tiktok.com/@__ehan" TargetMode="External"/><Relationship Id="rId39" Type="http://schemas.openxmlformats.org/officeDocument/2006/relationships/hyperlink" Target="http://instagram.com/farhanrn__" TargetMode="External"/><Relationship Id="rId38" Type="http://schemas.openxmlformats.org/officeDocument/2006/relationships/hyperlink" Target="https://www.tiktok.com/@pardonmypresence?lang=en" TargetMode="External"/><Relationship Id="rId20" Type="http://schemas.openxmlformats.org/officeDocument/2006/relationships/hyperlink" Target="https://www.instagram.com/bagas__dribble/" TargetMode="External"/><Relationship Id="rId22" Type="http://schemas.openxmlformats.org/officeDocument/2006/relationships/hyperlink" Target="https://www.instagram.com/fachrulhadid" TargetMode="External"/><Relationship Id="rId21" Type="http://schemas.openxmlformats.org/officeDocument/2006/relationships/hyperlink" Target="https://www.tiktok.com/@s4y4_im0t" TargetMode="External"/><Relationship Id="rId24" Type="http://schemas.openxmlformats.org/officeDocument/2006/relationships/hyperlink" Target="https://www.tiktok.com/@rifaneyy0?is_from_webapp=1&amp;sender_device=pc" TargetMode="External"/><Relationship Id="rId23" Type="http://schemas.openxmlformats.org/officeDocument/2006/relationships/hyperlink" Target="https://www.tiktok.com/@fachrulhadid?is_from_webapp=1&amp;sender_device=pc" TargetMode="External"/><Relationship Id="rId26" Type="http://schemas.openxmlformats.org/officeDocument/2006/relationships/hyperlink" Target="http://tiktok.com/@aulianuzl" TargetMode="External"/><Relationship Id="rId25" Type="http://schemas.openxmlformats.org/officeDocument/2006/relationships/hyperlink" Target="http://instagram.com/tutorialhidub" TargetMode="External"/><Relationship Id="rId28" Type="http://schemas.openxmlformats.org/officeDocument/2006/relationships/hyperlink" Target="http://tiktok.com/@utepsunarya" TargetMode="External"/><Relationship Id="rId27" Type="http://schemas.openxmlformats.org/officeDocument/2006/relationships/hyperlink" Target="http://instagram.com/utepsunarya" TargetMode="External"/><Relationship Id="rId29" Type="http://schemas.openxmlformats.org/officeDocument/2006/relationships/hyperlink" Target="http://instagram.com/emilmari0" TargetMode="External"/><Relationship Id="rId11" Type="http://schemas.openxmlformats.org/officeDocument/2006/relationships/hyperlink" Target="https://www.instagram.com/ayunghadid/" TargetMode="External"/><Relationship Id="rId10" Type="http://schemas.openxmlformats.org/officeDocument/2006/relationships/hyperlink" Target="https://www.tiktok.com/@yourminbite" TargetMode="External"/><Relationship Id="rId13" Type="http://schemas.openxmlformats.org/officeDocument/2006/relationships/hyperlink" Target="https://www.tiktok.com/@anaknya_mas_joko" TargetMode="External"/><Relationship Id="rId12" Type="http://schemas.openxmlformats.org/officeDocument/2006/relationships/hyperlink" Target="https://www.tiktok.com/@fachrulhadid?is_from_webapp=1&amp;sender_device=pc" TargetMode="External"/><Relationship Id="rId15" Type="http://schemas.openxmlformats.org/officeDocument/2006/relationships/hyperlink" Target="https://www.tiktok.com/@alwifahry" TargetMode="External"/><Relationship Id="rId14" Type="http://schemas.openxmlformats.org/officeDocument/2006/relationships/hyperlink" Target="https://www.instagram.com/alwifachry" TargetMode="External"/><Relationship Id="rId17" Type="http://schemas.openxmlformats.org/officeDocument/2006/relationships/hyperlink" Target="https://www.tiktok.com/@rereanggara" TargetMode="External"/><Relationship Id="rId16" Type="http://schemas.openxmlformats.org/officeDocument/2006/relationships/hyperlink" Target="http://instagram.com/rereanggara" TargetMode="External"/><Relationship Id="rId19" Type="http://schemas.openxmlformats.org/officeDocument/2006/relationships/hyperlink" Target="https://www.tiktok.com/@firamaringka" TargetMode="External"/><Relationship Id="rId18" Type="http://schemas.openxmlformats.org/officeDocument/2006/relationships/hyperlink" Target="https://www.instagram.com/firamaringka" TargetMode="External"/><Relationship Id="rId51" Type="http://schemas.openxmlformats.org/officeDocument/2006/relationships/hyperlink" Target="http://instagram.com/kevin_millenio" TargetMode="External"/><Relationship Id="rId50" Type="http://schemas.openxmlformats.org/officeDocument/2006/relationships/hyperlink" Target="http://tiktok.com/@heylulaa" TargetMode="External"/><Relationship Id="rId53" Type="http://schemas.openxmlformats.org/officeDocument/2006/relationships/hyperlink" Target="http://instagram.com/femimaringka" TargetMode="External"/><Relationship Id="rId52" Type="http://schemas.openxmlformats.org/officeDocument/2006/relationships/hyperlink" Target="http://tiktok.com/@kevinmillenio" TargetMode="External"/><Relationship Id="rId55" Type="http://schemas.openxmlformats.org/officeDocument/2006/relationships/hyperlink" Target="http://instagram.com/kesyasunjoyo" TargetMode="External"/><Relationship Id="rId54" Type="http://schemas.openxmlformats.org/officeDocument/2006/relationships/hyperlink" Target="http://tiktok.com/@femimaringka" TargetMode="External"/><Relationship Id="rId57" Type="http://schemas.openxmlformats.org/officeDocument/2006/relationships/hyperlink" Target="http://instagram.com/tituschrst" TargetMode="External"/><Relationship Id="rId56" Type="http://schemas.openxmlformats.org/officeDocument/2006/relationships/hyperlink" Target="http://tiktok.com/@kesyasunnn" TargetMode="External"/><Relationship Id="rId59" Type="http://schemas.openxmlformats.org/officeDocument/2006/relationships/drawing" Target="../drawings/drawing38.xml"/><Relationship Id="rId58" Type="http://schemas.openxmlformats.org/officeDocument/2006/relationships/hyperlink" Target="http://tiktok.com/@tituschrst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kylarsveta?igsh=OW12MHJibWZ1eHlj" TargetMode="External"/><Relationship Id="rId2" Type="http://schemas.openxmlformats.org/officeDocument/2006/relationships/hyperlink" Target="https://www.tiktok.com/@skylarsveta?is_from_webapp=1&amp;sender_device=pc" TargetMode="External"/><Relationship Id="rId3" Type="http://schemas.openxmlformats.org/officeDocument/2006/relationships/hyperlink" Target="https://www.instagram.com/niaghania?igsh=MTEzNWQ1M3o2b2N5dA==" TargetMode="External"/><Relationship Id="rId4" Type="http://schemas.openxmlformats.org/officeDocument/2006/relationships/hyperlink" Target="https://www.tiktok.com/@niaghan?is_from_webapp=1&amp;sender_device=pc" TargetMode="External"/><Relationship Id="rId9" Type="http://schemas.openxmlformats.org/officeDocument/2006/relationships/hyperlink" Target="https://www.instagram.com/raymondchins/" TargetMode="External"/><Relationship Id="rId5" Type="http://schemas.openxmlformats.org/officeDocument/2006/relationships/hyperlink" Target="https://www.instagram.com/esthernataliaa/" TargetMode="External"/><Relationship Id="rId6" Type="http://schemas.openxmlformats.org/officeDocument/2006/relationships/hyperlink" Target="http://tiktok.com/@estherlubis" TargetMode="External"/><Relationship Id="rId7" Type="http://schemas.openxmlformats.org/officeDocument/2006/relationships/hyperlink" Target="http://instagram.com/geraldvincentt" TargetMode="External"/><Relationship Id="rId8" Type="http://schemas.openxmlformats.org/officeDocument/2006/relationships/hyperlink" Target="http://tiktok.com/@geraldvincentt" TargetMode="External"/><Relationship Id="rId11" Type="http://schemas.openxmlformats.org/officeDocument/2006/relationships/hyperlink" Target="http://instagram.com/jeromepolin" TargetMode="External"/><Relationship Id="rId10" Type="http://schemas.openxmlformats.org/officeDocument/2006/relationships/hyperlink" Target="https://www.tiktok.com/@raymondchins" TargetMode="External"/><Relationship Id="rId13" Type="http://schemas.openxmlformats.org/officeDocument/2006/relationships/hyperlink" Target="http://instagram.com/jerhemynemo" TargetMode="External"/><Relationship Id="rId12" Type="http://schemas.openxmlformats.org/officeDocument/2006/relationships/hyperlink" Target="http://tiktok.com/@jeromepolin98" TargetMode="External"/><Relationship Id="rId15" Type="http://schemas.openxmlformats.org/officeDocument/2006/relationships/hyperlink" Target="http://instagram.com/ekidarehanf" TargetMode="External"/><Relationship Id="rId14" Type="http://schemas.openxmlformats.org/officeDocument/2006/relationships/hyperlink" Target="http://tiktok.com/@jerhemynemoo" TargetMode="External"/><Relationship Id="rId17" Type="http://schemas.openxmlformats.org/officeDocument/2006/relationships/hyperlink" Target="http://instagram.com/farhanfirms" TargetMode="External"/><Relationship Id="rId16" Type="http://schemas.openxmlformats.org/officeDocument/2006/relationships/hyperlink" Target="http://tiktok.com/@ekidarehanf" TargetMode="External"/><Relationship Id="rId19" Type="http://schemas.openxmlformats.org/officeDocument/2006/relationships/drawing" Target="../drawings/drawing39.xml"/><Relationship Id="rId18" Type="http://schemas.openxmlformats.org/officeDocument/2006/relationships/hyperlink" Target="http://tiktok.com/@farhanfirms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://instagram.com/frdhuha" TargetMode="External"/><Relationship Id="rId2" Type="http://schemas.openxmlformats.org/officeDocument/2006/relationships/hyperlink" Target="http://tiktok.com/@faridahuha" TargetMode="External"/><Relationship Id="rId3" Type="http://schemas.openxmlformats.org/officeDocument/2006/relationships/hyperlink" Target="http://instagram.com/jehianps" TargetMode="External"/><Relationship Id="rId4" Type="http://schemas.openxmlformats.org/officeDocument/2006/relationships/hyperlink" Target="http://tiktok.com/@jehianps" TargetMode="External"/><Relationship Id="rId9" Type="http://schemas.openxmlformats.org/officeDocument/2006/relationships/drawing" Target="../drawings/drawing40.xml"/><Relationship Id="rId5" Type="http://schemas.openxmlformats.org/officeDocument/2006/relationships/hyperlink" Target="http://instagram.com/yolanyoo" TargetMode="External"/><Relationship Id="rId6" Type="http://schemas.openxmlformats.org/officeDocument/2006/relationships/hyperlink" Target="http://tiktok.com/@yolanyoo" TargetMode="External"/><Relationship Id="rId7" Type="http://schemas.openxmlformats.org/officeDocument/2006/relationships/hyperlink" Target="https://www.instagram.com/renaldfadli/%E2%80%A8" TargetMode="External"/><Relationship Id="rId8" Type="http://schemas.openxmlformats.org/officeDocument/2006/relationships/hyperlink" Target="https://www.tiktok.com/@mahasiswagendut2?lang=en" TargetMode="Externa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piipp/" TargetMode="External"/><Relationship Id="rId2" Type="http://schemas.openxmlformats.org/officeDocument/2006/relationships/hyperlink" Target="https://www.tiktok.com/@apiipp1294?lang=en" TargetMode="External"/><Relationship Id="rId3" Type="http://schemas.openxmlformats.org/officeDocument/2006/relationships/hyperlink" Target="https://www.instagram.com/fandidk/" TargetMode="External"/><Relationship Id="rId4" Type="http://schemas.openxmlformats.org/officeDocument/2006/relationships/hyperlink" Target="https://www.tiktok.com/@fandidk6" TargetMode="External"/><Relationship Id="rId9" Type="http://schemas.openxmlformats.org/officeDocument/2006/relationships/hyperlink" Target="http://instagram.com/rofiefauzie" TargetMode="External"/><Relationship Id="rId5" Type="http://schemas.openxmlformats.org/officeDocument/2006/relationships/hyperlink" Target="https://www.instagram.com/kairirds/" TargetMode="External"/><Relationship Id="rId6" Type="http://schemas.openxmlformats.org/officeDocument/2006/relationships/hyperlink" Target="https://www.tiktok.com/@kairirisolmayo" TargetMode="External"/><Relationship Id="rId7" Type="http://schemas.openxmlformats.org/officeDocument/2006/relationships/hyperlink" Target="https://www.instagram.com/luthfihalimawan/" TargetMode="External"/><Relationship Id="rId8" Type="http://schemas.openxmlformats.org/officeDocument/2006/relationships/hyperlink" Target="https://www.tiktok.com/@luthfihalimawan42" TargetMode="External"/><Relationship Id="rId11" Type="http://schemas.openxmlformats.org/officeDocument/2006/relationships/drawing" Target="../drawings/drawing41.xml"/><Relationship Id="rId10" Type="http://schemas.openxmlformats.org/officeDocument/2006/relationships/hyperlink" Target="http://tiktok.com/@hirofie" TargetMode="Externa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klopperr?igsh=MWlyamtsM2FlY3UzMQ==" TargetMode="External"/><Relationship Id="rId2" Type="http://schemas.openxmlformats.org/officeDocument/2006/relationships/hyperlink" Target="http://tiktok.com/@rkloppperr" TargetMode="External"/><Relationship Id="rId3" Type="http://schemas.openxmlformats.org/officeDocument/2006/relationships/hyperlink" Target="http://instagram.com/aaliyah.massaid" TargetMode="External"/><Relationship Id="rId4" Type="http://schemas.openxmlformats.org/officeDocument/2006/relationships/hyperlink" Target="http://tiktok.com/@aalmassaid" TargetMode="External"/><Relationship Id="rId9" Type="http://schemas.openxmlformats.org/officeDocument/2006/relationships/hyperlink" Target="http://instagram.com/amandamanopo" TargetMode="External"/><Relationship Id="rId5" Type="http://schemas.openxmlformats.org/officeDocument/2006/relationships/hyperlink" Target="https://www.instagram.com/angga/" TargetMode="External"/><Relationship Id="rId6" Type="http://schemas.openxmlformats.org/officeDocument/2006/relationships/hyperlink" Target="https://www.tiktok.com/@angga.yunanda?lang=en" TargetMode="External"/><Relationship Id="rId7" Type="http://schemas.openxmlformats.org/officeDocument/2006/relationships/hyperlink" Target="https://www.instagram.com/dindacresheilla" TargetMode="External"/><Relationship Id="rId8" Type="http://schemas.openxmlformats.org/officeDocument/2006/relationships/hyperlink" Target="https://www.tiktok.com/@dindacresheilla" TargetMode="External"/><Relationship Id="rId20" Type="http://schemas.openxmlformats.org/officeDocument/2006/relationships/hyperlink" Target="http://tiktok.com/@eri_carl" TargetMode="External"/><Relationship Id="rId21" Type="http://schemas.openxmlformats.org/officeDocument/2006/relationships/drawing" Target="../drawings/drawing42.xml"/><Relationship Id="rId11" Type="http://schemas.openxmlformats.org/officeDocument/2006/relationships/hyperlink" Target="https://www.instagram.com/fajjarsadboy/" TargetMode="External"/><Relationship Id="rId10" Type="http://schemas.openxmlformats.org/officeDocument/2006/relationships/hyperlink" Target="http://tiktok.com/@agml612" TargetMode="External"/><Relationship Id="rId13" Type="http://schemas.openxmlformats.org/officeDocument/2006/relationships/hyperlink" Target="https://www.instagram.com/kennyauztin/" TargetMode="External"/><Relationship Id="rId12" Type="http://schemas.openxmlformats.org/officeDocument/2006/relationships/hyperlink" Target="https://www.tiktok.com/@fajarlabatjo" TargetMode="External"/><Relationship Id="rId15" Type="http://schemas.openxmlformats.org/officeDocument/2006/relationships/hyperlink" Target="http://instagram.com/maudyeffrosina" TargetMode="External"/><Relationship Id="rId14" Type="http://schemas.openxmlformats.org/officeDocument/2006/relationships/hyperlink" Target="https://www.tiktok.com/@kennyauztin16" TargetMode="External"/><Relationship Id="rId17" Type="http://schemas.openxmlformats.org/officeDocument/2006/relationships/hyperlink" Target="http://instagram.com/gabriellaekaputri" TargetMode="External"/><Relationship Id="rId16" Type="http://schemas.openxmlformats.org/officeDocument/2006/relationships/hyperlink" Target="http://tiktok.com/@maudyeffrosinaa" TargetMode="External"/><Relationship Id="rId19" Type="http://schemas.openxmlformats.org/officeDocument/2006/relationships/hyperlink" Target="http://instagram.com/eri.carl" TargetMode="External"/><Relationship Id="rId18" Type="http://schemas.openxmlformats.org/officeDocument/2006/relationships/hyperlink" Target="http://tiktok.com/@gabriellaekaputr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mergeCells count="1">
    <mergeCell ref="A1:F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75"/>
    <col customWidth="1" min="2" max="2" width="17.0"/>
    <col customWidth="1" min="5" max="5" width="17.0"/>
    <col customWidth="1" min="9" max="9" width="22.63"/>
  </cols>
  <sheetData>
    <row r="1">
      <c r="A1" s="2"/>
      <c r="B1" s="3"/>
      <c r="C1" s="3"/>
      <c r="D1" s="3"/>
      <c r="E1" s="3"/>
      <c r="F1" s="3"/>
      <c r="G1" s="3"/>
      <c r="H1" s="3"/>
      <c r="I1" s="4"/>
      <c r="J1" s="5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6" t="s">
        <v>2</v>
      </c>
      <c r="B2" s="7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1"/>
    </row>
    <row r="3">
      <c r="A3" s="12"/>
      <c r="B3" s="13" t="s">
        <v>7</v>
      </c>
      <c r="C3" s="13" t="s">
        <v>8</v>
      </c>
      <c r="D3" s="13" t="s">
        <v>9</v>
      </c>
      <c r="E3" s="13" t="s">
        <v>10</v>
      </c>
      <c r="F3" s="14" t="s">
        <v>8</v>
      </c>
      <c r="G3" s="13" t="s">
        <v>9</v>
      </c>
      <c r="H3" s="13" t="s">
        <v>11</v>
      </c>
      <c r="I3" s="13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""Ratecard Brand!A4:Y999"")"),1.0)</f>
        <v>1</v>
      </c>
      <c r="B4" s="18" t="str">
        <f>IFERROR(__xludf.DUMMYFUNCTION("""COMPUTED_VALUE"""),"rklopperr")</f>
        <v>rklopperr</v>
      </c>
      <c r="C4" s="19">
        <f>IFERROR(__xludf.DUMMYFUNCTION("""COMPUTED_VALUE"""),7000000.0)</f>
        <v>7000000</v>
      </c>
      <c r="D4" s="17" t="str">
        <f>IFERROR(__xludf.DUMMYFUNCTION("""COMPUTED_VALUE"""),"Mega")</f>
        <v>Mega</v>
      </c>
      <c r="E4" s="18" t="str">
        <f>IFERROR(__xludf.DUMMYFUNCTION("""COMPUTED_VALUE"""),"rklopperrr")</f>
        <v>rklopperrr</v>
      </c>
      <c r="F4" s="19">
        <f>IFERROR(__xludf.DUMMYFUNCTION("""COMPUTED_VALUE"""),3000000.0)</f>
        <v>3000000</v>
      </c>
      <c r="G4" s="17" t="str">
        <f>IFERROR(__xludf.DUMMYFUNCTION("""COMPUTED_VALUE"""),"Mega")</f>
        <v>Mega</v>
      </c>
      <c r="H4" s="17" t="str">
        <f>IFERROR(__xludf.DUMMYFUNCTION("""COMPUTED_VALUE"""),"Tangerang")</f>
        <v>Tangerang</v>
      </c>
      <c r="I4" s="17" t="str">
        <f>IFERROR(__xludf.DUMMYFUNCTION("""COMPUTED_VALUE"""),"- Lifestyle Female
- Actor/Actress
- Beauty")</f>
        <v>- Lifestyle Female
- Actor/Actress
- Beauty</v>
      </c>
      <c r="J4" s="17"/>
      <c r="K4" s="20">
        <f>IFERROR(__xludf.DUMMYFUNCTION("""COMPUTED_VALUE"""),2.0E7)</f>
        <v>20000000</v>
      </c>
      <c r="L4" s="20">
        <f>IFERROR(__xludf.DUMMYFUNCTION("""COMPUTED_VALUE"""),3.5E7)</f>
        <v>35000000</v>
      </c>
      <c r="M4" s="20">
        <f>IFERROR(__xludf.DUMMYFUNCTION("""COMPUTED_VALUE"""),5000000.0)</f>
        <v>5000000</v>
      </c>
      <c r="N4" s="20">
        <f>IFERROR(__xludf.DUMMYFUNCTION("""COMPUTED_VALUE"""),3.0E7)</f>
        <v>30000000</v>
      </c>
      <c r="O4" s="20">
        <f>IFERROR(__xludf.DUMMYFUNCTION("""COMPUTED_VALUE"""),4.5E7)</f>
        <v>45000000</v>
      </c>
      <c r="P4" s="20">
        <f>IFERROR(__xludf.DUMMYFUNCTION("""COMPUTED_VALUE"""),4.5E7)</f>
        <v>45000000</v>
      </c>
      <c r="Q4" s="20">
        <f>IFERROR(__xludf.DUMMYFUNCTION("""COMPUTED_VALUE"""),1.0E7)</f>
        <v>10000000</v>
      </c>
      <c r="R4" s="20">
        <f>IFERROR(__xludf.DUMMYFUNCTION("""COMPUTED_VALUE"""),4.5E7)</f>
        <v>45000000</v>
      </c>
      <c r="S4" s="20">
        <f>IFERROR(__xludf.DUMMYFUNCTION("""COMPUTED_VALUE"""),6.5E7)</f>
        <v>65000000</v>
      </c>
      <c r="T4" s="20">
        <f>IFERROR(__xludf.DUMMYFUNCTION("""COMPUTED_VALUE"""),4.5E7)</f>
        <v>45000000</v>
      </c>
      <c r="U4" s="20">
        <f>IFERROR(__xludf.DUMMYFUNCTION("""COMPUTED_VALUE"""),1.0E7)</f>
        <v>10000000</v>
      </c>
      <c r="V4" s="20">
        <f>IFERROR(__xludf.DUMMYFUNCTION("""COMPUTED_VALUE"""),1.0E7)</f>
        <v>10000000</v>
      </c>
      <c r="W4" s="17"/>
      <c r="X4" s="17"/>
      <c r="Y4" s="17"/>
    </row>
    <row r="5">
      <c r="A5" s="17">
        <f>IFERROR(__xludf.DUMMYFUNCTION("""COMPUTED_VALUE"""),2.0)</f>
        <v>2</v>
      </c>
      <c r="B5" s="18" t="str">
        <f>IFERROR(__xludf.DUMMYFUNCTION("""COMPUTED_VALUE"""),"hesfinatia")</f>
        <v>hesfinatia</v>
      </c>
      <c r="C5" s="19">
        <f>IFERROR(__xludf.DUMMYFUNCTION("""COMPUTED_VALUE"""),1200000.0)</f>
        <v>1200000</v>
      </c>
      <c r="D5" s="17" t="str">
        <f>IFERROR(__xludf.DUMMYFUNCTION("""COMPUTED_VALUE"""),"Mega")</f>
        <v>Mega</v>
      </c>
      <c r="E5" s="18" t="str">
        <f>IFERROR(__xludf.DUMMYFUNCTION("""COMPUTED_VALUE"""),"hesfinatia")</f>
        <v>hesfinatia</v>
      </c>
      <c r="F5" s="19">
        <f>IFERROR(__xludf.DUMMYFUNCTION("""COMPUTED_VALUE"""),1.48E7)</f>
        <v>14800000</v>
      </c>
      <c r="G5" s="17" t="str">
        <f>IFERROR(__xludf.DUMMYFUNCTION("""COMPUTED_VALUE"""),"Mega")</f>
        <v>Mega</v>
      </c>
      <c r="H5" s="17" t="str">
        <f>IFERROR(__xludf.DUMMYFUNCTION("""COMPUTED_VALUE"""),"Bandung")</f>
        <v>Bandung</v>
      </c>
      <c r="I5" s="17" t="str">
        <f>IFERROR(__xludf.DUMMYFUNCTION("""COMPUTED_VALUE"""),"- Lifestyle Female
- Pasutri
- Family")</f>
        <v>- Lifestyle Female
- Pasutri
- Family</v>
      </c>
      <c r="J5" s="20">
        <f>IFERROR(__xludf.DUMMYFUNCTION("""COMPUTED_VALUE"""),1500000.0)</f>
        <v>1500000</v>
      </c>
      <c r="K5" s="17"/>
      <c r="L5" s="20">
        <f>IFERROR(__xludf.DUMMYFUNCTION("""COMPUTED_VALUE"""),4500000.0)</f>
        <v>4500000</v>
      </c>
      <c r="M5" s="20" t="str">
        <f>IFERROR(__xludf.DUMMYFUNCTION("""COMPUTED_VALUE"""),"FREE")</f>
        <v>FREE</v>
      </c>
      <c r="N5" s="17"/>
      <c r="O5" s="20">
        <f>IFERROR(__xludf.DUMMYFUNCTION("""COMPUTED_VALUE"""),1.0E7)</f>
        <v>10000000</v>
      </c>
      <c r="P5" s="20">
        <f>IFERROR(__xludf.DUMMYFUNCTION("""COMPUTED_VALUE"""),1.7E7)</f>
        <v>17000000</v>
      </c>
      <c r="Q5" s="17"/>
      <c r="R5" s="20">
        <f>IFERROR(__xludf.DUMMYFUNCTION("""COMPUTED_VALUE"""),2.5E7)</f>
        <v>25000000</v>
      </c>
      <c r="S5" s="20">
        <f>IFERROR(__xludf.DUMMYFUNCTION("""COMPUTED_VALUE"""),3.3E7)</f>
        <v>33000000</v>
      </c>
      <c r="T5" s="17"/>
      <c r="U5" s="21">
        <f>IFERROR(__xludf.DUMMYFUNCTION("""COMPUTED_VALUE"""),0.5)</f>
        <v>0.5</v>
      </c>
      <c r="V5" s="17"/>
      <c r="W5" s="17"/>
      <c r="X5" s="17"/>
      <c r="Y5" s="20">
        <f>IFERROR(__xludf.DUMMYFUNCTION("""COMPUTED_VALUE"""),1.4E7)</f>
        <v>14000000</v>
      </c>
    </row>
    <row r="6">
      <c r="A6" s="17">
        <f>IFERROR(__xludf.DUMMYFUNCTION("""COMPUTED_VALUE"""),3.0)</f>
        <v>3</v>
      </c>
      <c r="B6" s="22" t="str">
        <f>IFERROR(__xludf.DUMMYFUNCTION("""COMPUTED_VALUE"""),"saritiw")</f>
        <v>saritiw</v>
      </c>
      <c r="C6" s="19">
        <f>IFERROR(__xludf.DUMMYFUNCTION("""COMPUTED_VALUE"""),999000.0)</f>
        <v>999000</v>
      </c>
      <c r="D6" s="17" t="str">
        <f>IFERROR(__xludf.DUMMYFUNCTION("""COMPUTED_VALUE"""),"Macro")</f>
        <v>Macro</v>
      </c>
      <c r="E6" s="18" t="str">
        <f>IFERROR(__xludf.DUMMYFUNCTION("""COMPUTED_VALUE"""),"sariendahpratiwi")</f>
        <v>sariendahpratiwi</v>
      </c>
      <c r="F6" s="23">
        <f>IFERROR(__xludf.DUMMYFUNCTION("""COMPUTED_VALUE"""),84300.0)</f>
        <v>84300</v>
      </c>
      <c r="G6" s="17" t="str">
        <f>IFERROR(__xludf.DUMMYFUNCTION("""COMPUTED_VALUE"""),"Micro")</f>
        <v>Micro</v>
      </c>
      <c r="H6" s="17" t="str">
        <f>IFERROR(__xludf.DUMMYFUNCTION("""COMPUTED_VALUE"""),"Bandung")</f>
        <v>Bandung</v>
      </c>
      <c r="I6" s="17" t="str">
        <f>IFERROR(__xludf.DUMMYFUNCTION("""COMPUTED_VALUE"""),"- Lifestyle Female
- Fashion Wanita")</f>
        <v>- Lifestyle Female
- Fashion Wanita</v>
      </c>
      <c r="J6" s="20">
        <f>IFERROR(__xludf.DUMMYFUNCTION("""COMPUTED_VALUE"""),2000000.0)</f>
        <v>2000000</v>
      </c>
      <c r="K6" s="20">
        <f>IFERROR(__xludf.DUMMYFUNCTION("""COMPUTED_VALUE"""),3500000.0)</f>
        <v>3500000</v>
      </c>
      <c r="L6" s="20">
        <f>IFERROR(__xludf.DUMMYFUNCTION("""COMPUTED_VALUE"""),6500000.0)</f>
        <v>6500000</v>
      </c>
      <c r="M6" s="20" t="str">
        <f>IFERROR(__xludf.DUMMYFUNCTION("""COMPUTED_VALUE"""),"FREE")</f>
        <v>FREE</v>
      </c>
      <c r="N6" s="20">
        <f>IFERROR(__xludf.DUMMYFUNCTION("""COMPUTED_VALUE"""),8000000.0)</f>
        <v>8000000</v>
      </c>
      <c r="O6" s="20">
        <f>IFERROR(__xludf.DUMMYFUNCTION("""COMPUTED_VALUE"""),1000000.0)</f>
        <v>1000000</v>
      </c>
      <c r="P6" s="20">
        <f>IFERROR(__xludf.DUMMYFUNCTION("""COMPUTED_VALUE"""),1.3E7)</f>
        <v>13000000</v>
      </c>
      <c r="Q6" s="20">
        <f>IFERROR(__xludf.DUMMYFUNCTION("""COMPUTED_VALUE"""),1000000.0)</f>
        <v>1000000</v>
      </c>
      <c r="R6" s="20">
        <f>IFERROR(__xludf.DUMMYFUNCTION("""COMPUTED_VALUE"""),8000000.0)</f>
        <v>8000000</v>
      </c>
      <c r="S6" s="20">
        <f>IFERROR(__xludf.DUMMYFUNCTION("""COMPUTED_VALUE"""),1.9E7)</f>
        <v>19000000</v>
      </c>
      <c r="T6" s="20">
        <f>IFERROR(__xludf.DUMMYFUNCTION("""COMPUTED_VALUE"""),1.0E7)</f>
        <v>10000000</v>
      </c>
      <c r="U6" s="21">
        <f>IFERROR(__xludf.DUMMYFUNCTION("""COMPUTED_VALUE"""),0.5)</f>
        <v>0.5</v>
      </c>
      <c r="V6" s="20">
        <f>IFERROR(__xludf.DUMMYFUNCTION("""COMPUTED_VALUE"""),1000000.0)</f>
        <v>1000000</v>
      </c>
      <c r="W6" s="20">
        <f>IFERROR(__xludf.DUMMYFUNCTION("""COMPUTED_VALUE"""),1000000.0)</f>
        <v>1000000</v>
      </c>
      <c r="X6" s="20">
        <f>IFERROR(__xludf.DUMMYFUNCTION("""COMPUTED_VALUE"""),5000000.0)</f>
        <v>5000000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IFERROR(__xludf.DUMMYFUNCTION("""COMPUTED_VALUE"""),"nadianraulya")</f>
        <v>nadianraulya</v>
      </c>
      <c r="C7" s="19">
        <f>IFERROR(__xludf.DUMMYFUNCTION("""COMPUTED_VALUE"""),1000000.0)</f>
        <v>1000000</v>
      </c>
      <c r="D7" s="17" t="str">
        <f>IFERROR(__xludf.DUMMYFUNCTION("""COMPUTED_VALUE"""),"Macro")</f>
        <v>Macro</v>
      </c>
      <c r="E7" s="18" t="str">
        <f>IFERROR(__xludf.DUMMYFUNCTION("""COMPUTED_VALUE"""),"nadianuraulyaa")</f>
        <v>nadianuraulyaa</v>
      </c>
      <c r="F7" s="23">
        <f>IFERROR(__xludf.DUMMYFUNCTION("""COMPUTED_VALUE"""),590200.0)</f>
        <v>590200</v>
      </c>
      <c r="G7" s="17" t="str">
        <f>IFERROR(__xludf.DUMMYFUNCTION("""COMPUTED_VALUE"""),"Macro")</f>
        <v>Macro</v>
      </c>
      <c r="H7" s="17" t="str">
        <f>IFERROR(__xludf.DUMMYFUNCTION("""COMPUTED_VALUE"""),"Bandung")</f>
        <v>Bandung</v>
      </c>
      <c r="I7" s="17" t="str">
        <f>IFERROR(__xludf.DUMMYFUNCTION("""COMPUTED_VALUE"""),"- Lifestyle Female
- Mom &amp; Kids
- Fashion Wanita")</f>
        <v>- Lifestyle Female
- Mom &amp; Kids
- Fashion Wanita</v>
      </c>
      <c r="J7" s="20">
        <f>IFERROR(__xludf.DUMMYFUNCTION("""COMPUTED_VALUE"""),500000.0)</f>
        <v>500000</v>
      </c>
      <c r="K7" s="20">
        <f>IFERROR(__xludf.DUMMYFUNCTION("""COMPUTED_VALUE"""),3000000.0)</f>
        <v>3000000</v>
      </c>
      <c r="L7" s="20">
        <f>IFERROR(__xludf.DUMMYFUNCTION("""COMPUTED_VALUE"""),3500000.0)</f>
        <v>3500000</v>
      </c>
      <c r="M7" s="20" t="str">
        <f>IFERROR(__xludf.DUMMYFUNCTION("""COMPUTED_VALUE"""),"FREE")</f>
        <v>FREE</v>
      </c>
      <c r="N7" s="20">
        <f>IFERROR(__xludf.DUMMYFUNCTION("""COMPUTED_VALUE"""),4000000.0)</f>
        <v>4000000</v>
      </c>
      <c r="O7" s="17"/>
      <c r="P7" s="20" t="str">
        <f>IFERROR(__xludf.DUMMYFUNCTION("""COMPUTED_VALUE"""),"Rp7,000,000 - Rp9,000,000")</f>
        <v>Rp7,000,000 - Rp9,000,000</v>
      </c>
      <c r="Q7" s="20" t="str">
        <f>IFERROR(__xludf.DUMMYFUNCTION("""COMPUTED_VALUE"""),"FREE")</f>
        <v>FREE</v>
      </c>
      <c r="R7" s="20">
        <f>IFERROR(__xludf.DUMMYFUNCTION("""COMPUTED_VALUE"""),1500000.0)</f>
        <v>1500000</v>
      </c>
      <c r="S7" s="20">
        <f>IFERROR(__xludf.DUMMYFUNCTION("""COMPUTED_VALUE"""),6000000.0)</f>
        <v>6000000</v>
      </c>
      <c r="T7" s="17"/>
      <c r="U7" s="17"/>
      <c r="V7" s="17"/>
      <c r="W7" s="20" t="str">
        <f>IFERROR(__xludf.DUMMYFUNCTION("""COMPUTED_VALUE"""),"FREE")</f>
        <v>FREE</v>
      </c>
      <c r="X7" s="17"/>
      <c r="Y7" s="17"/>
    </row>
    <row r="8">
      <c r="A8" s="17">
        <f>IFERROR(__xludf.DUMMYFUNCTION("""COMPUTED_VALUE"""),5.0)</f>
        <v>5</v>
      </c>
      <c r="B8" s="18" t="str">
        <f>IFERROR(__xludf.DUMMYFUNCTION("""COMPUTED_VALUE"""),"gelialinn")</f>
        <v>gelialinn</v>
      </c>
      <c r="C8" s="19">
        <f>IFERROR(__xludf.DUMMYFUNCTION("""COMPUTED_VALUE"""),1000000.0)</f>
        <v>1000000</v>
      </c>
      <c r="D8" s="17" t="str">
        <f>IFERROR(__xludf.DUMMYFUNCTION("""COMPUTED_VALUE"""),"Macro")</f>
        <v>Macro</v>
      </c>
      <c r="E8" s="18" t="str">
        <f>IFERROR(__xludf.DUMMYFUNCTION("""COMPUTED_VALUE"""),"gelialinda")</f>
        <v>gelialinda</v>
      </c>
      <c r="F8" s="19">
        <f>IFERROR(__xludf.DUMMYFUNCTION("""COMPUTED_VALUE"""),4800000.0)</f>
        <v>4800000</v>
      </c>
      <c r="G8" s="17" t="str">
        <f>IFERROR(__xludf.DUMMYFUNCTION("""COMPUTED_VALUE"""),"Mega")</f>
        <v>Mega</v>
      </c>
      <c r="H8" s="17" t="str">
        <f>IFERROR(__xludf.DUMMYFUNCTION("""COMPUTED_VALUE"""),"Tasikmalaya")</f>
        <v>Tasikmalaya</v>
      </c>
      <c r="I8" s="17" t="str">
        <f>IFERROR(__xludf.DUMMYFUNCTION("""COMPUTED_VALUE"""),"- Lifestyle Female 
- Pasutri
- Family
- Mom &amp; Kids")</f>
        <v>- Lifestyle Female 
- Pasutri
- Family
- Mom &amp; Kids</v>
      </c>
      <c r="J8" s="20">
        <f>IFERROR(__xludf.DUMMYFUNCTION("""COMPUTED_VALUE"""),6000000.0)</f>
        <v>6000000</v>
      </c>
      <c r="K8" s="20">
        <f>IFERROR(__xludf.DUMMYFUNCTION("""COMPUTED_VALUE"""),6000000.0)</f>
        <v>6000000</v>
      </c>
      <c r="L8" s="20">
        <f>IFERROR(__xludf.DUMMYFUNCTION("""COMPUTED_VALUE"""),8000000.0)</f>
        <v>8000000</v>
      </c>
      <c r="M8" s="20">
        <f>IFERROR(__xludf.DUMMYFUNCTION("""COMPUTED_VALUE"""),500000.0)</f>
        <v>500000</v>
      </c>
      <c r="N8" s="20">
        <f>IFERROR(__xludf.DUMMYFUNCTION("""COMPUTED_VALUE"""),8000000.0)</f>
        <v>8000000</v>
      </c>
      <c r="O8" s="20">
        <f>IFERROR(__xludf.DUMMYFUNCTION("""COMPUTED_VALUE"""),8500000.0)</f>
        <v>8500000</v>
      </c>
      <c r="P8" s="20">
        <f>IFERROR(__xludf.DUMMYFUNCTION("""COMPUTED_VALUE"""),2.5E7)</f>
        <v>25000000</v>
      </c>
      <c r="Q8" s="20">
        <f>IFERROR(__xludf.DUMMYFUNCTION("""COMPUTED_VALUE"""),500000.0)</f>
        <v>500000</v>
      </c>
      <c r="R8" s="20">
        <f>IFERROR(__xludf.DUMMYFUNCTION("""COMPUTED_VALUE"""),3.0E7)</f>
        <v>30000000</v>
      </c>
      <c r="S8" s="20">
        <f>IFERROR(__xludf.DUMMYFUNCTION("""COMPUTED_VALUE"""),1.0E7)</f>
        <v>10000000</v>
      </c>
      <c r="T8" s="20">
        <f>IFERROR(__xludf.DUMMYFUNCTION("""COMPUTED_VALUE"""),7000000.0)</f>
        <v>7000000</v>
      </c>
      <c r="U8" s="21">
        <f>IFERROR(__xludf.DUMMYFUNCTION("""COMPUTED_VALUE"""),0.5)</f>
        <v>0.5</v>
      </c>
      <c r="V8" s="20">
        <f>IFERROR(__xludf.DUMMYFUNCTION("""COMPUTED_VALUE"""),2000000.0)</f>
        <v>2000000</v>
      </c>
      <c r="W8" s="20">
        <f>IFERROR(__xludf.DUMMYFUNCTION("""COMPUTED_VALUE"""),2000000.0)</f>
        <v>2000000</v>
      </c>
      <c r="X8" s="20">
        <f>IFERROR(__xludf.DUMMYFUNCTION("""COMPUTED_VALUE"""),1.0E7)</f>
        <v>10000000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IFERROR(__xludf.DUMMYFUNCTION("""COMPUTED_VALUE"""),"imasfahriaty_")</f>
        <v>imasfahriaty_</v>
      </c>
      <c r="C9" s="23">
        <f>IFERROR(__xludf.DUMMYFUNCTION("""COMPUTED_VALUE"""),879000.0)</f>
        <v>879000</v>
      </c>
      <c r="D9" s="17" t="str">
        <f>IFERROR(__xludf.DUMMYFUNCTION("""COMPUTED_VALUE"""),"Macro")</f>
        <v>Macro</v>
      </c>
      <c r="E9" s="18" t="str">
        <f>IFERROR(__xludf.DUMMYFUNCTION("""COMPUTED_VALUE"""),"imasfahriaty_")</f>
        <v>imasfahriaty_</v>
      </c>
      <c r="F9" s="19">
        <f>IFERROR(__xludf.DUMMYFUNCTION("""COMPUTED_VALUE"""),3800000.0)</f>
        <v>3800000</v>
      </c>
      <c r="G9" s="17" t="str">
        <f>IFERROR(__xludf.DUMMYFUNCTION("""COMPUTED_VALUE"""),"Mega")</f>
        <v>Mega</v>
      </c>
      <c r="H9" s="17" t="str">
        <f>IFERROR(__xludf.DUMMYFUNCTION("""COMPUTED_VALUE"""),"Tangerang")</f>
        <v>Tangerang</v>
      </c>
      <c r="I9" s="17" t="str">
        <f>IFERROR(__xludf.DUMMYFUNCTION("""COMPUTED_VALUE"""),"- Lifestyle Female 
- Pasutri
- Family
- Mom &amp; Kids")</f>
        <v>- Lifestyle Female 
- Pasutri
- Family
- Mom &amp; Kids</v>
      </c>
      <c r="J9" s="20">
        <f>IFERROR(__xludf.DUMMYFUNCTION("""COMPUTED_VALUE"""),2000000.0)</f>
        <v>2000000</v>
      </c>
      <c r="K9" s="20">
        <f>IFERROR(__xludf.DUMMYFUNCTION("""COMPUTED_VALUE"""),3500000.0)</f>
        <v>3500000</v>
      </c>
      <c r="L9" s="20">
        <f>IFERROR(__xludf.DUMMYFUNCTION("""COMPUTED_VALUE"""),5000000.0)</f>
        <v>5000000</v>
      </c>
      <c r="M9" s="20" t="str">
        <f>IFERROR(__xludf.DUMMYFUNCTION("""COMPUTED_VALUE"""),"FREE")</f>
        <v>FREE</v>
      </c>
      <c r="N9" s="20">
        <f>IFERROR(__xludf.DUMMYFUNCTION("""COMPUTED_VALUE"""),6000000.0)</f>
        <v>6000000</v>
      </c>
      <c r="O9" s="20">
        <f>IFERROR(__xludf.DUMMYFUNCTION("""COMPUTED_VALUE"""),1.0E7)</f>
        <v>10000000</v>
      </c>
      <c r="P9" s="20">
        <f>IFERROR(__xludf.DUMMYFUNCTION("""COMPUTED_VALUE"""),1.5E7)</f>
        <v>15000000</v>
      </c>
      <c r="Q9" s="20">
        <f>IFERROR(__xludf.DUMMYFUNCTION("""COMPUTED_VALUE"""),1000000.0)</f>
        <v>1000000</v>
      </c>
      <c r="R9" s="20">
        <f>IFERROR(__xludf.DUMMYFUNCTION("""COMPUTED_VALUE"""),1.6E7)</f>
        <v>16000000</v>
      </c>
      <c r="S9" s="20">
        <f>IFERROR(__xludf.DUMMYFUNCTION("""COMPUTED_VALUE"""),2.0E7)</f>
        <v>20000000</v>
      </c>
      <c r="T9" s="20" t="str">
        <f>IFERROR(__xludf.DUMMYFUNCTION("""COMPUTED_VALUE"""),"-")</f>
        <v>-</v>
      </c>
      <c r="U9" s="20" t="str">
        <f>IFERROR(__xludf.DUMMYFUNCTION("""COMPUTED_VALUE"""),"100% ratecard")</f>
        <v>100% ratecard</v>
      </c>
      <c r="V9" s="20" t="str">
        <f>IFERROR(__xludf.DUMMYFUNCTION("""COMPUTED_VALUE"""),"FREE")</f>
        <v>FREE</v>
      </c>
      <c r="W9" s="20">
        <f>IFERROR(__xludf.DUMMYFUNCTION("""COMPUTED_VALUE"""),1000000.0)</f>
        <v>1000000</v>
      </c>
      <c r="X9" s="20" t="str">
        <f>IFERROR(__xludf.DUMMYFUNCTION("""COMPUTED_VALUE"""),"Rp1,000,000 (Jabodetabek) Rp2,000,000 (Luar Jabodetabek)")</f>
        <v>Rp1,000,000 (Jabodetabek) Rp2,000,000 (Luar Jabodetabek)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IFERROR(__xludf.DUMMYFUNCTION("""COMPUTED_VALUE"""),"kekevaangelista")</f>
        <v>kekevaangelista</v>
      </c>
      <c r="C10" s="23">
        <f>IFERROR(__xludf.DUMMYFUNCTION("""COMPUTED_VALUE"""),708000.0)</f>
        <v>708000</v>
      </c>
      <c r="D10" s="17" t="str">
        <f>IFERROR(__xludf.DUMMYFUNCTION("""COMPUTED_VALUE"""),"Macro")</f>
        <v>Macro</v>
      </c>
      <c r="E10" s="18" t="str">
        <f>IFERROR(__xludf.DUMMYFUNCTION("""COMPUTED_VALUE"""),"kekevaangelista")</f>
        <v>kekevaangelista</v>
      </c>
      <c r="F10" s="19">
        <f>IFERROR(__xludf.DUMMYFUNCTION("""COMPUTED_VALUE"""),1000000.0)</f>
        <v>1000000</v>
      </c>
      <c r="G10" s="17" t="str">
        <f>IFERROR(__xludf.DUMMYFUNCTION("""COMPUTED_VALUE"""),"Macro")</f>
        <v>Macro</v>
      </c>
      <c r="H10" s="17" t="str">
        <f>IFERROR(__xludf.DUMMYFUNCTION("""COMPUTED_VALUE"""),"Bogor")</f>
        <v>Bogor</v>
      </c>
      <c r="I10" s="17" t="str">
        <f>IFERROR(__xludf.DUMMYFUNCTION("""COMPUTED_VALUE"""),"- Lifestyle Female 
- Pasutri
- Family
- Mom &amp; Kids")</f>
        <v>- Lifestyle Female 
- Pasutri
- Family
- Mom &amp; Kids</v>
      </c>
      <c r="J10" s="20">
        <f>IFERROR(__xludf.DUMMYFUNCTION("""COMPUTED_VALUE"""),2500000.0)</f>
        <v>2500000</v>
      </c>
      <c r="K10" s="20">
        <f>IFERROR(__xludf.DUMMYFUNCTION("""COMPUTED_VALUE"""),2500000.0)</f>
        <v>2500000</v>
      </c>
      <c r="L10" s="20">
        <f>IFERROR(__xludf.DUMMYFUNCTION("""COMPUTED_VALUE"""),7500000.0)</f>
        <v>7500000</v>
      </c>
      <c r="M10" s="20" t="str">
        <f>IFERROR(__xludf.DUMMYFUNCTION("""COMPUTED_VALUE"""),"FREE")</f>
        <v>FREE</v>
      </c>
      <c r="N10" s="20">
        <f>IFERROR(__xludf.DUMMYFUNCTION("""COMPUTED_VALUE"""),4000000.0)</f>
        <v>4000000</v>
      </c>
      <c r="O10" s="20">
        <f>IFERROR(__xludf.DUMMYFUNCTION("""COMPUTED_VALUE"""),7500000.0)</f>
        <v>7500000</v>
      </c>
      <c r="P10" s="20">
        <f>IFERROR(__xludf.DUMMYFUNCTION("""COMPUTED_VALUE"""),1.1E7)</f>
        <v>11000000</v>
      </c>
      <c r="Q10" s="20">
        <f>IFERROR(__xludf.DUMMYFUNCTION("""COMPUTED_VALUE"""),2000000.0)</f>
        <v>2000000</v>
      </c>
      <c r="R10" s="20">
        <f>IFERROR(__xludf.DUMMYFUNCTION("""COMPUTED_VALUE"""),1.2E7)</f>
        <v>12000000</v>
      </c>
      <c r="S10" s="20">
        <f>IFERROR(__xludf.DUMMYFUNCTION("""COMPUTED_VALUE"""),1.9E7)</f>
        <v>19000000</v>
      </c>
      <c r="T10" s="17"/>
      <c r="U10" s="20">
        <f>IFERROR(__xludf.DUMMYFUNCTION("""COMPUTED_VALUE"""),3000000.0)</f>
        <v>3000000</v>
      </c>
      <c r="V10" s="20">
        <f>IFERROR(__xludf.DUMMYFUNCTION("""COMPUTED_VALUE"""),1000000.0)</f>
        <v>1000000</v>
      </c>
      <c r="W10" s="17"/>
      <c r="X10" s="20">
        <f>IFERROR(__xludf.DUMMYFUNCTION("""COMPUTED_VALUE"""),4000000.0)</f>
        <v>4000000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IFERROR(__xludf.DUMMYFUNCTION("""COMPUTED_VALUE"""),"makanlurrrr")</f>
        <v>makanlurrrr</v>
      </c>
      <c r="C11" s="23">
        <f>IFERROR(__xludf.DUMMYFUNCTION("""COMPUTED_VALUE"""),650000.0)</f>
        <v>650000</v>
      </c>
      <c r="D11" s="17" t="str">
        <f>IFERROR(__xludf.DUMMYFUNCTION("""COMPUTED_VALUE"""),"Macro")</f>
        <v>Macro</v>
      </c>
      <c r="E11" s="18" t="str">
        <f>IFERROR(__xludf.DUMMYFUNCTION("""COMPUTED_VALUE"""),"makanlurr")</f>
        <v>makanlurr</v>
      </c>
      <c r="F11" s="19">
        <f>IFERROR(__xludf.DUMMYFUNCTION("""COMPUTED_VALUE"""),1800000.0)</f>
        <v>1800000</v>
      </c>
      <c r="G11" s="17" t="str">
        <f>IFERROR(__xludf.DUMMYFUNCTION("""COMPUTED_VALUE"""),"Mega")</f>
        <v>Mega</v>
      </c>
      <c r="H11" s="17" t="str">
        <f>IFERROR(__xludf.DUMMYFUNCTION("""COMPUTED_VALUE"""),"Jakarta")</f>
        <v>Jakarta</v>
      </c>
      <c r="I11" s="17" t="str">
        <f>IFERROR(__xludf.DUMMYFUNCTION("""COMPUTED_VALUE"""),"- FnB
- Lifestyle Male")</f>
        <v>- FnB
- Lifestyle Male</v>
      </c>
      <c r="J11" s="17"/>
      <c r="K11" s="20">
        <f>IFERROR(__xludf.DUMMYFUNCTION("""COMPUTED_VALUE"""),1000000.0)</f>
        <v>1000000</v>
      </c>
      <c r="L11" s="20">
        <f>IFERROR(__xludf.DUMMYFUNCTION("""COMPUTED_VALUE"""),1000000.0)</f>
        <v>1000000</v>
      </c>
      <c r="M11" s="20" t="str">
        <f>IFERROR(__xludf.DUMMYFUNCTION("""COMPUTED_VALUE"""),"FREE")</f>
        <v>FREE</v>
      </c>
      <c r="N11" s="17"/>
      <c r="O11" s="17"/>
      <c r="P11" s="20">
        <f>IFERROR(__xludf.DUMMYFUNCTION("""COMPUTED_VALUE"""),1.0E7)</f>
        <v>10000000</v>
      </c>
      <c r="Q11" s="20" t="str">
        <f>IFERROR(__xludf.DUMMYFUNCTION("""COMPUTED_VALUE"""),"FREE")</f>
        <v>FREE</v>
      </c>
      <c r="R11" s="20">
        <f>IFERROR(__xludf.DUMMYFUNCTION("""COMPUTED_VALUE"""),1.5E7)</f>
        <v>15000000</v>
      </c>
      <c r="S11" s="20">
        <f>IFERROR(__xludf.DUMMYFUNCTION("""COMPUTED_VALUE"""),2.0E7)</f>
        <v>20000000</v>
      </c>
      <c r="T11" s="20">
        <f>IFERROR(__xludf.DUMMYFUNCTION("""COMPUTED_VALUE"""),7000000.0)</f>
        <v>7000000</v>
      </c>
      <c r="U11" s="20">
        <f>IFERROR(__xludf.DUMMYFUNCTION("""COMPUTED_VALUE"""),7000000.0)</f>
        <v>7000000</v>
      </c>
      <c r="V11" s="20" t="str">
        <f>IFERROR(__xludf.DUMMYFUNCTION("""COMPUTED_VALUE"""),"FREE")</f>
        <v>FREE</v>
      </c>
      <c r="W11" s="20" t="str">
        <f>IFERROR(__xludf.DUMMYFUNCTION("""COMPUTED_VALUE"""),"FREE")</f>
        <v>FREE</v>
      </c>
      <c r="X11" s="20">
        <f>IFERROR(__xludf.DUMMYFUNCTION("""COMPUTED_VALUE"""),2500000.0)</f>
        <v>2500000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IFERROR(__xludf.DUMMYFUNCTION("""COMPUTED_VALUE"""),"putrinahari")</f>
        <v>putrinahari</v>
      </c>
      <c r="C12" s="23">
        <f>IFERROR(__xludf.DUMMYFUNCTION("""COMPUTED_VALUE"""),589000.0)</f>
        <v>589000</v>
      </c>
      <c r="D12" s="17" t="str">
        <f>IFERROR(__xludf.DUMMYFUNCTION("""COMPUTED_VALUE"""),"Macro")</f>
        <v>Macro</v>
      </c>
      <c r="E12" s="18" t="str">
        <f>IFERROR(__xludf.DUMMYFUNCTION("""COMPUTED_VALUE"""),"putrinaharira")</f>
        <v>putrinaharira</v>
      </c>
      <c r="F12" s="23">
        <f>IFERROR(__xludf.DUMMYFUNCTION("""COMPUTED_VALUE"""),201700.0)</f>
        <v>201700</v>
      </c>
      <c r="G12" s="17" t="str">
        <f>IFERROR(__xludf.DUMMYFUNCTION("""COMPUTED_VALUE"""),"Mid")</f>
        <v>Mid</v>
      </c>
      <c r="H12" s="17" t="str">
        <f>IFERROR(__xludf.DUMMYFUNCTION("""COMPUTED_VALUE"""),"Tangerang")</f>
        <v>Tangerang</v>
      </c>
      <c r="I12" s="17" t="str">
        <f>IFERROR(__xludf.DUMMYFUNCTION("""COMPUTED_VALUE"""),"- Lifestyle Female 
- Pasutri
- Family
- Mom &amp; Kids")</f>
        <v>- Lifestyle Female 
- Pasutri
- Family
- Mom &amp; Kids</v>
      </c>
      <c r="J12" s="20">
        <f>IFERROR(__xludf.DUMMYFUNCTION("""COMPUTED_VALUE"""),750000.0)</f>
        <v>750000</v>
      </c>
      <c r="K12" s="20">
        <f>IFERROR(__xludf.DUMMYFUNCTION("""COMPUTED_VALUE"""),1500000.0)</f>
        <v>1500000</v>
      </c>
      <c r="L12" s="20">
        <f>IFERROR(__xludf.DUMMYFUNCTION("""COMPUTED_VALUE"""),2000000.0)</f>
        <v>2000000</v>
      </c>
      <c r="M12" s="20" t="str">
        <f>IFERROR(__xludf.DUMMYFUNCTION("""COMPUTED_VALUE"""),"FREE")</f>
        <v>FREE</v>
      </c>
      <c r="N12" s="20">
        <f>IFERROR(__xludf.DUMMYFUNCTION("""COMPUTED_VALUE"""),4000000.0)</f>
        <v>4000000</v>
      </c>
      <c r="O12" s="20">
        <f>IFERROR(__xludf.DUMMYFUNCTION("""COMPUTED_VALUE"""),4000000.0)</f>
        <v>4000000</v>
      </c>
      <c r="P12" s="20">
        <f>IFERROR(__xludf.DUMMYFUNCTION("""COMPUTED_VALUE"""),6000000.0)</f>
        <v>6000000</v>
      </c>
      <c r="Q12" s="20" t="str">
        <f>IFERROR(__xludf.DUMMYFUNCTION("""COMPUTED_VALUE"""),"FREE")</f>
        <v>FREE</v>
      </c>
      <c r="R12" s="20">
        <f>IFERROR(__xludf.DUMMYFUNCTION("""COMPUTED_VALUE"""),1.0E7)</f>
        <v>10000000</v>
      </c>
      <c r="S12" s="20" t="str">
        <f>IFERROR(__xludf.DUMMYFUNCTION("""COMPUTED_VALUE"""),"FREE")</f>
        <v>FREE</v>
      </c>
      <c r="T12" s="20">
        <f>IFERROR(__xludf.DUMMYFUNCTION("""COMPUTED_VALUE"""),3000000.0)</f>
        <v>3000000</v>
      </c>
      <c r="U12" s="20" t="str">
        <f>IFERROR(__xludf.DUMMYFUNCTION("""COMPUTED_VALUE"""),"FREE")</f>
        <v>FREE</v>
      </c>
      <c r="V12" s="20" t="str">
        <f>IFERROR(__xludf.DUMMYFUNCTION("""COMPUTED_VALUE"""),"FREE")</f>
        <v>FREE</v>
      </c>
      <c r="W12" s="20" t="str">
        <f>IFERROR(__xludf.DUMMYFUNCTION("""COMPUTED_VALUE"""),"FREE")</f>
        <v>FREE</v>
      </c>
      <c r="X12" s="20">
        <f>IFERROR(__xludf.DUMMYFUNCTION("""COMPUTED_VALUE"""),1500000.0)</f>
        <v>1500000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IFERROR(__xludf.DUMMYFUNCTION("""COMPUTED_VALUE"""),"trishaazia")</f>
        <v>trishaazia</v>
      </c>
      <c r="C13" s="23">
        <f>IFERROR(__xludf.DUMMYFUNCTION("""COMPUTED_VALUE"""),571000.0)</f>
        <v>571000</v>
      </c>
      <c r="D13" s="17" t="str">
        <f>IFERROR(__xludf.DUMMYFUNCTION("""COMPUTED_VALUE"""),"Macro")</f>
        <v>Macro</v>
      </c>
      <c r="E13" s="18" t="str">
        <f>IFERROR(__xludf.DUMMYFUNCTION("""COMPUTED_VALUE"""),"trishaaazia")</f>
        <v>trishaaazia</v>
      </c>
      <c r="F13" s="19">
        <f>IFERROR(__xludf.DUMMYFUNCTION("""COMPUTED_VALUE"""),9500000.0)</f>
        <v>9500000</v>
      </c>
      <c r="G13" s="17" t="str">
        <f>IFERROR(__xludf.DUMMYFUNCTION("""COMPUTED_VALUE"""),"Mega")</f>
        <v>Mega</v>
      </c>
      <c r="H13" s="17" t="str">
        <f>IFERROR(__xludf.DUMMYFUNCTION("""COMPUTED_VALUE"""),"Depok")</f>
        <v>Depok</v>
      </c>
      <c r="I13" s="17" t="str">
        <f>IFERROR(__xludf.DUMMYFUNCTION("""COMPUTED_VALUE"""),"- Lifestyle Female 
- Pasutri
- Family
- Mom &amp; Kids")</f>
        <v>- Lifestyle Female 
- Pasutri
- Family
- Mom &amp; Kids</v>
      </c>
      <c r="J13" s="20">
        <f>IFERROR(__xludf.DUMMYFUNCTION("""COMPUTED_VALUE"""),500000.0)</f>
        <v>500000</v>
      </c>
      <c r="K13" s="20">
        <f>IFERROR(__xludf.DUMMYFUNCTION("""COMPUTED_VALUE"""),1000000.0)</f>
        <v>1000000</v>
      </c>
      <c r="L13" s="20">
        <f>IFERROR(__xludf.DUMMYFUNCTION("""COMPUTED_VALUE"""),1500000.0)</f>
        <v>1500000</v>
      </c>
      <c r="M13" s="20" t="str">
        <f>IFERROR(__xludf.DUMMYFUNCTION("""COMPUTED_VALUE"""),"FREE")</f>
        <v>FREE</v>
      </c>
      <c r="N13" s="20">
        <f>IFERROR(__xludf.DUMMYFUNCTION("""COMPUTED_VALUE"""),5000000.0)</f>
        <v>5000000</v>
      </c>
      <c r="O13" s="20">
        <f>IFERROR(__xludf.DUMMYFUNCTION("""COMPUTED_VALUE"""),5500000.0)</f>
        <v>5500000</v>
      </c>
      <c r="P13" s="20">
        <f>IFERROR(__xludf.DUMMYFUNCTION("""COMPUTED_VALUE"""),8000000.0)</f>
        <v>8000000</v>
      </c>
      <c r="Q13" s="20" t="str">
        <f>IFERROR(__xludf.DUMMYFUNCTION("""COMPUTED_VALUE"""),"FREE")</f>
        <v>FREE</v>
      </c>
      <c r="R13" s="20">
        <f>IFERROR(__xludf.DUMMYFUNCTION("""COMPUTED_VALUE"""),1.5E7)</f>
        <v>15000000</v>
      </c>
      <c r="S13" s="20">
        <f>IFERROR(__xludf.DUMMYFUNCTION("""COMPUTED_VALUE"""),1.8E7)</f>
        <v>18000000</v>
      </c>
      <c r="T13" s="20">
        <f>IFERROR(__xludf.DUMMYFUNCTION("""COMPUTED_VALUE"""),5000000.0)</f>
        <v>5000000</v>
      </c>
      <c r="U13" s="20" t="str">
        <f>IFERROR(__xludf.DUMMYFUNCTION("""COMPUTED_VALUE"""),"FREE")</f>
        <v>FREE</v>
      </c>
      <c r="V13" s="20">
        <f>IFERROR(__xludf.DUMMYFUNCTION("""COMPUTED_VALUE"""),1000000.0)</f>
        <v>1000000</v>
      </c>
      <c r="W13" s="20" t="str">
        <f>IFERROR(__xludf.DUMMYFUNCTION("""COMPUTED_VALUE"""),"FREE")</f>
        <v>FREE</v>
      </c>
      <c r="X13" s="20">
        <f>IFERROR(__xludf.DUMMYFUNCTION("""COMPUTED_VALUE"""),1000000.0)</f>
        <v>1000000</v>
      </c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IFERROR(__xludf.DUMMYFUNCTION("""COMPUTED_VALUE"""),"Ka.reys")</f>
        <v>Ka.reys</v>
      </c>
      <c r="C14" s="23">
        <f>IFERROR(__xludf.DUMMYFUNCTION("""COMPUTED_VALUE"""),527000.0)</f>
        <v>527000</v>
      </c>
      <c r="D14" s="17" t="str">
        <f>IFERROR(__xludf.DUMMYFUNCTION("""COMPUTED_VALUE"""),"Macro")</f>
        <v>Macro</v>
      </c>
      <c r="E14" s="18" t="str">
        <f>IFERROR(__xludf.DUMMYFUNCTION("""COMPUTED_VALUE"""),"kayesssss")</f>
        <v>kayesssss</v>
      </c>
      <c r="F14" s="19">
        <f>IFERROR(__xludf.DUMMYFUNCTION("""COMPUTED_VALUE"""),3200000.0)</f>
        <v>3200000</v>
      </c>
      <c r="G14" s="17" t="str">
        <f>IFERROR(__xludf.DUMMYFUNCTION("""COMPUTED_VALUE"""),"Mega")</f>
        <v>Mega</v>
      </c>
      <c r="H14" s="17" t="str">
        <f>IFERROR(__xludf.DUMMYFUNCTION("""COMPUTED_VALUE"""),"Bekasi")</f>
        <v>Bekasi</v>
      </c>
      <c r="I14" s="17" t="str">
        <f>IFERROR(__xludf.DUMMYFUNCTION("""COMPUTED_VALUE"""),"- Lifestyle Female 
- Pasutri
- Family
- Mom &amp; Kids")</f>
        <v>- Lifestyle Female 
- Pasutri
- Family
- Mom &amp; Kids</v>
      </c>
      <c r="J14" s="20">
        <f>IFERROR(__xludf.DUMMYFUNCTION("""COMPUTED_VALUE"""),500000.0)</f>
        <v>500000</v>
      </c>
      <c r="K14" s="20">
        <f>IFERROR(__xludf.DUMMYFUNCTION("""COMPUTED_VALUE"""),1300000.0)</f>
        <v>1300000</v>
      </c>
      <c r="L14" s="17"/>
      <c r="M14" s="20" t="str">
        <f>IFERROR(__xludf.DUMMYFUNCTION("""COMPUTED_VALUE"""),"FREE")</f>
        <v>FREE</v>
      </c>
      <c r="N14" s="20">
        <f>IFERROR(__xludf.DUMMYFUNCTION("""COMPUTED_VALUE"""),2700000.0)</f>
        <v>2700000</v>
      </c>
      <c r="O14" s="17"/>
      <c r="P14" s="20">
        <f>IFERROR(__xludf.DUMMYFUNCTION("""COMPUTED_VALUE"""),3700000.0)</f>
        <v>3700000</v>
      </c>
      <c r="Q14" s="20" t="str">
        <f>IFERROR(__xludf.DUMMYFUNCTION("""COMPUTED_VALUE"""),"FREE")</f>
        <v>FREE</v>
      </c>
      <c r="R14" s="20">
        <f>IFERROR(__xludf.DUMMYFUNCTION("""COMPUTED_VALUE"""),5500000.0)</f>
        <v>5500000</v>
      </c>
      <c r="S14" s="20">
        <f>IFERROR(__xludf.DUMMYFUNCTION("""COMPUTED_VALUE"""),7000000.0)</f>
        <v>7000000</v>
      </c>
      <c r="T14" s="17"/>
      <c r="U14" s="20">
        <f>IFERROR(__xludf.DUMMYFUNCTION("""COMPUTED_VALUE"""),2000000.0)</f>
        <v>2000000</v>
      </c>
      <c r="V14" s="17"/>
      <c r="W14" s="20" t="str">
        <f>IFERROR(__xludf.DUMMYFUNCTION("""COMPUTED_VALUE"""),"FREE")</f>
        <v>FREE</v>
      </c>
      <c r="X14" s="20">
        <f>IFERROR(__xludf.DUMMYFUNCTION("""COMPUTED_VALUE"""),1500000.0)</f>
        <v>1500000</v>
      </c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IFERROR(__xludf.DUMMYFUNCTION("""COMPUTED_VALUE"""),"nadiladrn")</f>
        <v>nadiladrn</v>
      </c>
      <c r="C15" s="23">
        <f>IFERROR(__xludf.DUMMYFUNCTION("""COMPUTED_VALUE"""),509000.0)</f>
        <v>509000</v>
      </c>
      <c r="D15" s="17" t="str">
        <f>IFERROR(__xludf.DUMMYFUNCTION("""COMPUTED_VALUE"""),"Macro")</f>
        <v>Macro</v>
      </c>
      <c r="E15" s="18" t="str">
        <f>IFERROR(__xludf.DUMMYFUNCTION("""COMPUTED_VALUE"""),"dileeedrn")</f>
        <v>dileeedrn</v>
      </c>
      <c r="F15" s="23">
        <f>IFERROR(__xludf.DUMMYFUNCTION("""COMPUTED_VALUE"""),168200.0)</f>
        <v>168200</v>
      </c>
      <c r="G15" s="17" t="str">
        <f>IFERROR(__xludf.DUMMYFUNCTION("""COMPUTED_VALUE"""),"Mid")</f>
        <v>Mid</v>
      </c>
      <c r="H15" s="17" t="str">
        <f>IFERROR(__xludf.DUMMYFUNCTION("""COMPUTED_VALUE"""),"Siantar")</f>
        <v>Siantar</v>
      </c>
      <c r="I15" s="17" t="str">
        <f>IFERROR(__xludf.DUMMYFUNCTION("""COMPUTED_VALUE"""),"- Lifestyle Female
- Fashion Wanita
- Beauty")</f>
        <v>- Lifestyle Female
- Fashion Wanita
- Beauty</v>
      </c>
      <c r="J15" s="20">
        <f>IFERROR(__xludf.DUMMYFUNCTION("""COMPUTED_VALUE"""),400000.0)</f>
        <v>400000</v>
      </c>
      <c r="K15" s="20">
        <f>IFERROR(__xludf.DUMMYFUNCTION("""COMPUTED_VALUE"""),500000.0)</f>
        <v>500000</v>
      </c>
      <c r="L15" s="20">
        <f>IFERROR(__xludf.DUMMYFUNCTION("""COMPUTED_VALUE"""),650000.0)</f>
        <v>650000</v>
      </c>
      <c r="M15" s="20" t="str">
        <f>IFERROR(__xludf.DUMMYFUNCTION("""COMPUTED_VALUE"""),"FREE")</f>
        <v>FREE</v>
      </c>
      <c r="N15" s="20">
        <f>IFERROR(__xludf.DUMMYFUNCTION("""COMPUTED_VALUE"""),850000.0)</f>
        <v>850000</v>
      </c>
      <c r="O15" s="20">
        <f>IFERROR(__xludf.DUMMYFUNCTION("""COMPUTED_VALUE"""),950000.0)</f>
        <v>950000</v>
      </c>
      <c r="P15" s="20">
        <f>IFERROR(__xludf.DUMMYFUNCTION("""COMPUTED_VALUE"""),1000000.0)</f>
        <v>1000000</v>
      </c>
      <c r="Q15" s="20" t="str">
        <f>IFERROR(__xludf.DUMMYFUNCTION("""COMPUTED_VALUE"""),"FREE")</f>
        <v>FREE</v>
      </c>
      <c r="R15" s="20">
        <f>IFERROR(__xludf.DUMMYFUNCTION("""COMPUTED_VALUE"""),750000.0)</f>
        <v>750000</v>
      </c>
      <c r="S15" s="20">
        <f>IFERROR(__xludf.DUMMYFUNCTION("""COMPUTED_VALUE"""),1500000.0)</f>
        <v>1500000</v>
      </c>
      <c r="T15" s="17"/>
      <c r="U15" s="20" t="str">
        <f>IFERROR(__xludf.DUMMYFUNCTION("""COMPUTED_VALUE"""),"FREE")</f>
        <v>FREE</v>
      </c>
      <c r="V15" s="17"/>
      <c r="W15" s="20" t="str">
        <f>IFERROR(__xludf.DUMMYFUNCTION("""COMPUTED_VALUE"""),"FREE")</f>
        <v>FREE</v>
      </c>
      <c r="X15" s="20" t="str">
        <f>IFERROR(__xludf.DUMMYFUNCTION("""COMPUTED_VALUE"""),"Rp1.500.000 - Rp2.500.000")</f>
        <v>Rp1.500.000 - Rp2.500.000</v>
      </c>
      <c r="Y15" s="17"/>
    </row>
    <row r="16">
      <c r="A16" s="17">
        <f>IFERROR(__xludf.DUMMYFUNCTION("""COMPUTED_VALUE"""),13.0)</f>
        <v>13</v>
      </c>
      <c r="B16" s="18" t="str">
        <f>IFERROR(__xludf.DUMMYFUNCTION("""COMPUTED_VALUE"""),"willenlenn")</f>
        <v>willenlenn</v>
      </c>
      <c r="C16" s="23">
        <f>IFERROR(__xludf.DUMMYFUNCTION("""COMPUTED_VALUE"""),486000.0)</f>
        <v>486000</v>
      </c>
      <c r="D16" s="17" t="str">
        <f>IFERROR(__xludf.DUMMYFUNCTION("""COMPUTED_VALUE"""),"Mid")</f>
        <v>Mid</v>
      </c>
      <c r="E16" s="18" t="str">
        <f>IFERROR(__xludf.DUMMYFUNCTION("""COMPUTED_VALUE"""),"willenlen")</f>
        <v>willenlen</v>
      </c>
      <c r="F16" s="19">
        <f>IFERROR(__xludf.DUMMYFUNCTION("""COMPUTED_VALUE"""),2400000.0)</f>
        <v>2400000</v>
      </c>
      <c r="G16" s="17" t="str">
        <f>IFERROR(__xludf.DUMMYFUNCTION("""COMPUTED_VALUE"""),"Mega")</f>
        <v>Mega</v>
      </c>
      <c r="H16" s="17" t="str">
        <f>IFERROR(__xludf.DUMMYFUNCTION("""COMPUTED_VALUE"""),"Tangerang")</f>
        <v>Tangerang</v>
      </c>
      <c r="I16" s="17" t="str">
        <f>IFERROR(__xludf.DUMMYFUNCTION("""COMPUTED_VALUE"""),"- FnB")</f>
        <v>- FnB</v>
      </c>
      <c r="J16" s="20">
        <f>IFERROR(__xludf.DUMMYFUNCTION("""COMPUTED_VALUE"""),500000.0)</f>
        <v>500000</v>
      </c>
      <c r="K16" s="20">
        <f>IFERROR(__xludf.DUMMYFUNCTION("""COMPUTED_VALUE"""),500000.0)</f>
        <v>500000</v>
      </c>
      <c r="L16" s="20" t="str">
        <f>IFERROR(__xludf.DUMMYFUNCTION("""COMPUTED_VALUE"""),"Rp1,350,000 (3 story)")</f>
        <v>Rp1,350,000 (3 story)</v>
      </c>
      <c r="M16" s="20">
        <f>IFERROR(__xludf.DUMMYFUNCTION("""COMPUTED_VALUE"""),500000.0)</f>
        <v>500000</v>
      </c>
      <c r="N16" s="20">
        <f>IFERROR(__xludf.DUMMYFUNCTION("""COMPUTED_VALUE"""),4000000.0)</f>
        <v>4000000</v>
      </c>
      <c r="O16" s="17" t="str">
        <f>IFERROR(__xludf.DUMMYFUNCTION("""COMPUTED_VALUE"""),"+Rp500,000/slide")</f>
        <v>+Rp500,000/slide</v>
      </c>
      <c r="P16" s="20">
        <f>IFERROR(__xludf.DUMMYFUNCTION("""COMPUTED_VALUE"""),5000000.0)</f>
        <v>5000000</v>
      </c>
      <c r="Q16" s="20" t="str">
        <f>IFERROR(__xludf.DUMMYFUNCTION("""COMPUTED_VALUE"""),"FREE")</f>
        <v>FREE</v>
      </c>
      <c r="R16" s="20">
        <f>IFERROR(__xludf.DUMMYFUNCTION("""COMPUTED_VALUE"""),8000000.0)</f>
        <v>8000000</v>
      </c>
      <c r="S16" s="20">
        <f>IFERROR(__xludf.DUMMYFUNCTION("""COMPUTED_VALUE"""),1.0E7)</f>
        <v>10000000</v>
      </c>
      <c r="T16" s="20" t="str">
        <f>IFERROR(__xludf.DUMMYFUNCTION("""COMPUTED_VALUE"""),"Rp1,000,000/jam")</f>
        <v>Rp1,000,000/jam</v>
      </c>
      <c r="U16" s="21">
        <f>IFERROR(__xludf.DUMMYFUNCTION("""COMPUTED_VALUE"""),0.4)</f>
        <v>0.4</v>
      </c>
      <c r="V16" s="20" t="str">
        <f>IFERROR(__xludf.DUMMYFUNCTION("""COMPUTED_VALUE"""),"Free one month
Rp500,000/month")</f>
        <v>Free one month
Rp500,000/month</v>
      </c>
      <c r="W16" s="20" t="str">
        <f>IFERROR(__xludf.DUMMYFUNCTION("""COMPUTED_VALUE"""),"Rp500,000/month")</f>
        <v>Rp500,000/month</v>
      </c>
      <c r="X16" s="20" t="str">
        <f>IFERROR(__xludf.DUMMYFUNCTION("""COMPUTED_VALUE"""),"Jakarta Rp700,000
Tangerang Rp500,000")</f>
        <v>Jakarta Rp700,000
Tangerang Rp500,000</v>
      </c>
      <c r="Y16" s="20">
        <f>IFERROR(__xludf.DUMMYFUNCTION("""COMPUTED_VALUE"""),7000000.0)</f>
        <v>7000000</v>
      </c>
    </row>
    <row r="17">
      <c r="A17" s="17">
        <f>IFERROR(__xludf.DUMMYFUNCTION("""COMPUTED_VALUE"""),14.0)</f>
        <v>14</v>
      </c>
      <c r="B17" s="18" t="str">
        <f>IFERROR(__xludf.DUMMYFUNCTION("""COMPUTED_VALUE"""),"fazmifebriana_")</f>
        <v>fazmifebriana_</v>
      </c>
      <c r="C17" s="23">
        <f>IFERROR(__xludf.DUMMYFUNCTION("""COMPUTED_VALUE"""),457000.0)</f>
        <v>457000</v>
      </c>
      <c r="D17" s="17" t="str">
        <f>IFERROR(__xludf.DUMMYFUNCTION("""COMPUTED_VALUE"""),"Mid")</f>
        <v>Mid</v>
      </c>
      <c r="E17" s="18" t="str">
        <f>IFERROR(__xludf.DUMMYFUNCTION("""COMPUTED_VALUE"""),"fazmif_")</f>
        <v>fazmif_</v>
      </c>
      <c r="F17" s="23">
        <f>IFERROR(__xludf.DUMMYFUNCTION("""COMPUTED_VALUE"""),779900.0)</f>
        <v>779900</v>
      </c>
      <c r="G17" s="17" t="str">
        <f>IFERROR(__xludf.DUMMYFUNCTION("""COMPUTED_VALUE"""),"Macro")</f>
        <v>Macro</v>
      </c>
      <c r="H17" s="17" t="str">
        <f>IFERROR(__xludf.DUMMYFUNCTION("""COMPUTED_VALUE"""),"Bogor")</f>
        <v>Bogor</v>
      </c>
      <c r="I17" s="17" t="str">
        <f>IFERROR(__xludf.DUMMYFUNCTION("""COMPUTED_VALUE"""),"- Lifestyle Male
- Fashion Pria")</f>
        <v>- Lifestyle Male
- Fashion Pria</v>
      </c>
      <c r="J17" s="20">
        <f>IFERROR(__xludf.DUMMYFUNCTION("""COMPUTED_VALUE"""),2500000.0)</f>
        <v>2500000</v>
      </c>
      <c r="K17" s="20">
        <f>IFERROR(__xludf.DUMMYFUNCTION("""COMPUTED_VALUE"""),3500000.0)</f>
        <v>3500000</v>
      </c>
      <c r="L17" s="17"/>
      <c r="M17" s="20" t="str">
        <f>IFERROR(__xludf.DUMMYFUNCTION("""COMPUTED_VALUE"""),"FREE")</f>
        <v>FREE</v>
      </c>
      <c r="N17" s="17"/>
      <c r="O17" s="20">
        <f>IFERROR(__xludf.DUMMYFUNCTION("""COMPUTED_VALUE"""),6000000.0)</f>
        <v>6000000</v>
      </c>
      <c r="P17" s="20">
        <f>IFERROR(__xludf.DUMMYFUNCTION("""COMPUTED_VALUE"""),7000000.0)</f>
        <v>7000000</v>
      </c>
      <c r="Q17" s="20" t="str">
        <f>IFERROR(__xludf.DUMMYFUNCTION("""COMPUTED_VALUE"""),"FREE")</f>
        <v>FREE</v>
      </c>
      <c r="R17" s="20">
        <f>IFERROR(__xludf.DUMMYFUNCTION("""COMPUTED_VALUE"""),8000000.0)</f>
        <v>8000000</v>
      </c>
      <c r="S17" s="20">
        <f>IFERROR(__xludf.DUMMYFUNCTION("""COMPUTED_VALUE"""),1.3E7)</f>
        <v>13000000</v>
      </c>
      <c r="T17" s="20">
        <f>IFERROR(__xludf.DUMMYFUNCTION("""COMPUTED_VALUE"""),1000000.0)</f>
        <v>1000000</v>
      </c>
      <c r="U17" s="20">
        <f>IFERROR(__xludf.DUMMYFUNCTION("""COMPUTED_VALUE"""),1000000.0)</f>
        <v>1000000</v>
      </c>
      <c r="V17" s="20" t="str">
        <f>IFERROR(__xludf.DUMMYFUNCTION("""COMPUTED_VALUE"""),"7D: FREE
30D: Rp500,000
60D: Rp750,000")</f>
        <v>7D: FREE
30D: Rp500,000
60D: Rp750,000</v>
      </c>
      <c r="W17" s="20">
        <f>IFERROR(__xludf.DUMMYFUNCTION("""COMPUTED_VALUE"""),500000.0)</f>
        <v>500000</v>
      </c>
      <c r="X17" s="20" t="str">
        <f>IFERROR(__xludf.DUMMYFUNCTION("""COMPUTED_VALUE"""),"Feeds: Rp8,000,000
Reels/TikTok: Rp9,000,000")</f>
        <v>Feeds: Rp8,000,000
Reels/TikTok: Rp9,000,000</v>
      </c>
      <c r="Y17" s="17"/>
    </row>
    <row r="18">
      <c r="A18" s="17">
        <f>IFERROR(__xludf.DUMMYFUNCTION("""COMPUTED_VALUE"""),15.0)</f>
        <v>15</v>
      </c>
      <c r="B18" s="18" t="str">
        <f>IFERROR(__xludf.DUMMYFUNCTION("""COMPUTED_VALUE"""),"aisyafputri")</f>
        <v>aisyafputri</v>
      </c>
      <c r="C18" s="23">
        <f>IFERROR(__xludf.DUMMYFUNCTION("""COMPUTED_VALUE"""),456000.0)</f>
        <v>456000</v>
      </c>
      <c r="D18" s="17" t="str">
        <f>IFERROR(__xludf.DUMMYFUNCTION("""COMPUTED_VALUE"""),"Mid")</f>
        <v>Mid</v>
      </c>
      <c r="E18" s="18" t="str">
        <f>IFERROR(__xludf.DUMMYFUNCTION("""COMPUTED_VALUE"""),"aisyafputri")</f>
        <v>aisyafputri</v>
      </c>
      <c r="F18" s="19">
        <f>IFERROR(__xludf.DUMMYFUNCTION("""COMPUTED_VALUE"""),986500.0)</f>
        <v>986500</v>
      </c>
      <c r="G18" s="17" t="str">
        <f>IFERROR(__xludf.DUMMYFUNCTION("""COMPUTED_VALUE"""),"Macro")</f>
        <v>Macro</v>
      </c>
      <c r="H18" s="17" t="str">
        <f>IFERROR(__xludf.DUMMYFUNCTION("""COMPUTED_VALUE"""),"Bogor")</f>
        <v>Bogor</v>
      </c>
      <c r="I18" s="17" t="str">
        <f>IFERROR(__xludf.DUMMYFUNCTION("""COMPUTED_VALUE"""),"- Lifestyle Female 
- Pasutri
- Family
- Mom &amp; Kids")</f>
        <v>- Lifestyle Female 
- Pasutri
- Family
- Mom &amp; Kids</v>
      </c>
      <c r="J18" s="20">
        <f>IFERROR(__xludf.DUMMYFUNCTION("""COMPUTED_VALUE"""),500000.0)</f>
        <v>500000</v>
      </c>
      <c r="K18" s="20">
        <f>IFERROR(__xludf.DUMMYFUNCTION("""COMPUTED_VALUE"""),3000000.0)</f>
        <v>3000000</v>
      </c>
      <c r="L18" s="20">
        <f>IFERROR(__xludf.DUMMYFUNCTION("""COMPUTED_VALUE"""),5000000.0)</f>
        <v>5000000</v>
      </c>
      <c r="M18" s="20" t="str">
        <f>IFERROR(__xludf.DUMMYFUNCTION("""COMPUTED_VALUE"""),"FREE")</f>
        <v>FREE</v>
      </c>
      <c r="N18" s="20">
        <f>IFERROR(__xludf.DUMMYFUNCTION("""COMPUTED_VALUE"""),4500000.0)</f>
        <v>4500000</v>
      </c>
      <c r="O18" s="20">
        <f>IFERROR(__xludf.DUMMYFUNCTION("""COMPUTED_VALUE"""),5000000.0)</f>
        <v>5000000</v>
      </c>
      <c r="P18" s="20">
        <f>IFERROR(__xludf.DUMMYFUNCTION("""COMPUTED_VALUE"""),7500000.0)</f>
        <v>7500000</v>
      </c>
      <c r="Q18" s="20" t="str">
        <f>IFERROR(__xludf.DUMMYFUNCTION("""COMPUTED_VALUE"""),"FREE")</f>
        <v>FREE</v>
      </c>
      <c r="R18" s="20">
        <f>IFERROR(__xludf.DUMMYFUNCTION("""COMPUTED_VALUE"""),7000000.0)</f>
        <v>7000000</v>
      </c>
      <c r="S18" s="20">
        <f>IFERROR(__xludf.DUMMYFUNCTION("""COMPUTED_VALUE"""),3000000.0)</f>
        <v>3000000</v>
      </c>
      <c r="T18" s="17"/>
      <c r="U18" s="20">
        <f>IFERROR(__xludf.DUMMYFUNCTION("""COMPUTED_VALUE"""),3000000.0)</f>
        <v>3000000</v>
      </c>
      <c r="V18" s="20">
        <f>IFERROR(__xludf.DUMMYFUNCTION("""COMPUTED_VALUE"""),1500000.0)</f>
        <v>1500000</v>
      </c>
      <c r="W18" s="20">
        <f>IFERROR(__xludf.DUMMYFUNCTION("""COMPUTED_VALUE"""),500000.0)</f>
        <v>500000</v>
      </c>
      <c r="X18" s="20">
        <f>IFERROR(__xludf.DUMMYFUNCTION("""COMPUTED_VALUE"""),1500000.0)</f>
        <v>1500000</v>
      </c>
      <c r="Y18" s="17"/>
    </row>
    <row r="19">
      <c r="A19" s="17">
        <f>IFERROR(__xludf.DUMMYFUNCTION("""COMPUTED_VALUE"""),16.0)</f>
        <v>16</v>
      </c>
      <c r="B19" s="18" t="str">
        <f>IFERROR(__xludf.DUMMYFUNCTION("""COMPUTED_VALUE"""),"aisyah_putri17")</f>
        <v>aisyah_putri17</v>
      </c>
      <c r="C19" s="23">
        <f>IFERROR(__xludf.DUMMYFUNCTION("""COMPUTED_VALUE"""),440000.0)</f>
        <v>440000</v>
      </c>
      <c r="D19" s="17" t="str">
        <f>IFERROR(__xludf.DUMMYFUNCTION("""COMPUTED_VALUE"""),"Mid")</f>
        <v>Mid</v>
      </c>
      <c r="E19" s="18" t="str">
        <f>IFERROR(__xludf.DUMMYFUNCTION("""COMPUTED_VALUE"""),"aisyah_wanitakalem")</f>
        <v>aisyah_wanitakalem</v>
      </c>
      <c r="F19" s="19">
        <f>IFERROR(__xludf.DUMMYFUNCTION("""COMPUTED_VALUE"""),2200000.0)</f>
        <v>2200000</v>
      </c>
      <c r="G19" s="17" t="str">
        <f>IFERROR(__xludf.DUMMYFUNCTION("""COMPUTED_VALUE"""),"Mega")</f>
        <v>Mega</v>
      </c>
      <c r="H19" s="17" t="str">
        <f>IFERROR(__xludf.DUMMYFUNCTION("""COMPUTED_VALUE"""),"Jakarta")</f>
        <v>Jakarta</v>
      </c>
      <c r="I19" s="17" t="str">
        <f>IFERROR(__xludf.DUMMYFUNCTION("""COMPUTED_VALUE"""),"- Lifestyle Female
- Comedy")</f>
        <v>- Lifestyle Female
- Comedy</v>
      </c>
      <c r="J19" s="17"/>
      <c r="K19" s="20">
        <f>IFERROR(__xludf.DUMMYFUNCTION("""COMPUTED_VALUE"""),2000000.0)</f>
        <v>2000000</v>
      </c>
      <c r="L19" s="20">
        <f>IFERROR(__xludf.DUMMYFUNCTION("""COMPUTED_VALUE"""),3500000.0)</f>
        <v>3500000</v>
      </c>
      <c r="M19" s="20" t="str">
        <f>IFERROR(__xludf.DUMMYFUNCTION("""COMPUTED_VALUE"""),"FREE")</f>
        <v>FREE</v>
      </c>
      <c r="N19" s="20">
        <f>IFERROR(__xludf.DUMMYFUNCTION("""COMPUTED_VALUE"""),5000000.0)</f>
        <v>5000000</v>
      </c>
      <c r="O19" s="20">
        <f>IFERROR(__xludf.DUMMYFUNCTION("""COMPUTED_VALUE"""),7000000.0)</f>
        <v>7000000</v>
      </c>
      <c r="P19" s="20">
        <f>IFERROR(__xludf.DUMMYFUNCTION("""COMPUTED_VALUE"""),1.0E7)</f>
        <v>10000000</v>
      </c>
      <c r="Q19" s="20">
        <f>IFERROR(__xludf.DUMMYFUNCTION("""COMPUTED_VALUE"""),1000000.0)</f>
        <v>1000000</v>
      </c>
      <c r="R19" s="20">
        <f>IFERROR(__xludf.DUMMYFUNCTION("""COMPUTED_VALUE"""),1.5E7)</f>
        <v>15000000</v>
      </c>
      <c r="S19" s="20">
        <f>IFERROR(__xludf.DUMMYFUNCTION("""COMPUTED_VALUE"""),2.0E7)</f>
        <v>20000000</v>
      </c>
      <c r="T19" s="20">
        <f>IFERROR(__xludf.DUMMYFUNCTION("""COMPUTED_VALUE"""),6000000.0)</f>
        <v>6000000</v>
      </c>
      <c r="U19" s="21">
        <f>IFERROR(__xludf.DUMMYFUNCTION("""COMPUTED_VALUE"""),1.0)</f>
        <v>1</v>
      </c>
      <c r="V19" s="20">
        <f>IFERROR(__xludf.DUMMYFUNCTION("""COMPUTED_VALUE"""),1000000.0)</f>
        <v>1000000</v>
      </c>
      <c r="W19" s="20">
        <f>IFERROR(__xludf.DUMMYFUNCTION("""COMPUTED_VALUE"""),1000000.0)</f>
        <v>1000000</v>
      </c>
      <c r="X19" s="20">
        <f>IFERROR(__xludf.DUMMYFUNCTION("""COMPUTED_VALUE"""),3000000.0)</f>
        <v>3000000</v>
      </c>
      <c r="Y19" s="17"/>
    </row>
    <row r="20">
      <c r="A20" s="17">
        <f>IFERROR(__xludf.DUMMYFUNCTION("""COMPUTED_VALUE"""),17.0)</f>
        <v>17</v>
      </c>
      <c r="B20" s="18" t="str">
        <f>IFERROR(__xludf.DUMMYFUNCTION("""COMPUTED_VALUE"""),"fauzanakhdan")</f>
        <v>fauzanakhdan</v>
      </c>
      <c r="C20" s="23">
        <f>IFERROR(__xludf.DUMMYFUNCTION("""COMPUTED_VALUE"""),465000.0)</f>
        <v>465000</v>
      </c>
      <c r="D20" s="17" t="str">
        <f>IFERROR(__xludf.DUMMYFUNCTION("""COMPUTED_VALUE"""),"Mid")</f>
        <v>Mid</v>
      </c>
      <c r="E20" s="18" t="str">
        <f>IFERROR(__xludf.DUMMYFUNCTION("""COMPUTED_VALUE"""),"fauzanakhdan")</f>
        <v>fauzanakhdan</v>
      </c>
      <c r="F20" s="23">
        <f>IFERROR(__xludf.DUMMYFUNCTION("""COMPUTED_VALUE"""),490200.0)</f>
        <v>490200</v>
      </c>
      <c r="G20" s="17" t="str">
        <f>IFERROR(__xludf.DUMMYFUNCTION("""COMPUTED_VALUE"""),"Mid")</f>
        <v>Mid</v>
      </c>
      <c r="H20" s="17" t="str">
        <f>IFERROR(__xludf.DUMMYFUNCTION("""COMPUTED_VALUE"""),"Bogor")</f>
        <v>Bogor</v>
      </c>
      <c r="I20" s="17" t="str">
        <f>IFERROR(__xludf.DUMMYFUNCTION("""COMPUTED_VALUE"""),"- Lifestyle Male
- Pasutri
- Family
- Fashion Pria")</f>
        <v>- Lifestyle Male
- Pasutri
- Family
- Fashion Pria</v>
      </c>
      <c r="J20" s="20">
        <f>IFERROR(__xludf.DUMMYFUNCTION("""COMPUTED_VALUE"""),2500000.0)</f>
        <v>2500000</v>
      </c>
      <c r="K20" s="20">
        <f>IFERROR(__xludf.DUMMYFUNCTION("""COMPUTED_VALUE"""),2500000.0)</f>
        <v>2500000</v>
      </c>
      <c r="L20" s="20">
        <f>IFERROR(__xludf.DUMMYFUNCTION("""COMPUTED_VALUE"""),7500000.0)</f>
        <v>7500000</v>
      </c>
      <c r="M20" s="20" t="str">
        <f>IFERROR(__xludf.DUMMYFUNCTION("""COMPUTED_VALUE"""),"FREE")</f>
        <v>FREE</v>
      </c>
      <c r="N20" s="20">
        <f>IFERROR(__xludf.DUMMYFUNCTION("""COMPUTED_VALUE"""),4000000.0)</f>
        <v>4000000</v>
      </c>
      <c r="O20" s="20">
        <f>IFERROR(__xludf.DUMMYFUNCTION("""COMPUTED_VALUE"""),7500000.0)</f>
        <v>7500000</v>
      </c>
      <c r="P20" s="20">
        <f>IFERROR(__xludf.DUMMYFUNCTION("""COMPUTED_VALUE"""),9000000.0)</f>
        <v>9000000</v>
      </c>
      <c r="Q20" s="20">
        <f>IFERROR(__xludf.DUMMYFUNCTION("""COMPUTED_VALUE"""),2000000.0)</f>
        <v>2000000</v>
      </c>
      <c r="R20" s="20">
        <f>IFERROR(__xludf.DUMMYFUNCTION("""COMPUTED_VALUE"""),8000000.0)</f>
        <v>8000000</v>
      </c>
      <c r="S20" s="20">
        <f>IFERROR(__xludf.DUMMYFUNCTION("""COMPUTED_VALUE"""),1.3E7)</f>
        <v>13000000</v>
      </c>
      <c r="T20" s="17"/>
      <c r="U20" s="20">
        <f>IFERROR(__xludf.DUMMYFUNCTION("""COMPUTED_VALUE"""),3000000.0)</f>
        <v>3000000</v>
      </c>
      <c r="V20" s="20">
        <f>IFERROR(__xludf.DUMMYFUNCTION("""COMPUTED_VALUE"""),1000000.0)</f>
        <v>1000000</v>
      </c>
      <c r="W20" s="20">
        <f>IFERROR(__xludf.DUMMYFUNCTION("""COMPUTED_VALUE"""),3000000.0)</f>
        <v>3000000</v>
      </c>
      <c r="X20" s="20">
        <f>IFERROR(__xludf.DUMMYFUNCTION("""COMPUTED_VALUE"""),4000000.0)</f>
        <v>4000000</v>
      </c>
      <c r="Y20" s="17"/>
    </row>
    <row r="21">
      <c r="A21" s="17">
        <f>IFERROR(__xludf.DUMMYFUNCTION("""COMPUTED_VALUE"""),18.0)</f>
        <v>18</v>
      </c>
      <c r="B21" s="18" t="str">
        <f>IFERROR(__xludf.DUMMYFUNCTION("""COMPUTED_VALUE"""),"nabilabellai_")</f>
        <v>nabilabellai_</v>
      </c>
      <c r="C21" s="23">
        <f>IFERROR(__xludf.DUMMYFUNCTION("""COMPUTED_VALUE"""),420000.0)</f>
        <v>420000</v>
      </c>
      <c r="D21" s="17" t="str">
        <f>IFERROR(__xludf.DUMMYFUNCTION("""COMPUTED_VALUE"""),"Mid")</f>
        <v>Mid</v>
      </c>
      <c r="E21" s="18" t="str">
        <f>IFERROR(__xludf.DUMMYFUNCTION("""COMPUTED_VALUE"""),"nabilabellai_")</f>
        <v>nabilabellai_</v>
      </c>
      <c r="F21" s="23">
        <f>IFERROR(__xludf.DUMMYFUNCTION("""COMPUTED_VALUE"""),106700.0)</f>
        <v>106700</v>
      </c>
      <c r="G21" s="17" t="str">
        <f>IFERROR(__xludf.DUMMYFUNCTION("""COMPUTED_VALUE"""),"Mid")</f>
        <v>Mid</v>
      </c>
      <c r="H21" s="17" t="str">
        <f>IFERROR(__xludf.DUMMYFUNCTION("""COMPUTED_VALUE"""),"Bandung")</f>
        <v>Bandung</v>
      </c>
      <c r="I21" s="17" t="str">
        <f>IFERROR(__xludf.DUMMYFUNCTION("""COMPUTED_VALUE"""),"- Lifestyle Female
- Fashion Wanita
- Mom &amp; Kids")</f>
        <v>- Lifestyle Female
- Fashion Wanita
- Mom &amp; Kids</v>
      </c>
      <c r="J21" s="20">
        <f>IFERROR(__xludf.DUMMYFUNCTION("""COMPUTED_VALUE"""),600000.0)</f>
        <v>600000</v>
      </c>
      <c r="K21" s="20">
        <f>IFERROR(__xludf.DUMMYFUNCTION("""COMPUTED_VALUE"""),7000000.0)</f>
        <v>7000000</v>
      </c>
      <c r="L21" s="20">
        <f>IFERROR(__xludf.DUMMYFUNCTION("""COMPUTED_VALUE"""),8000000.0)</f>
        <v>8000000</v>
      </c>
      <c r="M21" s="20" t="str">
        <f>IFERROR(__xludf.DUMMYFUNCTION("""COMPUTED_VALUE"""),"FREE")</f>
        <v>FREE</v>
      </c>
      <c r="N21" s="20">
        <f>IFERROR(__xludf.DUMMYFUNCTION("""COMPUTED_VALUE"""),7000000.0)</f>
        <v>7000000</v>
      </c>
      <c r="O21" s="20">
        <f>IFERROR(__xludf.DUMMYFUNCTION("""COMPUTED_VALUE"""),8000000.0)</f>
        <v>8000000</v>
      </c>
      <c r="P21" s="20">
        <f>IFERROR(__xludf.DUMMYFUNCTION("""COMPUTED_VALUE"""),1.5E7)</f>
        <v>15000000</v>
      </c>
      <c r="Q21" s="20" t="str">
        <f>IFERROR(__xludf.DUMMYFUNCTION("""COMPUTED_VALUE"""),"FREE")</f>
        <v>FREE</v>
      </c>
      <c r="R21" s="20">
        <f>IFERROR(__xludf.DUMMYFUNCTION("""COMPUTED_VALUE"""),8000000.0)</f>
        <v>8000000</v>
      </c>
      <c r="S21" s="20">
        <f>IFERROR(__xludf.DUMMYFUNCTION("""COMPUTED_VALUE"""),1.5E7)</f>
        <v>15000000</v>
      </c>
      <c r="T21" s="20">
        <f>IFERROR(__xludf.DUMMYFUNCTION("""COMPUTED_VALUE"""),5000000.0)</f>
        <v>5000000</v>
      </c>
      <c r="U21" s="20" t="str">
        <f>IFERROR(__xludf.DUMMYFUNCTION("""COMPUTED_VALUE"""),"FREE")</f>
        <v>FREE</v>
      </c>
      <c r="V21" s="20" t="str">
        <f>IFERROR(__xludf.DUMMYFUNCTION("""COMPUTED_VALUE"""),"Pake Code Boost")</f>
        <v>Pake Code Boost</v>
      </c>
      <c r="W21" s="20">
        <f>IFERROR(__xludf.DUMMYFUNCTION("""COMPUTED_VALUE"""),1000000.0)</f>
        <v>1000000</v>
      </c>
      <c r="X21" s="20">
        <f>IFERROR(__xludf.DUMMYFUNCTION("""COMPUTED_VALUE"""),5000000.0)</f>
        <v>5000000</v>
      </c>
      <c r="Y21" s="17"/>
    </row>
    <row r="22">
      <c r="A22" s="17">
        <f>IFERROR(__xludf.DUMMYFUNCTION("""COMPUTED_VALUE"""),19.0)</f>
        <v>19</v>
      </c>
      <c r="B22" s="18" t="str">
        <f>IFERROR(__xludf.DUMMYFUNCTION("""COMPUTED_VALUE"""),"seviqfebinita")</f>
        <v>seviqfebinita</v>
      </c>
      <c r="C22" s="23">
        <f>IFERROR(__xludf.DUMMYFUNCTION("""COMPUTED_VALUE"""),417000.0)</f>
        <v>417000</v>
      </c>
      <c r="D22" s="17" t="str">
        <f>IFERROR(__xludf.DUMMYFUNCTION("""COMPUTED_VALUE"""),"Mid")</f>
        <v>Mid</v>
      </c>
      <c r="E22" s="18" t="str">
        <f>IFERROR(__xludf.DUMMYFUNCTION("""COMPUTED_VALUE"""),"seviqfebinita")</f>
        <v>seviqfebinita</v>
      </c>
      <c r="F22" s="23">
        <f>IFERROR(__xludf.DUMMYFUNCTION("""COMPUTED_VALUE"""),103500.0)</f>
        <v>103500</v>
      </c>
      <c r="G22" s="17" t="str">
        <f>IFERROR(__xludf.DUMMYFUNCTION("""COMPUTED_VALUE"""),"Mid")</f>
        <v>Mid</v>
      </c>
      <c r="H22" s="17" t="str">
        <f>IFERROR(__xludf.DUMMYFUNCTION("""COMPUTED_VALUE"""),"Jakarta")</f>
        <v>Jakarta</v>
      </c>
      <c r="I22" s="17" t="str">
        <f>IFERROR(__xludf.DUMMYFUNCTION("""COMPUTED_VALUE"""),"- Lifestyle Female
- Fashion Wanita
- Mom &amp; Kids")</f>
        <v>- Lifestyle Female
- Fashion Wanita
- Mom &amp; Kids</v>
      </c>
      <c r="J22" s="20">
        <f>IFERROR(__xludf.DUMMYFUNCTION("""COMPUTED_VALUE"""),1000000.0)</f>
        <v>1000000</v>
      </c>
      <c r="K22" s="20">
        <f>IFERROR(__xludf.DUMMYFUNCTION("""COMPUTED_VALUE"""),5000000.0)</f>
        <v>5000000</v>
      </c>
      <c r="L22" s="20">
        <f>IFERROR(__xludf.DUMMYFUNCTION("""COMPUTED_VALUE"""),7500000.0)</f>
        <v>7500000</v>
      </c>
      <c r="M22" s="20" t="str">
        <f>IFERROR(__xludf.DUMMYFUNCTION("""COMPUTED_VALUE"""),"FREE")</f>
        <v>FREE</v>
      </c>
      <c r="N22" s="20">
        <f>IFERROR(__xludf.DUMMYFUNCTION("""COMPUTED_VALUE"""),8000000.0)</f>
        <v>8000000</v>
      </c>
      <c r="O22" s="20">
        <f>IFERROR(__xludf.DUMMYFUNCTION("""COMPUTED_VALUE"""),1.0E7)</f>
        <v>10000000</v>
      </c>
      <c r="P22" s="20">
        <f>IFERROR(__xludf.DUMMYFUNCTION("""COMPUTED_VALUE"""),1.5E7)</f>
        <v>15000000</v>
      </c>
      <c r="Q22" s="20" t="str">
        <f>IFERROR(__xludf.DUMMYFUNCTION("""COMPUTED_VALUE"""),"FREE")</f>
        <v>FREE</v>
      </c>
      <c r="R22" s="20">
        <f>IFERROR(__xludf.DUMMYFUNCTION("""COMPUTED_VALUE"""),1.0E7)</f>
        <v>10000000</v>
      </c>
      <c r="S22" s="20">
        <f>IFERROR(__xludf.DUMMYFUNCTION("""COMPUTED_VALUE"""),2.0E7)</f>
        <v>20000000</v>
      </c>
      <c r="T22" s="20" t="str">
        <f>IFERROR(__xludf.DUMMYFUNCTION("""COMPUTED_VALUE"""),"Rp10,000,000/2 jam")</f>
        <v>Rp10,000,000/2 jam</v>
      </c>
      <c r="U22" s="17" t="str">
        <f>IFERROR(__xludf.DUMMYFUNCTION("""COMPUTED_VALUE"""),"+100%")</f>
        <v>+100%</v>
      </c>
      <c r="V22" s="20">
        <f>IFERROR(__xludf.DUMMYFUNCTION("""COMPUTED_VALUE"""),3000000.0)</f>
        <v>3000000</v>
      </c>
      <c r="W22" s="20">
        <f>IFERROR(__xludf.DUMMYFUNCTION("""COMPUTED_VALUE"""),3000000.0)</f>
        <v>3000000</v>
      </c>
      <c r="X22" s="20">
        <f>IFERROR(__xludf.DUMMYFUNCTION("""COMPUTED_VALUE"""),1.5E7)</f>
        <v>15000000</v>
      </c>
      <c r="Y22" s="17"/>
    </row>
    <row r="23">
      <c r="A23" s="17">
        <f>IFERROR(__xludf.DUMMYFUNCTION("""COMPUTED_VALUE"""),20.0)</f>
        <v>20</v>
      </c>
      <c r="B23" s="18" t="str">
        <f>IFERROR(__xludf.DUMMYFUNCTION("""COMPUTED_VALUE"""),"alminetaaz")</f>
        <v>alminetaaz</v>
      </c>
      <c r="C23" s="23">
        <f>IFERROR(__xludf.DUMMYFUNCTION("""COMPUTED_VALUE"""),382000.0)</f>
        <v>382000</v>
      </c>
      <c r="D23" s="17" t="str">
        <f>IFERROR(__xludf.DUMMYFUNCTION("""COMPUTED_VALUE"""),"Mid")</f>
        <v>Mid</v>
      </c>
      <c r="E23" s="18" t="str">
        <f>IFERROR(__xludf.DUMMYFUNCTION("""COMPUTED_VALUE"""),"almineta")</f>
        <v>almineta</v>
      </c>
      <c r="F23" s="19">
        <f>IFERROR(__xludf.DUMMYFUNCTION("""COMPUTED_VALUE"""),2800000.0)</f>
        <v>2800000</v>
      </c>
      <c r="G23" s="17" t="str">
        <f>IFERROR(__xludf.DUMMYFUNCTION("""COMPUTED_VALUE"""),"Mega")</f>
        <v>Mega</v>
      </c>
      <c r="H23" s="17" t="str">
        <f>IFERROR(__xludf.DUMMYFUNCTION("""COMPUTED_VALUE"""),"Jakarta")</f>
        <v>Jakarta</v>
      </c>
      <c r="I23" s="17" t="str">
        <f>IFERROR(__xludf.DUMMYFUNCTION("""COMPUTED_VALUE"""),"- Fashion Wanita
- Lifestyle Female
- Pasutri
- Beauty")</f>
        <v>- Fashion Wanita
- Lifestyle Female
- Pasutri
- Beauty</v>
      </c>
      <c r="J23" s="20">
        <f>IFERROR(__xludf.DUMMYFUNCTION("""COMPUTED_VALUE"""),1500000.0)</f>
        <v>1500000</v>
      </c>
      <c r="K23" s="20">
        <f>IFERROR(__xludf.DUMMYFUNCTION("""COMPUTED_VALUE"""),5500000.0)</f>
        <v>5500000</v>
      </c>
      <c r="L23" s="20">
        <f>IFERROR(__xludf.DUMMYFUNCTION("""COMPUTED_VALUE"""),7000000.0)</f>
        <v>7000000</v>
      </c>
      <c r="M23" s="20" t="str">
        <f>IFERROR(__xludf.DUMMYFUNCTION("""COMPUTED_VALUE"""),"FREE")</f>
        <v>FREE</v>
      </c>
      <c r="N23" s="20">
        <f>IFERROR(__xludf.DUMMYFUNCTION("""COMPUTED_VALUE"""),4500000.0)</f>
        <v>4500000</v>
      </c>
      <c r="O23" s="20" t="str">
        <f>IFERROR(__xludf.DUMMYFUNCTION("""COMPUTED_VALUE"""),"Rp700,000/slide")</f>
        <v>Rp700,000/slide</v>
      </c>
      <c r="P23" s="20">
        <f>IFERROR(__xludf.DUMMYFUNCTION("""COMPUTED_VALUE"""),1.2E7)</f>
        <v>12000000</v>
      </c>
      <c r="Q23" s="20">
        <f>IFERROR(__xludf.DUMMYFUNCTION("""COMPUTED_VALUE"""),1500000.0)</f>
        <v>1500000</v>
      </c>
      <c r="R23" s="20">
        <f>IFERROR(__xludf.DUMMYFUNCTION("""COMPUTED_VALUE"""),2.2E7)</f>
        <v>22000000</v>
      </c>
      <c r="S23" s="20">
        <f>IFERROR(__xludf.DUMMYFUNCTION("""COMPUTED_VALUE"""),1.0E7)</f>
        <v>10000000</v>
      </c>
      <c r="T23" s="20">
        <f>IFERROR(__xludf.DUMMYFUNCTION("""COMPUTED_VALUE"""),1.0E7)</f>
        <v>10000000</v>
      </c>
      <c r="U23" s="20">
        <f>IFERROR(__xludf.DUMMYFUNCTION("""COMPUTED_VALUE"""),3.5E7)</f>
        <v>35000000</v>
      </c>
      <c r="V23" s="21">
        <f>IFERROR(__xludf.DUMMYFUNCTION("""COMPUTED_VALUE"""),0.5)</f>
        <v>0.5</v>
      </c>
      <c r="W23" s="20">
        <f>IFERROR(__xludf.DUMMYFUNCTION("""COMPUTED_VALUE"""),1500000.0)</f>
        <v>1500000</v>
      </c>
      <c r="X23" s="20">
        <f>IFERROR(__xludf.DUMMYFUNCTION("""COMPUTED_VALUE"""),3000000.0)</f>
        <v>3000000</v>
      </c>
      <c r="Y23" s="17"/>
    </row>
    <row r="24">
      <c r="A24" s="17">
        <f>IFERROR(__xludf.DUMMYFUNCTION("""COMPUTED_VALUE"""),21.0)</f>
        <v>21</v>
      </c>
      <c r="B24" s="18" t="str">
        <f>IFERROR(__xludf.DUMMYFUNCTION("""COMPUTED_VALUE"""),"elyanisa_")</f>
        <v>elyanisa_</v>
      </c>
      <c r="C24" s="23">
        <f>IFERROR(__xludf.DUMMYFUNCTION("""COMPUTED_VALUE"""),379000.0)</f>
        <v>379000</v>
      </c>
      <c r="D24" s="17" t="str">
        <f>IFERROR(__xludf.DUMMYFUNCTION("""COMPUTED_VALUE"""),"Mid")</f>
        <v>Mid</v>
      </c>
      <c r="E24" s="18" t="str">
        <f>IFERROR(__xludf.DUMMYFUNCTION("""COMPUTED_VALUE"""),"elyanisaa")</f>
        <v>elyanisaa</v>
      </c>
      <c r="F24" s="23">
        <f>IFERROR(__xludf.DUMMYFUNCTION("""COMPUTED_VALUE"""),72500.0)</f>
        <v>72500</v>
      </c>
      <c r="G24" s="17" t="str">
        <f>IFERROR(__xludf.DUMMYFUNCTION("""COMPUTED_VALUE"""),"Micro")</f>
        <v>Micro</v>
      </c>
      <c r="H24" s="17" t="str">
        <f>IFERROR(__xludf.DUMMYFUNCTION("""COMPUTED_VALUE"""),"Cimahi")</f>
        <v>Cimahi</v>
      </c>
      <c r="I24" s="17" t="str">
        <f>IFERROR(__xludf.DUMMYFUNCTION("""COMPUTED_VALUE"""),"- Lifestyle Female
- Fashion Wanita
- Mom &amp; Kids")</f>
        <v>- Lifestyle Female
- Fashion Wanita
- Mom &amp; Kids</v>
      </c>
      <c r="J24" s="20">
        <f>IFERROR(__xludf.DUMMYFUNCTION("""COMPUTED_VALUE"""),200000.0)</f>
        <v>200000</v>
      </c>
      <c r="K24" s="20">
        <f>IFERROR(__xludf.DUMMYFUNCTION("""COMPUTED_VALUE"""),1500000.0)</f>
        <v>1500000</v>
      </c>
      <c r="L24" s="17"/>
      <c r="M24" s="20" t="str">
        <f>IFERROR(__xludf.DUMMYFUNCTION("""COMPUTED_VALUE"""),"FREE")</f>
        <v>FREE</v>
      </c>
      <c r="N24" s="20">
        <f>IFERROR(__xludf.DUMMYFUNCTION("""COMPUTED_VALUE"""),3000000.0)</f>
        <v>3000000</v>
      </c>
      <c r="O24" s="17"/>
      <c r="P24" s="20">
        <f>IFERROR(__xludf.DUMMYFUNCTION("""COMPUTED_VALUE"""),8000000.0)</f>
        <v>8000000</v>
      </c>
      <c r="Q24" s="20" t="str">
        <f>IFERROR(__xludf.DUMMYFUNCTION("""COMPUTED_VALUE"""),"FREE")</f>
        <v>FREE</v>
      </c>
      <c r="R24" s="20">
        <f>IFERROR(__xludf.DUMMYFUNCTION("""COMPUTED_VALUE"""),3000000.0)</f>
        <v>3000000</v>
      </c>
      <c r="S24" s="20">
        <f>IFERROR(__xludf.DUMMYFUNCTION("""COMPUTED_VALUE"""),8000000.0)</f>
        <v>8000000</v>
      </c>
      <c r="T24" s="17"/>
      <c r="U24" s="17"/>
      <c r="V24" s="17"/>
      <c r="W24" s="17"/>
      <c r="X24" s="17" t="str">
        <f>IFERROR(__xludf.DUMMYFUNCTION("""COMPUTED_VALUE"""),"+Rp1,000,000 - Rp3,000,000")</f>
        <v>+Rp1,000,000 - Rp3,000,000</v>
      </c>
      <c r="Y24" s="17"/>
    </row>
    <row r="25">
      <c r="A25" s="17">
        <f>IFERROR(__xludf.DUMMYFUNCTION("""COMPUTED_VALUE"""),22.0)</f>
        <v>22</v>
      </c>
      <c r="B25" s="18" t="str">
        <f>IFERROR(__xludf.DUMMYFUNCTION("""COMPUTED_VALUE"""),"bellzky16")</f>
        <v>bellzky16</v>
      </c>
      <c r="C25" s="23">
        <f>IFERROR(__xludf.DUMMYFUNCTION("""COMPUTED_VALUE"""),315000.0)</f>
        <v>315000</v>
      </c>
      <c r="D25" s="17" t="str">
        <f>IFERROR(__xludf.DUMMYFUNCTION("""COMPUTED_VALUE"""),"Mid")</f>
        <v>Mid</v>
      </c>
      <c r="E25" s="24" t="str">
        <f>IFERROR(__xludf.DUMMYFUNCTION("""COMPUTED_VALUE"""),"bellzky16")</f>
        <v>bellzky16</v>
      </c>
      <c r="F25" s="19">
        <f>IFERROR(__xludf.DUMMYFUNCTION("""COMPUTED_VALUE"""),4000000.0)</f>
        <v>4000000</v>
      </c>
      <c r="G25" s="17" t="str">
        <f>IFERROR(__xludf.DUMMYFUNCTION("""COMPUTED_VALUE"""),"Mega")</f>
        <v>Mega</v>
      </c>
      <c r="H25" s="20" t="str">
        <f>IFERROR(__xludf.DUMMYFUNCTION("""COMPUTED_VALUE"""),"Tangerang")</f>
        <v>Tangerang</v>
      </c>
      <c r="I25" s="17" t="str">
        <f>IFERROR(__xludf.DUMMYFUNCTION("""COMPUTED_VALUE"""),"- Lifestyle Female 
- Pasutri
- Family
- Mom &amp; Kids")</f>
        <v>- Lifestyle Female 
- Pasutri
- Family
- Mom &amp; Kids</v>
      </c>
      <c r="J25" s="20">
        <f>IFERROR(__xludf.DUMMYFUNCTION("""COMPUTED_VALUE"""),1000000.0)</f>
        <v>1000000</v>
      </c>
      <c r="K25" s="20">
        <f>IFERROR(__xludf.DUMMYFUNCTION("""COMPUTED_VALUE"""),2000000.0)</f>
        <v>2000000</v>
      </c>
      <c r="L25" s="20">
        <f>IFERROR(__xludf.DUMMYFUNCTION("""COMPUTED_VALUE"""),6000000.0)</f>
        <v>6000000</v>
      </c>
      <c r="M25" s="17"/>
      <c r="N25" s="20">
        <f>IFERROR(__xludf.DUMMYFUNCTION("""COMPUTED_VALUE"""),5000000.0)</f>
        <v>5000000</v>
      </c>
      <c r="O25" s="20">
        <f>IFERROR(__xludf.DUMMYFUNCTION("""COMPUTED_VALUE"""),7000000.0)</f>
        <v>7000000</v>
      </c>
      <c r="P25" s="20">
        <f>IFERROR(__xludf.DUMMYFUNCTION("""COMPUTED_VALUE"""),8000000.0)</f>
        <v>8000000</v>
      </c>
      <c r="Q25" s="17"/>
      <c r="R25" s="20">
        <f>IFERROR(__xludf.DUMMYFUNCTION("""COMPUTED_VALUE"""),1.5E7)</f>
        <v>15000000</v>
      </c>
      <c r="S25" s="20">
        <f>IFERROR(__xludf.DUMMYFUNCTION("""COMPUTED_VALUE"""),2.1E7)</f>
        <v>21000000</v>
      </c>
      <c r="T25" s="20">
        <f>IFERROR(__xludf.DUMMYFUNCTION("""COMPUTED_VALUE"""),7000000.0)</f>
        <v>7000000</v>
      </c>
      <c r="U25" s="17"/>
      <c r="V25" s="17"/>
      <c r="W25" s="20">
        <f>IFERROR(__xludf.DUMMYFUNCTION("""COMPUTED_VALUE"""),3000000.0)</f>
        <v>3000000</v>
      </c>
      <c r="X25" s="20">
        <f>IFERROR(__xludf.DUMMYFUNCTION("""COMPUTED_VALUE"""),5000000.0)</f>
        <v>5000000</v>
      </c>
      <c r="Y25" s="17"/>
    </row>
    <row r="26">
      <c r="A26" s="17">
        <f>IFERROR(__xludf.DUMMYFUNCTION("""COMPUTED_VALUE"""),23.0)</f>
        <v>23</v>
      </c>
      <c r="B26" s="18" t="str">
        <f>IFERROR(__xludf.DUMMYFUNCTION("""COMPUTED_VALUE"""),"rizkeeeyyyyyyyy")</f>
        <v>rizkeeeyyyyyyyy</v>
      </c>
      <c r="C26" s="23">
        <f>IFERROR(__xludf.DUMMYFUNCTION("""COMPUTED_VALUE"""),303000.0)</f>
        <v>303000</v>
      </c>
      <c r="D26" s="17" t="str">
        <f>IFERROR(__xludf.DUMMYFUNCTION("""COMPUTED_VALUE"""),"Mid")</f>
        <v>Mid</v>
      </c>
      <c r="E26" s="18" t="str">
        <f>IFERROR(__xludf.DUMMYFUNCTION("""COMPUTED_VALUE"""),"rizkeeeyyyyyy")</f>
        <v>rizkeeeyyyyyy</v>
      </c>
      <c r="F26" s="19">
        <f>IFERROR(__xludf.DUMMYFUNCTION("""COMPUTED_VALUE"""),1200000.0)</f>
        <v>1200000</v>
      </c>
      <c r="G26" s="17" t="str">
        <f>IFERROR(__xludf.DUMMYFUNCTION("""COMPUTED_VALUE"""),"Mega")</f>
        <v>Mega</v>
      </c>
      <c r="H26" s="17" t="str">
        <f>IFERROR(__xludf.DUMMYFUNCTION("""COMPUTED_VALUE"""),"Tangerang Selatan")</f>
        <v>Tangerang Selatan</v>
      </c>
      <c r="I26" s="17" t="str">
        <f>IFERROR(__xludf.DUMMYFUNCTION("""COMPUTED_VALUE"""),"- FnB")</f>
        <v>- FnB</v>
      </c>
      <c r="J26" s="17"/>
      <c r="K26" s="20" t="str">
        <f>IFERROR(__xludf.DUMMYFUNCTION("""COMPUTED_VALUE"""),"Rp4,500,000 (20 detik)")</f>
        <v>Rp4,500,000 (20 detik)</v>
      </c>
      <c r="L26" s="20" t="str">
        <f>IFERROR(__xludf.DUMMYFUNCTION("""COMPUTED_VALUE"""),"Rp8,000,000 (3 slide, 15s/slide)")</f>
        <v>Rp8,000,000 (3 slide, 15s/slide)</v>
      </c>
      <c r="M26" s="20" t="str">
        <f>IFERROR(__xludf.DUMMYFUNCTION("""COMPUTED_VALUE"""),"FREE")</f>
        <v>FREE</v>
      </c>
      <c r="N26" s="17"/>
      <c r="O26" s="17"/>
      <c r="P26" s="20">
        <f>IFERROR(__xludf.DUMMYFUNCTION("""COMPUTED_VALUE"""),5500000.0)</f>
        <v>5500000</v>
      </c>
      <c r="Q26" s="20" t="str">
        <f>IFERROR(__xludf.DUMMYFUNCTION("""COMPUTED_VALUE"""),"FREE")</f>
        <v>FREE</v>
      </c>
      <c r="R26" s="20">
        <f>IFERROR(__xludf.DUMMYFUNCTION("""COMPUTED_VALUE"""),6000000.0)</f>
        <v>6000000</v>
      </c>
      <c r="S26" s="20">
        <f>IFERROR(__xludf.DUMMYFUNCTION("""COMPUTED_VALUE"""),9000000.0)</f>
        <v>9000000</v>
      </c>
      <c r="T26" s="17"/>
      <c r="U26" s="21">
        <f>IFERROR(__xludf.DUMMYFUNCTION("""COMPUTED_VALUE"""),0.5)</f>
        <v>0.5</v>
      </c>
      <c r="V26" s="20" t="str">
        <f>IFERROR(__xludf.DUMMYFUNCTION("""COMPUTED_VALUE"""),"FREE (if mirror)")</f>
        <v>FREE (if mirror)</v>
      </c>
      <c r="W26" s="20">
        <f>IFERROR(__xludf.DUMMYFUNCTION("""COMPUTED_VALUE"""),1000000.0)</f>
        <v>1000000</v>
      </c>
      <c r="X26" s="20">
        <f>IFERROR(__xludf.DUMMYFUNCTION("""COMPUTED_VALUE"""),1500000.0)</f>
        <v>1500000</v>
      </c>
      <c r="Y26" s="17"/>
    </row>
    <row r="27">
      <c r="A27" s="17">
        <f>IFERROR(__xludf.DUMMYFUNCTION("""COMPUTED_VALUE"""),24.0)</f>
        <v>24</v>
      </c>
      <c r="B27" s="18" t="str">
        <f>IFERROR(__xludf.DUMMYFUNCTION("""COMPUTED_VALUE"""),"faridnuralimm_")</f>
        <v>faridnuralimm_</v>
      </c>
      <c r="C27" s="23">
        <f>IFERROR(__xludf.DUMMYFUNCTION("""COMPUTED_VALUE"""),303000.0)</f>
        <v>303000</v>
      </c>
      <c r="D27" s="17" t="str">
        <f>IFERROR(__xludf.DUMMYFUNCTION("""COMPUTED_VALUE"""),"Mid")</f>
        <v>Mid</v>
      </c>
      <c r="E27" s="18" t="str">
        <f>IFERROR(__xludf.DUMMYFUNCTION("""COMPUTED_VALUE"""),"aidnnn2")</f>
        <v>aidnnn2</v>
      </c>
      <c r="F27" s="23">
        <f>IFERROR(__xludf.DUMMYFUNCTION("""COMPUTED_VALUE"""),238100.0)</f>
        <v>238100</v>
      </c>
      <c r="G27" s="17" t="str">
        <f>IFERROR(__xludf.DUMMYFUNCTION("""COMPUTED_VALUE"""),"Mid")</f>
        <v>Mid</v>
      </c>
      <c r="H27" s="17" t="str">
        <f>IFERROR(__xludf.DUMMYFUNCTION("""COMPUTED_VALUE"""),"Bandung")</f>
        <v>Bandung</v>
      </c>
      <c r="I27" s="17" t="str">
        <f>IFERROR(__xludf.DUMMYFUNCTION("""COMPUTED_VALUE"""),"- Lifestyle Male
- Comedy
- FnB")</f>
        <v>- Lifestyle Male
- Comedy
- FnB</v>
      </c>
      <c r="J27" s="20">
        <f>IFERROR(__xludf.DUMMYFUNCTION("""COMPUTED_VALUE"""),500000.0)</f>
        <v>500000</v>
      </c>
      <c r="K27" s="20">
        <f>IFERROR(__xludf.DUMMYFUNCTION("""COMPUTED_VALUE"""),1500000.0)</f>
        <v>1500000</v>
      </c>
      <c r="L27" s="20">
        <f>IFERROR(__xludf.DUMMYFUNCTION("""COMPUTED_VALUE"""),2500000.0)</f>
        <v>2500000</v>
      </c>
      <c r="M27" s="20" t="str">
        <f>IFERROR(__xludf.DUMMYFUNCTION("""COMPUTED_VALUE"""),"FREE")</f>
        <v>FREE</v>
      </c>
      <c r="N27" s="20">
        <f>IFERROR(__xludf.DUMMYFUNCTION("""COMPUTED_VALUE"""),5000000.0)</f>
        <v>5000000</v>
      </c>
      <c r="O27" s="20" t="str">
        <f>IFERROR(__xludf.DUMMYFUNCTION("""COMPUTED_VALUE"""),"FREE")</f>
        <v>FREE</v>
      </c>
      <c r="P27" s="20">
        <f>IFERROR(__xludf.DUMMYFUNCTION("""COMPUTED_VALUE"""),7500000.0)</f>
        <v>7500000</v>
      </c>
      <c r="Q27" s="20">
        <f>IFERROR(__xludf.DUMMYFUNCTION("""COMPUTED_VALUE"""),2500000.0)</f>
        <v>2500000</v>
      </c>
      <c r="R27" s="20">
        <f>IFERROR(__xludf.DUMMYFUNCTION("""COMPUTED_VALUE"""),1.0E7)</f>
        <v>10000000</v>
      </c>
      <c r="S27" s="20">
        <f>IFERROR(__xludf.DUMMYFUNCTION("""COMPUTED_VALUE"""),1.2E7)</f>
        <v>12000000</v>
      </c>
      <c r="T27" s="20" t="str">
        <f>IFERROR(__xludf.DUMMYFUNCTION("""COMPUTED_VALUE"""),"Akun brand: Rp7.000.000
Akun sendiri: Rp5.000.000")</f>
        <v>Akun brand: Rp7.000.000
Akun sendiri: Rp5.000.000</v>
      </c>
      <c r="U27" s="17" t="str">
        <f>IFERROR(__xludf.DUMMYFUNCTION("""COMPUTED_VALUE"""),"100% rate")</f>
        <v>100% rate</v>
      </c>
      <c r="V27" s="20">
        <f>IFERROR(__xludf.DUMMYFUNCTION("""COMPUTED_VALUE"""),2500000.0)</f>
        <v>2500000</v>
      </c>
      <c r="W27" s="20" t="str">
        <f>IFERROR(__xludf.DUMMYFUNCTION("""COMPUTED_VALUE"""),"FREE")</f>
        <v>FREE</v>
      </c>
      <c r="X27" s="20">
        <f>IFERROR(__xludf.DUMMYFUNCTION("""COMPUTED_VALUE"""),6500000.0)</f>
        <v>6500000</v>
      </c>
      <c r="Y27" s="17"/>
    </row>
    <row r="28">
      <c r="A28" s="17">
        <f>IFERROR(__xludf.DUMMYFUNCTION("""COMPUTED_VALUE"""),25.0)</f>
        <v>25</v>
      </c>
      <c r="B28" s="18" t="str">
        <f>IFERROR(__xludf.DUMMYFUNCTION("""COMPUTED_VALUE"""),"hellodhanii")</f>
        <v>hellodhanii</v>
      </c>
      <c r="C28" s="23">
        <f>IFERROR(__xludf.DUMMYFUNCTION("""COMPUTED_VALUE"""),299000.0)</f>
        <v>299000</v>
      </c>
      <c r="D28" s="17" t="str">
        <f>IFERROR(__xludf.DUMMYFUNCTION("""COMPUTED_VALUE"""),"Mid")</f>
        <v>Mid</v>
      </c>
      <c r="E28" s="24" t="str">
        <f>IFERROR(__xludf.DUMMYFUNCTION("""COMPUTED_VALUE"""),"hellodhani")</f>
        <v>hellodhani</v>
      </c>
      <c r="F28" s="19">
        <f>IFERROR(__xludf.DUMMYFUNCTION("""COMPUTED_VALUE"""),2300000.0)</f>
        <v>2300000</v>
      </c>
      <c r="G28" s="17" t="str">
        <f>IFERROR(__xludf.DUMMYFUNCTION("""COMPUTED_VALUE"""),"Mega")</f>
        <v>Mega</v>
      </c>
      <c r="H28" s="20" t="str">
        <f>IFERROR(__xludf.DUMMYFUNCTION("""COMPUTED_VALUE"""),"Jakarta")</f>
        <v>Jakarta</v>
      </c>
      <c r="I28" s="17" t="str">
        <f>IFERROR(__xludf.DUMMYFUNCTION("""COMPUTED_VALUE"""),"- Beauty
- Lifestyle Female
- Fashion Wanita")</f>
        <v>- Beauty
- Lifestyle Female
- Fashion Wanita</v>
      </c>
      <c r="J28" s="20">
        <f>IFERROR(__xludf.DUMMYFUNCTION("""COMPUTED_VALUE"""),1000000.0)</f>
        <v>1000000</v>
      </c>
      <c r="K28" s="20">
        <f>IFERROR(__xludf.DUMMYFUNCTION("""COMPUTED_VALUE"""),3000000.0)</f>
        <v>3000000</v>
      </c>
      <c r="L28" s="20">
        <f>IFERROR(__xludf.DUMMYFUNCTION("""COMPUTED_VALUE"""),4000000.0)</f>
        <v>4000000</v>
      </c>
      <c r="M28" s="20" t="str">
        <f>IFERROR(__xludf.DUMMYFUNCTION("""COMPUTED_VALUE"""),"FREE")</f>
        <v>FREE</v>
      </c>
      <c r="N28" s="20">
        <f>IFERROR(__xludf.DUMMYFUNCTION("""COMPUTED_VALUE"""),3500000.0)</f>
        <v>3500000</v>
      </c>
      <c r="O28" s="20" t="str">
        <f>IFERROR(__xludf.DUMMYFUNCTION("""COMPUTED_VALUE"""),"FREE")</f>
        <v>FREE</v>
      </c>
      <c r="P28" s="20">
        <f>IFERROR(__xludf.DUMMYFUNCTION("""COMPUTED_VALUE"""),9000000.0)</f>
        <v>9000000</v>
      </c>
      <c r="Q28" s="20" t="str">
        <f>IFERROR(__xludf.DUMMYFUNCTION("""COMPUTED_VALUE"""),"FREE")</f>
        <v>FREE</v>
      </c>
      <c r="R28" s="20">
        <f>IFERROR(__xludf.DUMMYFUNCTION("""COMPUTED_VALUE"""),7000000.0)</f>
        <v>7000000</v>
      </c>
      <c r="S28" s="20">
        <f>IFERROR(__xludf.DUMMYFUNCTION("""COMPUTED_VALUE"""),4500000.0)</f>
        <v>4500000</v>
      </c>
      <c r="T28" s="20">
        <f>IFERROR(__xludf.DUMMYFUNCTION("""COMPUTED_VALUE"""),4000000.0)</f>
        <v>4000000</v>
      </c>
      <c r="U28" s="20" t="str">
        <f>IFERROR(__xludf.DUMMYFUNCTION("""COMPUTED_VALUE"""),"100% SOW")</f>
        <v>100% SOW</v>
      </c>
      <c r="V28" s="20" t="str">
        <f>IFERROR(__xludf.DUMMYFUNCTION("""COMPUTED_VALUE"""),"FREE")</f>
        <v>FREE</v>
      </c>
      <c r="W28" s="20" t="str">
        <f>IFERROR(__xludf.DUMMYFUNCTION("""COMPUTED_VALUE"""),"FREE")</f>
        <v>FREE</v>
      </c>
      <c r="X28" s="20">
        <f>IFERROR(__xludf.DUMMYFUNCTION("""COMPUTED_VALUE"""),1000000.0)</f>
        <v>1000000</v>
      </c>
      <c r="Y28" s="17"/>
    </row>
    <row r="29">
      <c r="A29" s="17">
        <f>IFERROR(__xludf.DUMMYFUNCTION("""COMPUTED_VALUE"""),26.0)</f>
        <v>26</v>
      </c>
      <c r="B29" s="18" t="str">
        <f>IFERROR(__xludf.DUMMYFUNCTION("""COMPUTED_VALUE"""),"jelitawidiaw")</f>
        <v>jelitawidiaw</v>
      </c>
      <c r="C29" s="23">
        <f>IFERROR(__xludf.DUMMYFUNCTION("""COMPUTED_VALUE"""),297000.0)</f>
        <v>297000</v>
      </c>
      <c r="D29" s="17" t="str">
        <f>IFERROR(__xludf.DUMMYFUNCTION("""COMPUTED_VALUE"""),"Mid")</f>
        <v>Mid</v>
      </c>
      <c r="E29" s="18" t="str">
        <f>IFERROR(__xludf.DUMMYFUNCTION("""COMPUTED_VALUE"""),"jelitawidiaw")</f>
        <v>jelitawidiaw</v>
      </c>
      <c r="F29" s="19">
        <f>IFERROR(__xludf.DUMMYFUNCTION("""COMPUTED_VALUE"""),4800000.0)</f>
        <v>4800000</v>
      </c>
      <c r="G29" s="17" t="str">
        <f>IFERROR(__xludf.DUMMYFUNCTION("""COMPUTED_VALUE"""),"Mega")</f>
        <v>Mega</v>
      </c>
      <c r="H29" s="17" t="str">
        <f>IFERROR(__xludf.DUMMYFUNCTION("""COMPUTED_VALUE"""),"Tangerang")</f>
        <v>Tangerang</v>
      </c>
      <c r="I29" s="17" t="str">
        <f>IFERROR(__xludf.DUMMYFUNCTION("""COMPUTED_VALUE"""),"- Lifestyle Female 
- Pasutri
- Family
- Mom &amp; Kids")</f>
        <v>- Lifestyle Female 
- Pasutri
- Family
- Mom &amp; Kids</v>
      </c>
      <c r="J29" s="20">
        <f>IFERROR(__xludf.DUMMYFUNCTION("""COMPUTED_VALUE"""),500000.0)</f>
        <v>500000</v>
      </c>
      <c r="K29" s="20">
        <f>IFERROR(__xludf.DUMMYFUNCTION("""COMPUTED_VALUE"""),2000000.0)</f>
        <v>2000000</v>
      </c>
      <c r="L29" s="20">
        <f>IFERROR(__xludf.DUMMYFUNCTION("""COMPUTED_VALUE"""),3000000.0)</f>
        <v>3000000</v>
      </c>
      <c r="M29" s="20">
        <f>IFERROR(__xludf.DUMMYFUNCTION("""COMPUTED_VALUE"""),500000.0)</f>
        <v>500000</v>
      </c>
      <c r="N29" s="20">
        <f>IFERROR(__xludf.DUMMYFUNCTION("""COMPUTED_VALUE"""),2500000.0)</f>
        <v>2500000</v>
      </c>
      <c r="O29" s="17"/>
      <c r="P29" s="20">
        <f>IFERROR(__xludf.DUMMYFUNCTION("""COMPUTED_VALUE"""),7000000.0)</f>
        <v>7000000</v>
      </c>
      <c r="Q29" s="20" t="str">
        <f>IFERROR(__xludf.DUMMYFUNCTION("""COMPUTED_VALUE"""),"FREE")</f>
        <v>FREE</v>
      </c>
      <c r="R29" s="20">
        <f>IFERROR(__xludf.DUMMYFUNCTION("""COMPUTED_VALUE"""),1.7E7)</f>
        <v>17000000</v>
      </c>
      <c r="S29" s="20">
        <f>IFERROR(__xludf.DUMMYFUNCTION("""COMPUTED_VALUE"""),2.0E7)</f>
        <v>20000000</v>
      </c>
      <c r="T29" s="20">
        <f>IFERROR(__xludf.DUMMYFUNCTION("""COMPUTED_VALUE"""),1.4E7)</f>
        <v>14000000</v>
      </c>
      <c r="U29" s="20">
        <f>IFERROR(__xludf.DUMMYFUNCTION("""COMPUTED_VALUE"""),7500000.0)</f>
        <v>7500000</v>
      </c>
      <c r="V29" s="20" t="str">
        <f>IFERROR(__xludf.DUMMYFUNCTION("""COMPUTED_VALUE"""),"FREE 7D")</f>
        <v>FREE 7D</v>
      </c>
      <c r="W29" s="20" t="str">
        <f>IFERROR(__xludf.DUMMYFUNCTION("""COMPUTED_VALUE"""),"FREE")</f>
        <v>FREE</v>
      </c>
      <c r="X29" s="20">
        <f>IFERROR(__xludf.DUMMYFUNCTION("""COMPUTED_VALUE"""),1000000.0)</f>
        <v>1000000</v>
      </c>
      <c r="Y29" s="17"/>
    </row>
    <row r="30">
      <c r="A30" s="17">
        <f>IFERROR(__xludf.DUMMYFUNCTION("""COMPUTED_VALUE"""),27.0)</f>
        <v>27</v>
      </c>
      <c r="B30" s="18" t="str">
        <f>IFERROR(__xludf.DUMMYFUNCTION("""COMPUTED_VALUE"""),"elnandautomo")</f>
        <v>elnandautomo</v>
      </c>
      <c r="C30" s="23">
        <f>IFERROR(__xludf.DUMMYFUNCTION("""COMPUTED_VALUE"""),286000.0)</f>
        <v>286000</v>
      </c>
      <c r="D30" s="17" t="str">
        <f>IFERROR(__xludf.DUMMYFUNCTION("""COMPUTED_VALUE"""),"Mid")</f>
        <v>Mid</v>
      </c>
      <c r="E30" s="18" t="str">
        <f>IFERROR(__xludf.DUMMYFUNCTION("""COMPUTED_VALUE"""),"elnandautomoo")</f>
        <v>elnandautomoo</v>
      </c>
      <c r="F30" s="23">
        <f>IFERROR(__xludf.DUMMYFUNCTION("""COMPUTED_VALUE"""),61300.0)</f>
        <v>61300</v>
      </c>
      <c r="G30" s="17" t="str">
        <f>IFERROR(__xludf.DUMMYFUNCTION("""COMPUTED_VALUE"""),"Micro")</f>
        <v>Micro</v>
      </c>
      <c r="H30" s="17" t="str">
        <f>IFERROR(__xludf.DUMMYFUNCTION("""COMPUTED_VALUE"""),"Jakarta")</f>
        <v>Jakarta</v>
      </c>
      <c r="I30" s="17" t="str">
        <f>IFERROR(__xludf.DUMMYFUNCTION("""COMPUTED_VALUE"""),"- Lifestyle Male
- Fashion Pria")</f>
        <v>- Lifestyle Male
- Fashion Pria</v>
      </c>
      <c r="J30" s="17"/>
      <c r="K30" s="20">
        <f>IFERROR(__xludf.DUMMYFUNCTION("""COMPUTED_VALUE"""),3000000.0)</f>
        <v>3000000</v>
      </c>
      <c r="L30" s="20">
        <f>IFERROR(__xludf.DUMMYFUNCTION("""COMPUTED_VALUE"""),6000000.0)</f>
        <v>6000000</v>
      </c>
      <c r="M30" s="20" t="str">
        <f>IFERROR(__xludf.DUMMYFUNCTION("""COMPUTED_VALUE"""),"FREE")</f>
        <v>FREE</v>
      </c>
      <c r="N30" s="20">
        <f>IFERROR(__xludf.DUMMYFUNCTION("""COMPUTED_VALUE"""),4000000.0)</f>
        <v>4000000</v>
      </c>
      <c r="O30" s="20">
        <f>IFERROR(__xludf.DUMMYFUNCTION("""COMPUTED_VALUE"""),7000000.0)</f>
        <v>7000000</v>
      </c>
      <c r="P30" s="20">
        <f>IFERROR(__xludf.DUMMYFUNCTION("""COMPUTED_VALUE"""),1.0E7)</f>
        <v>10000000</v>
      </c>
      <c r="Q30" s="21">
        <f>IFERROR(__xludf.DUMMYFUNCTION("""COMPUTED_VALUE"""),0.3)</f>
        <v>0.3</v>
      </c>
      <c r="R30" s="20">
        <f>IFERROR(__xludf.DUMMYFUNCTION("""COMPUTED_VALUE"""),3000000.0)</f>
        <v>3000000</v>
      </c>
      <c r="S30" s="20">
        <f>IFERROR(__xludf.DUMMYFUNCTION("""COMPUTED_VALUE"""),1.2E7)</f>
        <v>12000000</v>
      </c>
      <c r="T30" s="17"/>
      <c r="U30" s="21">
        <f>IFERROR(__xludf.DUMMYFUNCTION("""COMPUTED_VALUE"""),0.5)</f>
        <v>0.5</v>
      </c>
      <c r="V30" s="21">
        <f>IFERROR(__xludf.DUMMYFUNCTION("""COMPUTED_VALUE"""),0.2)</f>
        <v>0.2</v>
      </c>
      <c r="W30" s="20" t="str">
        <f>IFERROR(__xludf.DUMMYFUNCTION("""COMPUTED_VALUE"""),"FREE")</f>
        <v>FREE</v>
      </c>
      <c r="X30" s="20">
        <f>IFERROR(__xludf.DUMMYFUNCTION("""COMPUTED_VALUE"""),7000000.0)</f>
        <v>7000000</v>
      </c>
      <c r="Y30" s="17"/>
    </row>
    <row r="31">
      <c r="A31" s="17">
        <f>IFERROR(__xludf.DUMMYFUNCTION("""COMPUTED_VALUE"""),28.0)</f>
        <v>28</v>
      </c>
      <c r="B31" s="18" t="str">
        <f>IFERROR(__xludf.DUMMYFUNCTION("""COMPUTED_VALUE"""),"nennyzoe")</f>
        <v>nennyzoe</v>
      </c>
      <c r="C31" s="23">
        <f>IFERROR(__xludf.DUMMYFUNCTION("""COMPUTED_VALUE"""),270000.0)</f>
        <v>270000</v>
      </c>
      <c r="D31" s="17" t="str">
        <f>IFERROR(__xludf.DUMMYFUNCTION("""COMPUTED_VALUE"""),"Mid")</f>
        <v>Mid</v>
      </c>
      <c r="E31" s="18" t="str">
        <f>IFERROR(__xludf.DUMMYFUNCTION("""COMPUTED_VALUE"""),"nennyzoe")</f>
        <v>nennyzoe</v>
      </c>
      <c r="F31" s="19">
        <f>IFERROR(__xludf.DUMMYFUNCTION("""COMPUTED_VALUE"""),1100000.0)</f>
        <v>1100000</v>
      </c>
      <c r="G31" s="17" t="str">
        <f>IFERROR(__xludf.DUMMYFUNCTION("""COMPUTED_VALUE"""),"Mega")</f>
        <v>Mega</v>
      </c>
      <c r="H31" s="17" t="str">
        <f>IFERROR(__xludf.DUMMYFUNCTION("""COMPUTED_VALUE"""),"Bandung")</f>
        <v>Bandung</v>
      </c>
      <c r="I31" s="17" t="str">
        <f>IFERROR(__xludf.DUMMYFUNCTION("""COMPUTED_VALUE"""),"- Fashion Wanita
- Lifestyle Female
- Beauty
- Family")</f>
        <v>- Fashion Wanita
- Lifestyle Female
- Beauty
- Family</v>
      </c>
      <c r="J31" s="20">
        <f>IFERROR(__xludf.DUMMYFUNCTION("""COMPUTED_VALUE"""),400000.0)</f>
        <v>400000</v>
      </c>
      <c r="K31" s="20">
        <f>IFERROR(__xludf.DUMMYFUNCTION("""COMPUTED_VALUE"""),2000000.0)</f>
        <v>2000000</v>
      </c>
      <c r="L31" s="20">
        <f>IFERROR(__xludf.DUMMYFUNCTION("""COMPUTED_VALUE"""),5000000.0)</f>
        <v>5000000</v>
      </c>
      <c r="M31" s="20" t="str">
        <f>IFERROR(__xludf.DUMMYFUNCTION("""COMPUTED_VALUE"""),"FREE")</f>
        <v>FREE</v>
      </c>
      <c r="N31" s="20">
        <f>IFERROR(__xludf.DUMMYFUNCTION("""COMPUTED_VALUE"""),3500000.0)</f>
        <v>3500000</v>
      </c>
      <c r="O31" s="20">
        <f>IFERROR(__xludf.DUMMYFUNCTION("""COMPUTED_VALUE"""),4000000.0)</f>
        <v>4000000</v>
      </c>
      <c r="P31" s="20">
        <f>IFERROR(__xludf.DUMMYFUNCTION("""COMPUTED_VALUE"""),7500000.0)</f>
        <v>7500000</v>
      </c>
      <c r="Q31" s="20" t="str">
        <f>IFERROR(__xludf.DUMMYFUNCTION("""COMPUTED_VALUE"""),"FREE")</f>
        <v>FREE</v>
      </c>
      <c r="R31" s="20">
        <f>IFERROR(__xludf.DUMMYFUNCTION("""COMPUTED_VALUE"""),1.0E7)</f>
        <v>10000000</v>
      </c>
      <c r="S31" s="20">
        <f>IFERROR(__xludf.DUMMYFUNCTION("""COMPUTED_VALUE"""),1.5E7)</f>
        <v>15000000</v>
      </c>
      <c r="T31" s="20">
        <f>IFERROR(__xludf.DUMMYFUNCTION("""COMPUTED_VALUE"""),8000000.0)</f>
        <v>8000000</v>
      </c>
      <c r="U31" s="20">
        <f>IFERROR(__xludf.DUMMYFUNCTION("""COMPUTED_VALUE"""),1.5E7)</f>
        <v>15000000</v>
      </c>
      <c r="V31" s="21">
        <f>IFERROR(__xludf.DUMMYFUNCTION("""COMPUTED_VALUE"""),0.5)</f>
        <v>0.5</v>
      </c>
      <c r="W31" s="20">
        <f>IFERROR(__xludf.DUMMYFUNCTION("""COMPUTED_VALUE"""),1000000.0)</f>
        <v>1000000</v>
      </c>
      <c r="X31" s="20">
        <f>IFERROR(__xludf.DUMMYFUNCTION("""COMPUTED_VALUE"""),2000000.0)</f>
        <v>2000000</v>
      </c>
      <c r="Y31" s="17"/>
    </row>
    <row r="32">
      <c r="A32" s="17">
        <f>IFERROR(__xludf.DUMMYFUNCTION("""COMPUTED_VALUE"""),29.0)</f>
        <v>29</v>
      </c>
      <c r="B32" s="18" t="str">
        <f>IFERROR(__xludf.DUMMYFUNCTION("""COMPUTED_VALUE"""),"lordjajan")</f>
        <v>lordjajan</v>
      </c>
      <c r="C32" s="23">
        <f>IFERROR(__xludf.DUMMYFUNCTION("""COMPUTED_VALUE"""),267000.0)</f>
        <v>267000</v>
      </c>
      <c r="D32" s="17" t="str">
        <f>IFERROR(__xludf.DUMMYFUNCTION("""COMPUTED_VALUE"""),"Mid")</f>
        <v>Mid</v>
      </c>
      <c r="E32" s="18" t="str">
        <f>IFERROR(__xludf.DUMMYFUNCTION("""COMPUTED_VALUE"""),"lordjajanofficial")</f>
        <v>lordjajanofficial</v>
      </c>
      <c r="F32" s="19">
        <f>IFERROR(__xludf.DUMMYFUNCTION("""COMPUTED_VALUE"""),5500000.0)</f>
        <v>5500000</v>
      </c>
      <c r="G32" s="17" t="str">
        <f>IFERROR(__xludf.DUMMYFUNCTION("""COMPUTED_VALUE"""),"Mega")</f>
        <v>Mega</v>
      </c>
      <c r="H32" s="17" t="str">
        <f>IFERROR(__xludf.DUMMYFUNCTION("""COMPUTED_VALUE"""),"Jakarta")</f>
        <v>Jakarta</v>
      </c>
      <c r="I32" s="17" t="str">
        <f>IFERROR(__xludf.DUMMYFUNCTION("""COMPUTED_VALUE"""),"- FnB")</f>
        <v>- FnB</v>
      </c>
      <c r="J32" s="20">
        <f>IFERROR(__xludf.DUMMYFUNCTION("""COMPUTED_VALUE"""),300000.0)</f>
        <v>300000</v>
      </c>
      <c r="K32" s="20">
        <f>IFERROR(__xludf.DUMMYFUNCTION("""COMPUTED_VALUE"""),500000.0)</f>
        <v>500000</v>
      </c>
      <c r="L32" s="20">
        <f>IFERROR(__xludf.DUMMYFUNCTION("""COMPUTED_VALUE"""),500000.0)</f>
        <v>500000</v>
      </c>
      <c r="M32" s="20" t="str">
        <f>IFERROR(__xludf.DUMMYFUNCTION("""COMPUTED_VALUE"""),"FREE")</f>
        <v>FREE</v>
      </c>
      <c r="N32" s="20">
        <f>IFERROR(__xludf.DUMMYFUNCTION("""COMPUTED_VALUE"""),5000000.0)</f>
        <v>5000000</v>
      </c>
      <c r="O32" s="20">
        <f>IFERROR(__xludf.DUMMYFUNCTION("""COMPUTED_VALUE"""),2500000.0)</f>
        <v>2500000</v>
      </c>
      <c r="P32" s="20">
        <f>IFERROR(__xludf.DUMMYFUNCTION("""COMPUTED_VALUE"""),4500000.0)</f>
        <v>4500000</v>
      </c>
      <c r="Q32" s="20" t="str">
        <f>IFERROR(__xludf.DUMMYFUNCTION("""COMPUTED_VALUE"""),"FREE")</f>
        <v>FREE</v>
      </c>
      <c r="R32" s="20">
        <f>IFERROR(__xludf.DUMMYFUNCTION("""COMPUTED_VALUE"""),8500000.0)</f>
        <v>8500000</v>
      </c>
      <c r="S32" s="20">
        <f>IFERROR(__xludf.DUMMYFUNCTION("""COMPUTED_VALUE"""),4000000.0)</f>
        <v>4000000</v>
      </c>
      <c r="T32" s="20">
        <f>IFERROR(__xludf.DUMMYFUNCTION("""COMPUTED_VALUE"""),7000000.0)</f>
        <v>7000000</v>
      </c>
      <c r="U32" s="20">
        <f>IFERROR(__xludf.DUMMYFUNCTION("""COMPUTED_VALUE"""),5000000.0)</f>
        <v>5000000</v>
      </c>
      <c r="V32" s="20">
        <f>IFERROR(__xludf.DUMMYFUNCTION("""COMPUTED_VALUE"""),3000000.0)</f>
        <v>3000000</v>
      </c>
      <c r="W32" s="20">
        <f>IFERROR(__xludf.DUMMYFUNCTION("""COMPUTED_VALUE"""),1000000.0)</f>
        <v>1000000</v>
      </c>
      <c r="X32" s="20">
        <f>IFERROR(__xludf.DUMMYFUNCTION("""COMPUTED_VALUE"""),2000000.0)</f>
        <v>2000000</v>
      </c>
      <c r="Y32" s="17"/>
    </row>
    <row r="33">
      <c r="A33" s="17">
        <f>IFERROR(__xludf.DUMMYFUNCTION("""COMPUTED_VALUE"""),30.0)</f>
        <v>30</v>
      </c>
      <c r="B33" s="18" t="str">
        <f>IFERROR(__xludf.DUMMYFUNCTION("""COMPUTED_VALUE"""),"bbyjiangel_")</f>
        <v>bbyjiangel_</v>
      </c>
      <c r="C33" s="23">
        <f>IFERROR(__xludf.DUMMYFUNCTION("""COMPUTED_VALUE"""),266000.0)</f>
        <v>266000</v>
      </c>
      <c r="D33" s="17" t="str">
        <f>IFERROR(__xludf.DUMMYFUNCTION("""COMPUTED_VALUE"""),"Mid")</f>
        <v>Mid</v>
      </c>
      <c r="E33" s="18" t="str">
        <f>IFERROR(__xludf.DUMMYFUNCTION("""COMPUTED_VALUE"""),"jiyaakila")</f>
        <v>jiyaakila</v>
      </c>
      <c r="F33" s="23">
        <f>IFERROR(__xludf.DUMMYFUNCTION("""COMPUTED_VALUE"""),25500.0)</f>
        <v>25500</v>
      </c>
      <c r="G33" s="17" t="str">
        <f>IFERROR(__xludf.DUMMYFUNCTION("""COMPUTED_VALUE"""),"Micro")</f>
        <v>Micro</v>
      </c>
      <c r="H33" s="17" t="str">
        <f>IFERROR(__xludf.DUMMYFUNCTION("""COMPUTED_VALUE"""),"Padang")</f>
        <v>Padang</v>
      </c>
      <c r="I33" s="17" t="str">
        <f>IFERROR(__xludf.DUMMYFUNCTION("""COMPUTED_VALUE"""),"- Fashion Wanita
- Beauty")</f>
        <v>- Fashion Wanita
- Beauty</v>
      </c>
      <c r="J33" s="20">
        <f>IFERROR(__xludf.DUMMYFUNCTION("""COMPUTED_VALUE"""),200000.0)</f>
        <v>200000</v>
      </c>
      <c r="K33" s="20">
        <f>IFERROR(__xludf.DUMMYFUNCTION("""COMPUTED_VALUE"""),1000000.0)</f>
        <v>1000000</v>
      </c>
      <c r="L33" s="17"/>
      <c r="M33" s="20" t="str">
        <f>IFERROR(__xludf.DUMMYFUNCTION("""COMPUTED_VALUE"""),"FREE")</f>
        <v>FREE</v>
      </c>
      <c r="N33" s="20">
        <f>IFERROR(__xludf.DUMMYFUNCTION("""COMPUTED_VALUE"""),1500000.0)</f>
        <v>1500000</v>
      </c>
      <c r="O33" s="20">
        <f>IFERROR(__xludf.DUMMYFUNCTION("""COMPUTED_VALUE"""),2000000.0)</f>
        <v>2000000</v>
      </c>
      <c r="P33" s="20">
        <f>IFERROR(__xludf.DUMMYFUNCTION("""COMPUTED_VALUE"""),3000000.0)</f>
        <v>3000000</v>
      </c>
      <c r="Q33" s="20" t="str">
        <f>IFERROR(__xludf.DUMMYFUNCTION("""COMPUTED_VALUE"""),"FREE")</f>
        <v>FREE</v>
      </c>
      <c r="R33" s="20">
        <f>IFERROR(__xludf.DUMMYFUNCTION("""COMPUTED_VALUE"""),500000.0)</f>
        <v>500000</v>
      </c>
      <c r="S33" s="17"/>
      <c r="T33" s="17"/>
      <c r="U33" s="17"/>
      <c r="V33" s="17"/>
      <c r="W33" s="20" t="str">
        <f>IFERROR(__xludf.DUMMYFUNCTION("""COMPUTED_VALUE"""),"FREE")</f>
        <v>FREE</v>
      </c>
      <c r="X33" s="17"/>
      <c r="Y33" s="17"/>
    </row>
    <row r="34">
      <c r="A34" s="17">
        <f>IFERROR(__xludf.DUMMYFUNCTION("""COMPUTED_VALUE"""),31.0)</f>
        <v>31</v>
      </c>
      <c r="B34" s="18" t="str">
        <f>IFERROR(__xludf.DUMMYFUNCTION("""COMPUTED_VALUE"""),"sayalarimba")</f>
        <v>sayalarimba</v>
      </c>
      <c r="C34" s="23">
        <f>IFERROR(__xludf.DUMMYFUNCTION("""COMPUTED_VALUE"""),263000.0)</f>
        <v>263000</v>
      </c>
      <c r="D34" s="17" t="str">
        <f>IFERROR(__xludf.DUMMYFUNCTION("""COMPUTED_VALUE"""),"Mid")</f>
        <v>Mid</v>
      </c>
      <c r="E34" s="18" t="str">
        <f>IFERROR(__xludf.DUMMYFUNCTION("""COMPUTED_VALUE"""),"sayalarimba")</f>
        <v>sayalarimba</v>
      </c>
      <c r="F34" s="19">
        <f>IFERROR(__xludf.DUMMYFUNCTION("""COMPUTED_VALUE"""),1400000.0)</f>
        <v>1400000</v>
      </c>
      <c r="G34" s="17" t="str">
        <f>IFERROR(__xludf.DUMMYFUNCTION("""COMPUTED_VALUE"""),"Micro")</f>
        <v>Micro</v>
      </c>
      <c r="H34" s="17" t="str">
        <f>IFERROR(__xludf.DUMMYFUNCTION("""COMPUTED_VALUE"""),"Jakarta")</f>
        <v>Jakarta</v>
      </c>
      <c r="I34" s="17" t="str">
        <f>IFERROR(__xludf.DUMMYFUNCTION("""COMPUTED_VALUE"""),"- FnB")</f>
        <v>- FnB</v>
      </c>
      <c r="J34" s="20">
        <f>IFERROR(__xludf.DUMMYFUNCTION("""COMPUTED_VALUE"""),625000.0)</f>
        <v>625000</v>
      </c>
      <c r="K34" s="20">
        <f>IFERROR(__xludf.DUMMYFUNCTION("""COMPUTED_VALUE"""),800000.0)</f>
        <v>800000</v>
      </c>
      <c r="L34" s="20">
        <f>IFERROR(__xludf.DUMMYFUNCTION("""COMPUTED_VALUE"""),800000.0)</f>
        <v>800000</v>
      </c>
      <c r="M34" s="20" t="str">
        <f>IFERROR(__xludf.DUMMYFUNCTION("""COMPUTED_VALUE"""),"FREE")</f>
        <v>FREE</v>
      </c>
      <c r="N34" s="20">
        <f>IFERROR(__xludf.DUMMYFUNCTION("""COMPUTED_VALUE"""),2500000.0)</f>
        <v>2500000</v>
      </c>
      <c r="O34" s="20">
        <f>IFERROR(__xludf.DUMMYFUNCTION("""COMPUTED_VALUE"""),500000.0)</f>
        <v>500000</v>
      </c>
      <c r="P34" s="20">
        <f>IFERROR(__xludf.DUMMYFUNCTION("""COMPUTED_VALUE"""),6000000.0)</f>
        <v>6000000</v>
      </c>
      <c r="Q34" s="17"/>
      <c r="R34" s="20">
        <f>IFERROR(__xludf.DUMMYFUNCTION("""COMPUTED_VALUE"""),8000000.0)</f>
        <v>8000000</v>
      </c>
      <c r="S34" s="20">
        <f>IFERROR(__xludf.DUMMYFUNCTION("""COMPUTED_VALUE"""),4000000.0)</f>
        <v>4000000</v>
      </c>
      <c r="T34" s="20">
        <f>IFERROR(__xludf.DUMMYFUNCTION("""COMPUTED_VALUE"""),4000000.0)</f>
        <v>4000000</v>
      </c>
      <c r="U34" s="21">
        <f>IFERROR(__xludf.DUMMYFUNCTION("""COMPUTED_VALUE"""),1.0)</f>
        <v>1</v>
      </c>
      <c r="V34" s="20">
        <f>IFERROR(__xludf.DUMMYFUNCTION("""COMPUTED_VALUE"""),1000000.0)</f>
        <v>1000000</v>
      </c>
      <c r="W34" s="20">
        <f>IFERROR(__xludf.DUMMYFUNCTION("""COMPUTED_VALUE"""),500000.0)</f>
        <v>500000</v>
      </c>
      <c r="X34" s="20" t="str">
        <f>IFERROR(__xludf.DUMMYFUNCTION("""COMPUTED_VALUE"""),"Reels:
Rp8,000,000 (Jakarta)
Rp9,000,000 (Bodetabek)
Rp10,000,000 (Bandung)
TikTok:
Rp10,000,000 (Jakarta)
Rp11,000,000 (Bodtabek)
Rp12,000,000 (Bandung)
""")</f>
        <v>Reels:
Rp8,000,000 (Jakarta)
Rp9,000,000 (Bodetabek)
Rp10,000,000 (Bandung)
TikTok:
Rp10,000,000 (Jakarta)
Rp11,000,000 (Bodtabek)
Rp12,000,000 (Bandung)
"</v>
      </c>
      <c r="Y34" s="17"/>
    </row>
    <row r="35">
      <c r="A35" s="17">
        <f>IFERROR(__xludf.DUMMYFUNCTION("""COMPUTED_VALUE"""),32.0)</f>
        <v>32</v>
      </c>
      <c r="B35" s="18" t="str">
        <f>IFERROR(__xludf.DUMMYFUNCTION("""COMPUTED_VALUE"""),"ojankeke")</f>
        <v>ojankeke</v>
      </c>
      <c r="C35" s="23">
        <f>IFERROR(__xludf.DUMMYFUNCTION("""COMPUTED_VALUE"""),256000.0)</f>
        <v>256000</v>
      </c>
      <c r="D35" s="17" t="str">
        <f>IFERROR(__xludf.DUMMYFUNCTION("""COMPUTED_VALUE"""),"Mid")</f>
        <v>Mid</v>
      </c>
      <c r="E35" s="18" t="str">
        <f>IFERROR(__xludf.DUMMYFUNCTION("""COMPUTED_VALUE"""),"ojankeke")</f>
        <v>ojankeke</v>
      </c>
      <c r="F35" s="19">
        <f>IFERROR(__xludf.DUMMYFUNCTION("""COMPUTED_VALUE"""),5400000.0)</f>
        <v>5400000</v>
      </c>
      <c r="G35" s="17" t="str">
        <f>IFERROR(__xludf.DUMMYFUNCTION("""COMPUTED_VALUE"""),"Mega")</f>
        <v>Mega</v>
      </c>
      <c r="H35" s="17" t="str">
        <f>IFERROR(__xludf.DUMMYFUNCTION("""COMPUTED_VALUE"""),"Bogor")</f>
        <v>Bogor</v>
      </c>
      <c r="I35" s="17" t="str">
        <f>IFERROR(__xludf.DUMMYFUNCTION("""COMPUTED_VALUE"""),"- Family
- Pasutri")</f>
        <v>- Family
- Pasutri</v>
      </c>
      <c r="J35" s="17"/>
      <c r="K35" s="20">
        <f>IFERROR(__xludf.DUMMYFUNCTION("""COMPUTED_VALUE"""),2500000.0)</f>
        <v>2500000</v>
      </c>
      <c r="L35" s="20">
        <f>IFERROR(__xludf.DUMMYFUNCTION("""COMPUTED_VALUE"""),7500000.0)</f>
        <v>7500000</v>
      </c>
      <c r="M35" s="20" t="str">
        <f>IFERROR(__xludf.DUMMYFUNCTION("""COMPUTED_VALUE"""),"FREE")</f>
        <v>FREE</v>
      </c>
      <c r="N35" s="20">
        <f>IFERROR(__xludf.DUMMYFUNCTION("""COMPUTED_VALUE"""),4000000.0)</f>
        <v>4000000</v>
      </c>
      <c r="O35" s="17"/>
      <c r="P35" s="20">
        <f>IFERROR(__xludf.DUMMYFUNCTION("""COMPUTED_VALUE"""),9000000.0)</f>
        <v>9000000</v>
      </c>
      <c r="Q35" s="20">
        <f>IFERROR(__xludf.DUMMYFUNCTION("""COMPUTED_VALUE"""),2000000.0)</f>
        <v>2000000</v>
      </c>
      <c r="R35" s="20">
        <f>IFERROR(__xludf.DUMMYFUNCTION("""COMPUTED_VALUE"""),1.4E7)</f>
        <v>14000000</v>
      </c>
      <c r="S35" s="20">
        <f>IFERROR(__xludf.DUMMYFUNCTION("""COMPUTED_VALUE"""),2.0E7)</f>
        <v>20000000</v>
      </c>
      <c r="T35" s="17"/>
      <c r="U35" s="17"/>
      <c r="V35" s="17"/>
      <c r="W35" s="20" t="str">
        <f>IFERROR(__xludf.DUMMYFUNCTION("""COMPUTED_VALUE"""),"FREE")</f>
        <v>FREE</v>
      </c>
      <c r="X35" s="20">
        <f>IFERROR(__xludf.DUMMYFUNCTION("""COMPUTED_VALUE"""),4000000.0)</f>
        <v>4000000</v>
      </c>
      <c r="Y35" s="17"/>
    </row>
    <row r="36">
      <c r="A36" s="17">
        <f>IFERROR(__xludf.DUMMYFUNCTION("""COMPUTED_VALUE"""),33.0)</f>
        <v>33</v>
      </c>
      <c r="B36" s="18" t="str">
        <f>IFERROR(__xludf.DUMMYFUNCTION("""COMPUTED_VALUE"""),"angelicamanopo")</f>
        <v>angelicamanopo</v>
      </c>
      <c r="C36" s="23">
        <f>IFERROR(__xludf.DUMMYFUNCTION("""COMPUTED_VALUE"""),231000.0)</f>
        <v>231000</v>
      </c>
      <c r="D36" s="17" t="str">
        <f>IFERROR(__xludf.DUMMYFUNCTION("""COMPUTED_VALUE"""),"Mid")</f>
        <v>Mid</v>
      </c>
      <c r="E36" s="18" t="str">
        <f>IFERROR(__xludf.DUMMYFUNCTION("""COMPUTED_VALUE"""),"angelicamanopo")</f>
        <v>angelicamanopo</v>
      </c>
      <c r="F36" s="23">
        <f>IFERROR(__xludf.DUMMYFUNCTION("""COMPUTED_VALUE"""),100600.0)</f>
        <v>100600</v>
      </c>
      <c r="G36" s="17" t="str">
        <f>IFERROR(__xludf.DUMMYFUNCTION("""COMPUTED_VALUE"""),"Mid")</f>
        <v>Mid</v>
      </c>
      <c r="H36" s="17" t="str">
        <f>IFERROR(__xludf.DUMMYFUNCTION("""COMPUTED_VALUE"""),"Jakarta Timur")</f>
        <v>Jakarta Timur</v>
      </c>
      <c r="I36" s="17" t="str">
        <f>IFERROR(__xludf.DUMMYFUNCTION("""COMPUTED_VALUE"""),"- Lifestyle Female
- Mom &amp; Kids")</f>
        <v>- Lifestyle Female
- Mom &amp; Kids</v>
      </c>
      <c r="J36" s="20">
        <f>IFERROR(__xludf.DUMMYFUNCTION("""COMPUTED_VALUE"""),2000000.0)</f>
        <v>2000000</v>
      </c>
      <c r="K36" s="20">
        <f>IFERROR(__xludf.DUMMYFUNCTION("""COMPUTED_VALUE"""),2500000.0)</f>
        <v>2500000</v>
      </c>
      <c r="L36" s="20">
        <f>IFERROR(__xludf.DUMMYFUNCTION("""COMPUTED_VALUE"""),3000000.0)</f>
        <v>3000000</v>
      </c>
      <c r="M36" s="20" t="str">
        <f>IFERROR(__xludf.DUMMYFUNCTION("""COMPUTED_VALUE"""),"FREE")</f>
        <v>FREE</v>
      </c>
      <c r="N36" s="20">
        <f>IFERROR(__xludf.DUMMYFUNCTION("""COMPUTED_VALUE"""),3500000.0)</f>
        <v>3500000</v>
      </c>
      <c r="O36" s="20">
        <f>IFERROR(__xludf.DUMMYFUNCTION("""COMPUTED_VALUE"""),4500000.0)</f>
        <v>4500000</v>
      </c>
      <c r="P36" s="20">
        <f>IFERROR(__xludf.DUMMYFUNCTION("""COMPUTED_VALUE"""),5000000.0)</f>
        <v>5000000</v>
      </c>
      <c r="Q36" s="20" t="str">
        <f>IFERROR(__xludf.DUMMYFUNCTION("""COMPUTED_VALUE"""),"FREE")</f>
        <v>FREE</v>
      </c>
      <c r="R36" s="20">
        <f>IFERROR(__xludf.DUMMYFUNCTION("""COMPUTED_VALUE"""),3500000.0)</f>
        <v>3500000</v>
      </c>
      <c r="S36" s="20">
        <f>IFERROR(__xludf.DUMMYFUNCTION("""COMPUTED_VALUE"""),5000000.0)</f>
        <v>5000000</v>
      </c>
      <c r="T36" s="20">
        <f>IFERROR(__xludf.DUMMYFUNCTION("""COMPUTED_VALUE"""),5000000.0)</f>
        <v>5000000</v>
      </c>
      <c r="U36" s="21">
        <f>IFERROR(__xludf.DUMMYFUNCTION("""COMPUTED_VALUE"""),0.25)</f>
        <v>0.25</v>
      </c>
      <c r="V36" s="20">
        <f>IFERROR(__xludf.DUMMYFUNCTION("""COMPUTED_VALUE"""),1000000.0)</f>
        <v>1000000</v>
      </c>
      <c r="W36" s="20">
        <f>IFERROR(__xludf.DUMMYFUNCTION("""COMPUTED_VALUE"""),1000000.0)</f>
        <v>1000000</v>
      </c>
      <c r="X36" s="20">
        <f>IFERROR(__xludf.DUMMYFUNCTION("""COMPUTED_VALUE"""),6000000.0)</f>
        <v>6000000</v>
      </c>
      <c r="Y36" s="17"/>
    </row>
    <row r="37">
      <c r="A37" s="17">
        <f>IFERROR(__xludf.DUMMYFUNCTION("""COMPUTED_VALUE"""),34.0)</f>
        <v>34</v>
      </c>
      <c r="B37" s="18" t="str">
        <f>IFERROR(__xludf.DUMMYFUNCTION("""COMPUTED_VALUE"""),"juandadaly")</f>
        <v>juandadaly</v>
      </c>
      <c r="C37" s="23">
        <f>IFERROR(__xludf.DUMMYFUNCTION("""COMPUTED_VALUE"""),228000.0)</f>
        <v>228000</v>
      </c>
      <c r="D37" s="17" t="str">
        <f>IFERROR(__xludf.DUMMYFUNCTION("""COMPUTED_VALUE"""),"Mid")</f>
        <v>Mid</v>
      </c>
      <c r="E37" s="18" t="str">
        <f>IFERROR(__xludf.DUMMYFUNCTION("""COMPUTED_VALUE"""),"juandadaly")</f>
        <v>juandadaly</v>
      </c>
      <c r="F37" s="19">
        <f>IFERROR(__xludf.DUMMYFUNCTION("""COMPUTED_VALUE"""),1700000.0)</f>
        <v>1700000</v>
      </c>
      <c r="G37" s="17" t="str">
        <f>IFERROR(__xludf.DUMMYFUNCTION("""COMPUTED_VALUE"""),"Mega")</f>
        <v>Mega</v>
      </c>
      <c r="H37" s="17" t="str">
        <f>IFERROR(__xludf.DUMMYFUNCTION("""COMPUTED_VALUE"""),"Bogor ")</f>
        <v>Bogor </v>
      </c>
      <c r="I37" s="17" t="str">
        <f>IFERROR(__xludf.DUMMYFUNCTION("""COMPUTED_VALUE"""),"- Lifestyle Male, 
- Health &amp; Sport
- Family")</f>
        <v>- Lifestyle Male, 
- Health &amp; Sport
- Family</v>
      </c>
      <c r="J37" s="17"/>
      <c r="K37" s="20">
        <f>IFERROR(__xludf.DUMMYFUNCTION("""COMPUTED_VALUE"""),1000000.0)</f>
        <v>1000000</v>
      </c>
      <c r="L37" s="20">
        <f>IFERROR(__xludf.DUMMYFUNCTION("""COMPUTED_VALUE"""),1500000.0)</f>
        <v>1500000</v>
      </c>
      <c r="M37" s="20" t="str">
        <f>IFERROR(__xludf.DUMMYFUNCTION("""COMPUTED_VALUE"""),"FREE")</f>
        <v>FREE</v>
      </c>
      <c r="N37" s="20">
        <f>IFERROR(__xludf.DUMMYFUNCTION("""COMPUTED_VALUE"""),2500000.0)</f>
        <v>2500000</v>
      </c>
      <c r="O37" s="20">
        <f>IFERROR(__xludf.DUMMYFUNCTION("""COMPUTED_VALUE"""),3000000.0)</f>
        <v>3000000</v>
      </c>
      <c r="P37" s="20">
        <f>IFERROR(__xludf.DUMMYFUNCTION("""COMPUTED_VALUE"""),4000000.0)</f>
        <v>4000000</v>
      </c>
      <c r="Q37" s="20" t="str">
        <f>IFERROR(__xludf.DUMMYFUNCTION("""COMPUTED_VALUE"""),"FREE")</f>
        <v>FREE</v>
      </c>
      <c r="R37" s="20">
        <f>IFERROR(__xludf.DUMMYFUNCTION("""COMPUTED_VALUE"""),4500000.0)</f>
        <v>4500000</v>
      </c>
      <c r="S37" s="20">
        <f>IFERROR(__xludf.DUMMYFUNCTION("""COMPUTED_VALUE"""),5500000.0)</f>
        <v>5500000</v>
      </c>
      <c r="T37" s="17"/>
      <c r="U37" s="20">
        <f>IFERROR(__xludf.DUMMYFUNCTION("""COMPUTED_VALUE"""),2000000.0)</f>
        <v>2000000</v>
      </c>
      <c r="V37" s="20">
        <f>IFERROR(__xludf.DUMMYFUNCTION("""COMPUTED_VALUE"""),500000.0)</f>
        <v>500000</v>
      </c>
      <c r="W37" s="20">
        <f>IFERROR(__xludf.DUMMYFUNCTION("""COMPUTED_VALUE"""),500000.0)</f>
        <v>500000</v>
      </c>
      <c r="X37" s="17" t="str">
        <f>IFERROR(__xludf.DUMMYFUNCTION("""COMPUTED_VALUE"""),"Rp1.000.000 (Jabodetabek)")</f>
        <v>Rp1.000.000 (Jabodetabek)</v>
      </c>
      <c r="Y37" s="17"/>
    </row>
    <row r="38">
      <c r="A38" s="17">
        <f>IFERROR(__xludf.DUMMYFUNCTION("""COMPUTED_VALUE"""),35.0)</f>
        <v>35</v>
      </c>
      <c r="B38" s="18" t="str">
        <f>IFERROR(__xludf.DUMMYFUNCTION("""COMPUTED_VALUE"""),"nabilabyaaa")</f>
        <v>nabilabyaaa</v>
      </c>
      <c r="C38" s="23">
        <f>IFERROR(__xludf.DUMMYFUNCTION("""COMPUTED_VALUE"""),210000.0)</f>
        <v>210000</v>
      </c>
      <c r="D38" s="17" t="str">
        <f>IFERROR(__xludf.DUMMYFUNCTION("""COMPUTED_VALUE"""),"Mid")</f>
        <v>Mid</v>
      </c>
      <c r="E38" s="18" t="str">
        <f>IFERROR(__xludf.DUMMYFUNCTION("""COMPUTED_VALUE"""),"nabilabyaaa")</f>
        <v>nabilabyaaa</v>
      </c>
      <c r="F38" s="19">
        <f>IFERROR(__xludf.DUMMYFUNCTION("""COMPUTED_VALUE"""),198600.0)</f>
        <v>198600</v>
      </c>
      <c r="G38" s="17" t="str">
        <f>IFERROR(__xludf.DUMMYFUNCTION("""COMPUTED_VALUE"""),"Mid")</f>
        <v>Mid</v>
      </c>
      <c r="H38" s="17" t="str">
        <f>IFERROR(__xludf.DUMMYFUNCTION("""COMPUTED_VALUE"""),"Malang")</f>
        <v>Malang</v>
      </c>
      <c r="I38" s="17" t="str">
        <f>IFERROR(__xludf.DUMMYFUNCTION("""COMPUTED_VALUE"""),"- Fashion Wanita
- Beauty")</f>
        <v>- Fashion Wanita
- Beauty</v>
      </c>
      <c r="J38" s="20">
        <f>IFERROR(__xludf.DUMMYFUNCTION("""COMPUTED_VALUE"""),400000.0)</f>
        <v>400000</v>
      </c>
      <c r="K38" s="20">
        <f>IFERROR(__xludf.DUMMYFUNCTION("""COMPUTED_VALUE"""),600000.0)</f>
        <v>600000</v>
      </c>
      <c r="L38" s="20">
        <f>IFERROR(__xludf.DUMMYFUNCTION("""COMPUTED_VALUE"""),800000.0)</f>
        <v>800000</v>
      </c>
      <c r="M38" s="20" t="str">
        <f>IFERROR(__xludf.DUMMYFUNCTION("""COMPUTED_VALUE"""),"FREE")</f>
        <v>FREE</v>
      </c>
      <c r="N38" s="20">
        <f>IFERROR(__xludf.DUMMYFUNCTION("""COMPUTED_VALUE"""),1300000.0)</f>
        <v>1300000</v>
      </c>
      <c r="O38" s="20" t="str">
        <f>IFERROR(__xludf.DUMMYFUNCTION("""COMPUTED_VALUE"""),"FREE")</f>
        <v>FREE</v>
      </c>
      <c r="P38" s="20" t="str">
        <f>IFERROR(__xludf.DUMMYFUNCTION("""COMPUTED_VALUE"""),"Indoor: Rp1.500.000
Outdoor: Rp1.700.000")</f>
        <v>Indoor: Rp1.500.000
Outdoor: Rp1.700.000</v>
      </c>
      <c r="Q38" s="20">
        <f>IFERROR(__xludf.DUMMYFUNCTION("""COMPUTED_VALUE"""),100000.0)</f>
        <v>100000</v>
      </c>
      <c r="R38" s="20">
        <f>IFERROR(__xludf.DUMMYFUNCTION("""COMPUTED_VALUE"""),1500000.0)</f>
        <v>1500000</v>
      </c>
      <c r="S38" s="20">
        <f>IFERROR(__xludf.DUMMYFUNCTION("""COMPUTED_VALUE"""),2000000.0)</f>
        <v>2000000</v>
      </c>
      <c r="T38" s="17"/>
      <c r="U38" s="20">
        <f>IFERROR(__xludf.DUMMYFUNCTION("""COMPUTED_VALUE"""),1000000.0)</f>
        <v>1000000</v>
      </c>
      <c r="V38" s="20">
        <f>IFERROR(__xludf.DUMMYFUNCTION("""COMPUTED_VALUE"""),300000.0)</f>
        <v>300000</v>
      </c>
      <c r="W38" s="20">
        <f>IFERROR(__xludf.DUMMYFUNCTION("""COMPUTED_VALUE"""),300000.0)</f>
        <v>300000</v>
      </c>
      <c r="X38" s="20">
        <f>IFERROR(__xludf.DUMMYFUNCTION("""COMPUTED_VALUE"""),1000000.0)</f>
        <v>1000000</v>
      </c>
      <c r="Y38" s="17"/>
    </row>
    <row r="39">
      <c r="A39" s="17">
        <f>IFERROR(__xludf.DUMMYFUNCTION("""COMPUTED_VALUE"""),36.0)</f>
        <v>36</v>
      </c>
      <c r="B39" s="18" t="str">
        <f>IFERROR(__xludf.DUMMYFUNCTION("""COMPUTED_VALUE"""),"viaazulviani")</f>
        <v>viaazulviani</v>
      </c>
      <c r="C39" s="23">
        <f>IFERROR(__xludf.DUMMYFUNCTION("""COMPUTED_VALUE"""),205000.0)</f>
        <v>205000</v>
      </c>
      <c r="D39" s="17" t="str">
        <f>IFERROR(__xludf.DUMMYFUNCTION("""COMPUTED_VALUE"""),"Mid")</f>
        <v>Mid</v>
      </c>
      <c r="E39" s="18" t="str">
        <f>IFERROR(__xludf.DUMMYFUNCTION("""COMPUTED_VALUE"""),"viaazulviani")</f>
        <v>viaazulviani</v>
      </c>
      <c r="F39" s="23">
        <f>IFERROR(__xludf.DUMMYFUNCTION("""COMPUTED_VALUE"""),127000.0)</f>
        <v>127000</v>
      </c>
      <c r="G39" s="17" t="str">
        <f>IFERROR(__xludf.DUMMYFUNCTION("""COMPUTED_VALUE"""),"Mid")</f>
        <v>Mid</v>
      </c>
      <c r="H39" s="17" t="str">
        <f>IFERROR(__xludf.DUMMYFUNCTION("""COMPUTED_VALUE"""),"Medan")</f>
        <v>Medan</v>
      </c>
      <c r="I39" s="17" t="str">
        <f>IFERROR(__xludf.DUMMYFUNCTION("""COMPUTED_VALUE"""),"- Fashion Wanita 
- Lifestyle Female
- Beauty
- Mom &amp; Kids")</f>
        <v>- Fashion Wanita 
- Lifestyle Female
- Beauty
- Mom &amp; Kids</v>
      </c>
      <c r="J39" s="20">
        <f>IFERROR(__xludf.DUMMYFUNCTION("""COMPUTED_VALUE"""),500000.0)</f>
        <v>500000</v>
      </c>
      <c r="K39" s="20">
        <f>IFERROR(__xludf.DUMMYFUNCTION("""COMPUTED_VALUE"""),1500000.0)</f>
        <v>1500000</v>
      </c>
      <c r="L39" s="20">
        <f>IFERROR(__xludf.DUMMYFUNCTION("""COMPUTED_VALUE"""),3500000.0)</f>
        <v>3500000</v>
      </c>
      <c r="M39" s="20" t="str">
        <f>IFERROR(__xludf.DUMMYFUNCTION("""COMPUTED_VALUE"""),"FREE")</f>
        <v>FREE</v>
      </c>
      <c r="N39" s="20">
        <f>IFERROR(__xludf.DUMMYFUNCTION("""COMPUTED_VALUE"""),3500000.0)</f>
        <v>3500000</v>
      </c>
      <c r="O39" s="20">
        <f>IFERROR(__xludf.DUMMYFUNCTION("""COMPUTED_VALUE"""),4500000.0)</f>
        <v>4500000</v>
      </c>
      <c r="P39" s="20">
        <f>IFERROR(__xludf.DUMMYFUNCTION("""COMPUTED_VALUE"""),6000000.0)</f>
        <v>6000000</v>
      </c>
      <c r="Q39" s="20" t="str">
        <f>IFERROR(__xludf.DUMMYFUNCTION("""COMPUTED_VALUE"""),"FREE")</f>
        <v>FREE</v>
      </c>
      <c r="R39" s="20">
        <f>IFERROR(__xludf.DUMMYFUNCTION("""COMPUTED_VALUE"""),2500000.0)</f>
        <v>2500000</v>
      </c>
      <c r="S39" s="20">
        <f>IFERROR(__xludf.DUMMYFUNCTION("""COMPUTED_VALUE"""),6000000.0)</f>
        <v>6000000</v>
      </c>
      <c r="T39" s="20">
        <f>IFERROR(__xludf.DUMMYFUNCTION("""COMPUTED_VALUE"""),4000000.0)</f>
        <v>4000000</v>
      </c>
      <c r="U39" s="21">
        <f>IFERROR(__xludf.DUMMYFUNCTION("""COMPUTED_VALUE"""),0.5)</f>
        <v>0.5</v>
      </c>
      <c r="V39" s="20">
        <f>IFERROR(__xludf.DUMMYFUNCTION("""COMPUTED_VALUE"""),1000000.0)</f>
        <v>1000000</v>
      </c>
      <c r="W39" s="20" t="str">
        <f>IFERROR(__xludf.DUMMYFUNCTION("""COMPUTED_VALUE"""),"FREE")</f>
        <v>FREE</v>
      </c>
      <c r="X39" s="20">
        <f>IFERROR(__xludf.DUMMYFUNCTION("""COMPUTED_VALUE"""),8000000.0)</f>
        <v>8000000</v>
      </c>
      <c r="Y39" s="17"/>
    </row>
    <row r="40">
      <c r="A40" s="17">
        <f>IFERROR(__xludf.DUMMYFUNCTION("""COMPUTED_VALUE"""),37.0)</f>
        <v>37</v>
      </c>
      <c r="B40" s="18" t="str">
        <f>IFERROR(__xludf.DUMMYFUNCTION("""COMPUTED_VALUE"""),"cyntiaar")</f>
        <v>cyntiaar</v>
      </c>
      <c r="C40" s="23">
        <f>IFERROR(__xludf.DUMMYFUNCTION("""COMPUTED_VALUE"""),196000.0)</f>
        <v>196000</v>
      </c>
      <c r="D40" s="17" t="str">
        <f>IFERROR(__xludf.DUMMYFUNCTION("""COMPUTED_VALUE"""),"Mid")</f>
        <v>Mid</v>
      </c>
      <c r="E40" s="18" t="str">
        <f>IFERROR(__xludf.DUMMYFUNCTION("""COMPUTED_VALUE"""),"cyntiaar_")</f>
        <v>cyntiaar_</v>
      </c>
      <c r="F40" s="19">
        <f>IFERROR(__xludf.DUMMYFUNCTION("""COMPUTED_VALUE"""),1700000.0)</f>
        <v>1700000</v>
      </c>
      <c r="G40" s="17" t="str">
        <f>IFERROR(__xludf.DUMMYFUNCTION("""COMPUTED_VALUE"""),"Mega")</f>
        <v>Mega</v>
      </c>
      <c r="H40" s="17" t="str">
        <f>IFERROR(__xludf.DUMMYFUNCTION("""COMPUTED_VALUE"""),"Bandung")</f>
        <v>Bandung</v>
      </c>
      <c r="I40" s="17" t="str">
        <f>IFERROR(__xludf.DUMMYFUNCTION("""COMPUTED_VALUE"""),"- Beauty
- Lifestyle Female
- Pasutri")</f>
        <v>- Beauty
- Lifestyle Female
- Pasutri</v>
      </c>
      <c r="J40" s="20">
        <f>IFERROR(__xludf.DUMMYFUNCTION("""COMPUTED_VALUE"""),500000.0)</f>
        <v>500000</v>
      </c>
      <c r="K40" s="20">
        <f>IFERROR(__xludf.DUMMYFUNCTION("""COMPUTED_VALUE"""),1500000.0)</f>
        <v>1500000</v>
      </c>
      <c r="L40" s="20">
        <f>IFERROR(__xludf.DUMMYFUNCTION("""COMPUTED_VALUE"""),3000000.0)</f>
        <v>3000000</v>
      </c>
      <c r="M40" s="20" t="str">
        <f>IFERROR(__xludf.DUMMYFUNCTION("""COMPUTED_VALUE"""),"FREE")</f>
        <v>FREE</v>
      </c>
      <c r="N40" s="20">
        <f>IFERROR(__xludf.DUMMYFUNCTION("""COMPUTED_VALUE"""),5000000.0)</f>
        <v>5000000</v>
      </c>
      <c r="O40" s="17"/>
      <c r="P40" s="20">
        <f>IFERROR(__xludf.DUMMYFUNCTION("""COMPUTED_VALUE"""),1.1E7)</f>
        <v>11000000</v>
      </c>
      <c r="Q40" s="20" t="str">
        <f>IFERROR(__xludf.DUMMYFUNCTION("""COMPUTED_VALUE"""),"FREE")</f>
        <v>FREE</v>
      </c>
      <c r="R40" s="20">
        <f>IFERROR(__xludf.DUMMYFUNCTION("""COMPUTED_VALUE"""),1.5E7)</f>
        <v>15000000</v>
      </c>
      <c r="S40" s="20" t="str">
        <f>IFERROR(__xludf.DUMMYFUNCTION("""COMPUTED_VALUE"""),"Add 6.500.000")</f>
        <v>Add 6.500.000</v>
      </c>
      <c r="T40" s="20" t="str">
        <f>IFERROR(__xludf.DUMMYFUNCTION("""COMPUTED_VALUE"""),"ask")</f>
        <v>ask</v>
      </c>
      <c r="U40" s="17"/>
      <c r="V40" s="17"/>
      <c r="W40" s="20" t="str">
        <f>IFERROR(__xludf.DUMMYFUNCTION("""COMPUTED_VALUE"""),"FREE")</f>
        <v>FREE</v>
      </c>
      <c r="X40" s="20" t="str">
        <f>IFERROR(__xludf.DUMMYFUNCTION("""COMPUTED_VALUE"""),"Add 2.500.000")</f>
        <v>Add 2.500.000</v>
      </c>
      <c r="Y40" s="17"/>
    </row>
    <row r="41">
      <c r="A41" s="17">
        <f>IFERROR(__xludf.DUMMYFUNCTION("""COMPUTED_VALUE"""),38.0)</f>
        <v>38</v>
      </c>
      <c r="B41" s="18" t="str">
        <f>IFERROR(__xludf.DUMMYFUNCTION("""COMPUTED_VALUE"""),"kulinernyaberdua")</f>
        <v>kulinernyaberdua</v>
      </c>
      <c r="C41" s="23">
        <f>IFERROR(__xludf.DUMMYFUNCTION("""COMPUTED_VALUE"""),196000.0)</f>
        <v>196000</v>
      </c>
      <c r="D41" s="17" t="str">
        <f>IFERROR(__xludf.DUMMYFUNCTION("""COMPUTED_VALUE"""),"Mid")</f>
        <v>Mid</v>
      </c>
      <c r="E41" s="18" t="str">
        <f>IFERROR(__xludf.DUMMYFUNCTION("""COMPUTED_VALUE"""),"kulinernyaber2")</f>
        <v>kulinernyaber2</v>
      </c>
      <c r="F41" s="23">
        <f>IFERROR(__xludf.DUMMYFUNCTION("""COMPUTED_VALUE"""),169600.0)</f>
        <v>169600</v>
      </c>
      <c r="G41" s="17" t="str">
        <f>IFERROR(__xludf.DUMMYFUNCTION("""COMPUTED_VALUE"""),"Mid")</f>
        <v>Mid</v>
      </c>
      <c r="H41" s="17" t="str">
        <f>IFERROR(__xludf.DUMMYFUNCTION("""COMPUTED_VALUE"""),"Jakarta")</f>
        <v>Jakarta</v>
      </c>
      <c r="I41" s="17" t="str">
        <f>IFERROR(__xludf.DUMMYFUNCTION("""COMPUTED_VALUE"""),"- FnB
- Place review")</f>
        <v>- FnB
- Place review</v>
      </c>
      <c r="J41" s="20" t="str">
        <f>IFERROR(__xludf.DUMMYFUNCTION("""COMPUTED_VALUE"""),"IG Story + Reels + TikTok: Rp1,500,000
IG Story + Reels + TikTok + Collab: Rp1.650.000")</f>
        <v>IG Story + Reels + TikTok: Rp1,500,000
IG Story + Reels + TikTok + Collab: Rp1.650.000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20">
        <f>IFERROR(__xludf.DUMMYFUNCTION("""COMPUTED_VALUE"""),250000.0)</f>
        <v>250000</v>
      </c>
      <c r="V41" s="17"/>
      <c r="W41" s="17"/>
      <c r="X41" s="17"/>
      <c r="Y41" s="17"/>
    </row>
    <row r="42">
      <c r="A42" s="17">
        <f>IFERROR(__xludf.DUMMYFUNCTION("""COMPUTED_VALUE"""),39.0)</f>
        <v>39</v>
      </c>
      <c r="B42" s="18" t="str">
        <f>IFERROR(__xludf.DUMMYFUNCTION("""COMPUTED_VALUE"""),"frdhuha")</f>
        <v>frdhuha</v>
      </c>
      <c r="C42" s="23">
        <f>IFERROR(__xludf.DUMMYFUNCTION("""COMPUTED_VALUE"""),188000.0)</f>
        <v>188000</v>
      </c>
      <c r="D42" s="17" t="str">
        <f>IFERROR(__xludf.DUMMYFUNCTION("""COMPUTED_VALUE"""),"Mid")</f>
        <v>Mid</v>
      </c>
      <c r="E42" s="18" t="str">
        <f>IFERROR(__xludf.DUMMYFUNCTION("""COMPUTED_VALUE"""),"faridahuha")</f>
        <v>faridahuha</v>
      </c>
      <c r="F42" s="19">
        <f>IFERROR(__xludf.DUMMYFUNCTION("""COMPUTED_VALUE"""),3800000.0)</f>
        <v>3800000</v>
      </c>
      <c r="G42" s="17" t="str">
        <f>IFERROR(__xludf.DUMMYFUNCTION("""COMPUTED_VALUE"""),"Mega")</f>
        <v>Mega</v>
      </c>
      <c r="H42" s="17" t="str">
        <f>IFERROR(__xludf.DUMMYFUNCTION("""COMPUTED_VALUE"""),"Jakarta")</f>
        <v>Jakarta</v>
      </c>
      <c r="I42" s="17" t="str">
        <f>IFERROR(__xludf.DUMMYFUNCTION("""COMPUTED_VALUE"""),"- Lifestyle Female 
- Pasutri
- Entrepreneur")</f>
        <v>- Lifestyle Female 
- Pasutri
- Entrepreneur</v>
      </c>
      <c r="J42" s="17"/>
      <c r="K42" s="20">
        <f>IFERROR(__xludf.DUMMYFUNCTION("""COMPUTED_VALUE"""),1000000.0)</f>
        <v>1000000</v>
      </c>
      <c r="L42" s="17"/>
      <c r="M42" s="20" t="str">
        <f>IFERROR(__xludf.DUMMYFUNCTION("""COMPUTED_VALUE"""),"FREE")</f>
        <v>FREE</v>
      </c>
      <c r="N42" s="17"/>
      <c r="O42" s="17"/>
      <c r="P42" s="20">
        <f>IFERROR(__xludf.DUMMYFUNCTION("""COMPUTED_VALUE"""),5000000.0)</f>
        <v>5000000</v>
      </c>
      <c r="Q42" s="17"/>
      <c r="R42" s="20">
        <f>IFERROR(__xludf.DUMMYFUNCTION("""COMPUTED_VALUE"""),1.5E7)</f>
        <v>15000000</v>
      </c>
      <c r="S42" s="20">
        <f>IFERROR(__xludf.DUMMYFUNCTION("""COMPUTED_VALUE"""),500000.0)</f>
        <v>500000</v>
      </c>
      <c r="T42" s="17"/>
      <c r="U42" s="17"/>
      <c r="V42" s="20" t="str">
        <f>IFERROR(__xludf.DUMMYFUNCTION("""COMPUTED_VALUE"""),"FREE")</f>
        <v>FREE</v>
      </c>
      <c r="W42" s="20">
        <f>IFERROR(__xludf.DUMMYFUNCTION("""COMPUTED_VALUE"""),500000.0)</f>
        <v>500000</v>
      </c>
      <c r="X42" s="20">
        <f>IFERROR(__xludf.DUMMYFUNCTION("""COMPUTED_VALUE"""),1.5E7)</f>
        <v>15000000</v>
      </c>
      <c r="Y42" s="17"/>
    </row>
    <row r="43">
      <c r="A43" s="17">
        <f>IFERROR(__xludf.DUMMYFUNCTION("""COMPUTED_VALUE"""),40.0)</f>
        <v>40</v>
      </c>
      <c r="B43" s="18" t="str">
        <f>IFERROR(__xludf.DUMMYFUNCTION("""COMPUTED_VALUE"""),"redcah")</f>
        <v>redcah</v>
      </c>
      <c r="C43" s="23">
        <f>IFERROR(__xludf.DUMMYFUNCTION("""COMPUTED_VALUE"""),181000.0)</f>
        <v>181000</v>
      </c>
      <c r="D43" s="17" t="str">
        <f>IFERROR(__xludf.DUMMYFUNCTION("""COMPUTED_VALUE"""),"Mid")</f>
        <v>Mid</v>
      </c>
      <c r="E43" s="18" t="str">
        <f>IFERROR(__xludf.DUMMYFUNCTION("""COMPUTED_VALUE"""),"redcah")</f>
        <v>redcah</v>
      </c>
      <c r="F43" s="23">
        <f>IFERROR(__xludf.DUMMYFUNCTION("""COMPUTED_VALUE"""),569400.0)</f>
        <v>569400</v>
      </c>
      <c r="G43" s="17" t="str">
        <f>IFERROR(__xludf.DUMMYFUNCTION("""COMPUTED_VALUE"""),"Macro")</f>
        <v>Macro</v>
      </c>
      <c r="H43" s="17" t="str">
        <f>IFERROR(__xludf.DUMMYFUNCTION("""COMPUTED_VALUE"""),"Tangerang")</f>
        <v>Tangerang</v>
      </c>
      <c r="I43" s="17" t="str">
        <f>IFERROR(__xludf.DUMMYFUNCTION("""COMPUTED_VALUE"""),"- Lifestyle Male
- Pasutri
- Fashion Pria")</f>
        <v>- Lifestyle Male
- Pasutri
- Fashion Pria</v>
      </c>
      <c r="J43" s="20">
        <f>IFERROR(__xludf.DUMMYFUNCTION("""COMPUTED_VALUE"""),450000.0)</f>
        <v>450000</v>
      </c>
      <c r="K43" s="20">
        <f>IFERROR(__xludf.DUMMYFUNCTION("""COMPUTED_VALUE"""),500000.0)</f>
        <v>500000</v>
      </c>
      <c r="L43" s="20">
        <f>IFERROR(__xludf.DUMMYFUNCTION("""COMPUTED_VALUE"""),750000.0)</f>
        <v>750000</v>
      </c>
      <c r="M43" s="20" t="str">
        <f>IFERROR(__xludf.DUMMYFUNCTION("""COMPUTED_VALUE"""),"FREE")</f>
        <v>FREE</v>
      </c>
      <c r="N43" s="20">
        <f>IFERROR(__xludf.DUMMYFUNCTION("""COMPUTED_VALUE"""),2000000.0)</f>
        <v>2000000</v>
      </c>
      <c r="O43" s="20">
        <f>IFERROR(__xludf.DUMMYFUNCTION("""COMPUTED_VALUE"""),2500000.0)</f>
        <v>2500000</v>
      </c>
      <c r="P43" s="20">
        <f>IFERROR(__xludf.DUMMYFUNCTION("""COMPUTED_VALUE"""),3000000.0)</f>
        <v>3000000</v>
      </c>
      <c r="Q43" s="20" t="str">
        <f>IFERROR(__xludf.DUMMYFUNCTION("""COMPUTED_VALUE"""),"FREE")</f>
        <v>FREE</v>
      </c>
      <c r="R43" s="20">
        <f>IFERROR(__xludf.DUMMYFUNCTION("""COMPUTED_VALUE"""),6000000.0)</f>
        <v>6000000</v>
      </c>
      <c r="S43" s="20">
        <f>IFERROR(__xludf.DUMMYFUNCTION("""COMPUTED_VALUE"""),7000000.0)</f>
        <v>7000000</v>
      </c>
      <c r="T43" s="20">
        <f>IFERROR(__xludf.DUMMYFUNCTION("""COMPUTED_VALUE"""),3000000.0)</f>
        <v>3000000</v>
      </c>
      <c r="U43" s="20" t="str">
        <f>IFERROR(__xludf.DUMMYFUNCTION("""COMPUTED_VALUE"""),"FREE")</f>
        <v>FREE</v>
      </c>
      <c r="V43" s="20" t="str">
        <f>IFERROR(__xludf.DUMMYFUNCTION("""COMPUTED_VALUE"""),"FREE")</f>
        <v>FREE</v>
      </c>
      <c r="W43" s="20" t="str">
        <f>IFERROR(__xludf.DUMMYFUNCTION("""COMPUTED_VALUE"""),"FREE")</f>
        <v>FREE</v>
      </c>
      <c r="X43" s="20">
        <f>IFERROR(__xludf.DUMMYFUNCTION("""COMPUTED_VALUE"""),1000000.0)</f>
        <v>1000000</v>
      </c>
      <c r="Y43" s="17"/>
    </row>
    <row r="44">
      <c r="A44" s="17">
        <f>IFERROR(__xludf.DUMMYFUNCTION("""COMPUTED_VALUE"""),41.0)</f>
        <v>41</v>
      </c>
      <c r="B44" s="18" t="str">
        <f>IFERROR(__xludf.DUMMYFUNCTION("""COMPUTED_VALUE"""),"vsbvi")</f>
        <v>vsbvi</v>
      </c>
      <c r="C44" s="23">
        <f>IFERROR(__xludf.DUMMYFUNCTION("""COMPUTED_VALUE"""),176000.0)</f>
        <v>176000</v>
      </c>
      <c r="D44" s="17" t="str">
        <f>IFERROR(__xludf.DUMMYFUNCTION("""COMPUTED_VALUE"""),"Mid")</f>
        <v>Mid</v>
      </c>
      <c r="E44" s="18" t="str">
        <f>IFERROR(__xludf.DUMMYFUNCTION("""COMPUTED_VALUE"""),"vsbvix")</f>
        <v>vsbvix</v>
      </c>
      <c r="F44" s="23">
        <f>IFERROR(__xludf.DUMMYFUNCTION("""COMPUTED_VALUE"""),557400.0)</f>
        <v>557400</v>
      </c>
      <c r="G44" s="17" t="str">
        <f>IFERROR(__xludf.DUMMYFUNCTION("""COMPUTED_VALUE"""),"Macro")</f>
        <v>Macro</v>
      </c>
      <c r="H44" s="17" t="str">
        <f>IFERROR(__xludf.DUMMYFUNCTION("""COMPUTED_VALUE"""),"Tangerang")</f>
        <v>Tangerang</v>
      </c>
      <c r="I44" s="17" t="str">
        <f>IFERROR(__xludf.DUMMYFUNCTION("""COMPUTED_VALUE"""),"Lifestyle Female")</f>
        <v>Lifestyle Female</v>
      </c>
      <c r="J44" s="17"/>
      <c r="K44" s="17"/>
      <c r="L44" s="20">
        <f>IFERROR(__xludf.DUMMYFUNCTION("""COMPUTED_VALUE"""),1600000.0)</f>
        <v>1600000</v>
      </c>
      <c r="M44" s="20" t="str">
        <f>IFERROR(__xludf.DUMMYFUNCTION("""COMPUTED_VALUE"""),"FREE")</f>
        <v>FREE</v>
      </c>
      <c r="N44" s="20">
        <f>IFERROR(__xludf.DUMMYFUNCTION("""COMPUTED_VALUE"""),1500000.0)</f>
        <v>1500000</v>
      </c>
      <c r="O44" s="20">
        <f>IFERROR(__xludf.DUMMYFUNCTION("""COMPUTED_VALUE"""),1800000.0)</f>
        <v>1800000</v>
      </c>
      <c r="P44" s="20">
        <f>IFERROR(__xludf.DUMMYFUNCTION("""COMPUTED_VALUE"""),2500000.0)</f>
        <v>2500000</v>
      </c>
      <c r="Q44" s="20" t="str">
        <f>IFERROR(__xludf.DUMMYFUNCTION("""COMPUTED_VALUE"""),"FREE")</f>
        <v>FREE</v>
      </c>
      <c r="R44" s="20">
        <f>IFERROR(__xludf.DUMMYFUNCTION("""COMPUTED_VALUE"""),2500000.0)</f>
        <v>2500000</v>
      </c>
      <c r="S44" s="20">
        <f>IFERROR(__xludf.DUMMYFUNCTION("""COMPUTED_VALUE"""),4000000.0)</f>
        <v>4000000</v>
      </c>
      <c r="T44" s="17"/>
      <c r="U44" s="17"/>
      <c r="V44" s="20">
        <f>IFERROR(__xludf.DUMMYFUNCTION("""COMPUTED_VALUE"""),600000.0)</f>
        <v>600000</v>
      </c>
      <c r="W44" s="20">
        <f>IFERROR(__xludf.DUMMYFUNCTION("""COMPUTED_VALUE"""),600000.0)</f>
        <v>600000</v>
      </c>
      <c r="X44" s="20">
        <f>IFERROR(__xludf.DUMMYFUNCTION("""COMPUTED_VALUE"""),1000000.0)</f>
        <v>1000000</v>
      </c>
      <c r="Y44" s="17"/>
    </row>
    <row r="45">
      <c r="A45" s="17">
        <f>IFERROR(__xludf.DUMMYFUNCTION("""COMPUTED_VALUE"""),42.0)</f>
        <v>42</v>
      </c>
      <c r="B45" s="18" t="str">
        <f>IFERROR(__xludf.DUMMYFUNCTION("""COMPUTED_VALUE"""),"S.sraaa")</f>
        <v>S.sraaa</v>
      </c>
      <c r="C45" s="23">
        <f>IFERROR(__xludf.DUMMYFUNCTION("""COMPUTED_VALUE"""),153000.0)</f>
        <v>153000</v>
      </c>
      <c r="D45" s="17" t="str">
        <f>IFERROR(__xludf.DUMMYFUNCTION("""COMPUTED_VALUE"""),"Mid")</f>
        <v>Mid</v>
      </c>
      <c r="E45" s="18" t="str">
        <f>IFERROR(__xludf.DUMMYFUNCTION("""COMPUTED_VALUE"""),"Sssiraa")</f>
        <v>Sssiraa</v>
      </c>
      <c r="F45" s="23">
        <f>IFERROR(__xludf.DUMMYFUNCTION("""COMPUTED_VALUE"""),32900.0)</f>
        <v>32900</v>
      </c>
      <c r="G45" s="17" t="str">
        <f>IFERROR(__xludf.DUMMYFUNCTION("""COMPUTED_VALUE"""),"Micro")</f>
        <v>Micro</v>
      </c>
      <c r="H45" s="17" t="str">
        <f>IFERROR(__xludf.DUMMYFUNCTION("""COMPUTED_VALUE"""),"Bekasi")</f>
        <v>Bekasi</v>
      </c>
      <c r="I45" s="17" t="str">
        <f>IFERROR(__xludf.DUMMYFUNCTION("""COMPUTED_VALUE"""),"- Fashion Wanita
- Beauty")</f>
        <v>- Fashion Wanita
- Beauty</v>
      </c>
      <c r="J45" s="20">
        <f>IFERROR(__xludf.DUMMYFUNCTION("""COMPUTED_VALUE"""),300000.0)</f>
        <v>300000</v>
      </c>
      <c r="K45" s="20">
        <f>IFERROR(__xludf.DUMMYFUNCTION("""COMPUTED_VALUE"""),800000.0)</f>
        <v>800000</v>
      </c>
      <c r="L45" s="20">
        <f>IFERROR(__xludf.DUMMYFUNCTION("""COMPUTED_VALUE"""),1000000.0)</f>
        <v>1000000</v>
      </c>
      <c r="M45" s="20" t="str">
        <f>IFERROR(__xludf.DUMMYFUNCTION("""COMPUTED_VALUE"""),"FREE")</f>
        <v>FREE</v>
      </c>
      <c r="N45" s="20">
        <f>IFERROR(__xludf.DUMMYFUNCTION("""COMPUTED_VALUE"""),1000000.0)</f>
        <v>1000000</v>
      </c>
      <c r="O45" s="20">
        <f>IFERROR(__xludf.DUMMYFUNCTION("""COMPUTED_VALUE"""),1100000.0)</f>
        <v>1100000</v>
      </c>
      <c r="P45" s="20">
        <f>IFERROR(__xludf.DUMMYFUNCTION("""COMPUTED_VALUE"""),1500000.0)</f>
        <v>1500000</v>
      </c>
      <c r="Q45" s="20" t="str">
        <f>IFERROR(__xludf.DUMMYFUNCTION("""COMPUTED_VALUE"""),"FREE")</f>
        <v>FREE</v>
      </c>
      <c r="R45" s="20">
        <f>IFERROR(__xludf.DUMMYFUNCTION("""COMPUTED_VALUE"""),600000.0)</f>
        <v>600000</v>
      </c>
      <c r="S45" s="20">
        <f>IFERROR(__xludf.DUMMYFUNCTION("""COMPUTED_VALUE"""),1700000.0)</f>
        <v>1700000</v>
      </c>
      <c r="T45" s="17"/>
      <c r="U45" s="20">
        <f>IFERROR(__xludf.DUMMYFUNCTION("""COMPUTED_VALUE"""),1000000.0)</f>
        <v>1000000</v>
      </c>
      <c r="V45" s="20">
        <f>IFERROR(__xludf.DUMMYFUNCTION("""COMPUTED_VALUE"""),350000.0)</f>
        <v>350000</v>
      </c>
      <c r="W45" s="20" t="str">
        <f>IFERROR(__xludf.DUMMYFUNCTION("""COMPUTED_VALUE"""),"FREE")</f>
        <v>FREE</v>
      </c>
      <c r="X45" s="20">
        <f>IFERROR(__xludf.DUMMYFUNCTION("""COMPUTED_VALUE"""),4500000.0)</f>
        <v>4500000</v>
      </c>
      <c r="Y45" s="17"/>
    </row>
    <row r="46">
      <c r="A46" s="17">
        <f>IFERROR(__xludf.DUMMYFUNCTION("""COMPUTED_VALUE"""),43.0)</f>
        <v>43</v>
      </c>
      <c r="B46" s="18" t="str">
        <f>IFERROR(__xludf.DUMMYFUNCTION("""COMPUTED_VALUE"""),"keziagc")</f>
        <v>keziagc</v>
      </c>
      <c r="C46" s="23">
        <f>IFERROR(__xludf.DUMMYFUNCTION("""COMPUTED_VALUE"""),148000.0)</f>
        <v>148000</v>
      </c>
      <c r="D46" s="17" t="str">
        <f>IFERROR(__xludf.DUMMYFUNCTION("""COMPUTED_VALUE"""),"Mid")</f>
        <v>Mid</v>
      </c>
      <c r="E46" s="18" t="str">
        <f>IFERROR(__xludf.DUMMYFUNCTION("""COMPUTED_VALUE"""),"keziagc")</f>
        <v>keziagc</v>
      </c>
      <c r="F46" s="23">
        <f>IFERROR(__xludf.DUMMYFUNCTION("""COMPUTED_VALUE"""),14000.0)</f>
        <v>14000</v>
      </c>
      <c r="G46" s="17" t="str">
        <f>IFERROR(__xludf.DUMMYFUNCTION("""COMPUTED_VALUE"""),"Micro")</f>
        <v>Micro</v>
      </c>
      <c r="H46" s="17" t="str">
        <f>IFERROR(__xludf.DUMMYFUNCTION("""COMPUTED_VALUE"""),"Tangerang")</f>
        <v>Tangerang</v>
      </c>
      <c r="I46" s="17" t="str">
        <f>IFERROR(__xludf.DUMMYFUNCTION("""COMPUTED_VALUE"""),"- Mom &amp; Kids
- Homeliving
- Lifestyle Female")</f>
        <v>- Mom &amp; Kids
- Homeliving
- Lifestyle Female</v>
      </c>
      <c r="J46" s="17"/>
      <c r="K46" s="20">
        <f>IFERROR(__xludf.DUMMYFUNCTION("""COMPUTED_VALUE"""),780000.0)</f>
        <v>780000</v>
      </c>
      <c r="L46" s="20">
        <f>IFERROR(__xludf.DUMMYFUNCTION("""COMPUTED_VALUE"""),1480000.0)</f>
        <v>1480000</v>
      </c>
      <c r="M46" s="20" t="str">
        <f>IFERROR(__xludf.DUMMYFUNCTION("""COMPUTED_VALUE"""),"FREE")</f>
        <v>FREE</v>
      </c>
      <c r="N46" s="20">
        <f>IFERROR(__xludf.DUMMYFUNCTION("""COMPUTED_VALUE"""),2980000.0)</f>
        <v>2980000</v>
      </c>
      <c r="O46" s="17"/>
      <c r="P46" s="20">
        <f>IFERROR(__xludf.DUMMYFUNCTION("""COMPUTED_VALUE"""),4580000.0)</f>
        <v>4580000</v>
      </c>
      <c r="Q46" s="20" t="str">
        <f>IFERROR(__xludf.DUMMYFUNCTION("""COMPUTED_VALUE"""),"FREE")</f>
        <v>FREE</v>
      </c>
      <c r="R46" s="17"/>
      <c r="S46" s="17"/>
      <c r="T46" s="20">
        <f>IFERROR(__xludf.DUMMYFUNCTION("""COMPUTED_VALUE"""),1980000.0)</f>
        <v>1980000</v>
      </c>
      <c r="U46" s="20" t="str">
        <f>IFERROR(__xludf.DUMMYFUNCTION("""COMPUTED_VALUE"""),"FREE")</f>
        <v>FREE</v>
      </c>
      <c r="V46" s="17"/>
      <c r="W46" s="20" t="str">
        <f>IFERROR(__xludf.DUMMYFUNCTION("""COMPUTED_VALUE"""),"FREE")</f>
        <v>FREE</v>
      </c>
      <c r="X46" s="20">
        <f>IFERROR(__xludf.DUMMYFUNCTION("""COMPUTED_VALUE"""),2980000.0)</f>
        <v>2980000</v>
      </c>
      <c r="Y46" s="17"/>
    </row>
    <row r="47">
      <c r="A47" s="17">
        <f>IFERROR(__xludf.DUMMYFUNCTION("""COMPUTED_VALUE"""),44.0)</f>
        <v>44</v>
      </c>
      <c r="B47" s="18" t="str">
        <f>IFERROR(__xludf.DUMMYFUNCTION("""COMPUTED_VALUE"""),"luthfy.h20")</f>
        <v>luthfy.h20</v>
      </c>
      <c r="C47" s="23">
        <f>IFERROR(__xludf.DUMMYFUNCTION("""COMPUTED_VALUE"""),148000.0)</f>
        <v>148000</v>
      </c>
      <c r="D47" s="17" t="str">
        <f>IFERROR(__xludf.DUMMYFUNCTION("""COMPUTED_VALUE"""),"Mid")</f>
        <v>Mid</v>
      </c>
      <c r="E47" s="18" t="str">
        <f>IFERROR(__xludf.DUMMYFUNCTION("""COMPUTED_VALUE"""),"luthfy.h20")</f>
        <v>luthfy.h20</v>
      </c>
      <c r="F47" s="19">
        <f>IFERROR(__xludf.DUMMYFUNCTION("""COMPUTED_VALUE"""),1500000.0)</f>
        <v>1500000</v>
      </c>
      <c r="G47" s="17" t="str">
        <f>IFERROR(__xludf.DUMMYFUNCTION("""COMPUTED_VALUE"""),"Mega")</f>
        <v>Mega</v>
      </c>
      <c r="H47" s="17" t="str">
        <f>IFERROR(__xludf.DUMMYFUNCTION("""COMPUTED_VALUE"""),"Tasikmalaya")</f>
        <v>Tasikmalaya</v>
      </c>
      <c r="I47" s="17" t="str">
        <f>IFERROR(__xludf.DUMMYFUNCTION("""COMPUTED_VALUE"""),"- Lifestyle Male 
- Family
- Pasutri")</f>
        <v>- Lifestyle Male 
- Family
- Pasutri</v>
      </c>
      <c r="J47" s="17"/>
      <c r="K47" s="20">
        <f>IFERROR(__xludf.DUMMYFUNCTION("""COMPUTED_VALUE"""),2000000.0)</f>
        <v>2000000</v>
      </c>
      <c r="L47" s="20">
        <f>IFERROR(__xludf.DUMMYFUNCTION("""COMPUTED_VALUE"""),2500000.0)</f>
        <v>2500000</v>
      </c>
      <c r="M47" s="20">
        <f>IFERROR(__xludf.DUMMYFUNCTION("""COMPUTED_VALUE"""),500000.0)</f>
        <v>500000</v>
      </c>
      <c r="N47" s="20">
        <f>IFERROR(__xludf.DUMMYFUNCTION("""COMPUTED_VALUE"""),4500000.0)</f>
        <v>4500000</v>
      </c>
      <c r="O47" s="20">
        <f>IFERROR(__xludf.DUMMYFUNCTION("""COMPUTED_VALUE"""),4500000.0)</f>
        <v>4500000</v>
      </c>
      <c r="P47" s="20">
        <f>IFERROR(__xludf.DUMMYFUNCTION("""COMPUTED_VALUE"""),8000000.0)</f>
        <v>8000000</v>
      </c>
      <c r="Q47" s="20" t="str">
        <f>IFERROR(__xludf.DUMMYFUNCTION("""COMPUTED_VALUE"""),"FREE")</f>
        <v>FREE</v>
      </c>
      <c r="R47" s="20">
        <f>IFERROR(__xludf.DUMMYFUNCTION("""COMPUTED_VALUE"""),1.1E7)</f>
        <v>11000000</v>
      </c>
      <c r="S47" s="20">
        <f>IFERROR(__xludf.DUMMYFUNCTION("""COMPUTED_VALUE"""),1.3E7)</f>
        <v>13000000</v>
      </c>
      <c r="T47" s="17"/>
      <c r="U47" s="20" t="str">
        <f>IFERROR(__xludf.DUMMYFUNCTION("""COMPUTED_VALUE"""),"FREE")</f>
        <v>FREE</v>
      </c>
      <c r="V47" s="20" t="str">
        <f>IFERROR(__xludf.DUMMYFUNCTION("""COMPUTED_VALUE"""),"FREE")</f>
        <v>FREE</v>
      </c>
      <c r="W47" s="20" t="str">
        <f>IFERROR(__xludf.DUMMYFUNCTION("""COMPUTED_VALUE"""),"FREE")</f>
        <v>FREE</v>
      </c>
      <c r="X47" s="17"/>
      <c r="Y47" s="17"/>
    </row>
    <row r="48">
      <c r="A48" s="17">
        <f>IFERROR(__xludf.DUMMYFUNCTION("""COMPUTED_VALUE"""),45.0)</f>
        <v>45</v>
      </c>
      <c r="B48" s="18" t="str">
        <f>IFERROR(__xludf.DUMMYFUNCTION("""COMPUTED_VALUE"""),"sylvamulachelaa")</f>
        <v>sylvamulachelaa</v>
      </c>
      <c r="C48" s="23">
        <f>IFERROR(__xludf.DUMMYFUNCTION("""COMPUTED_VALUE"""),145000.0)</f>
        <v>145000</v>
      </c>
      <c r="D48" s="17" t="str">
        <f>IFERROR(__xludf.DUMMYFUNCTION("""COMPUTED_VALUE"""),"Mid")</f>
        <v>Mid</v>
      </c>
      <c r="E48" s="18" t="str">
        <f>IFERROR(__xludf.DUMMYFUNCTION("""COMPUTED_VALUE"""),"sylvamulachelaa")</f>
        <v>sylvamulachelaa</v>
      </c>
      <c r="F48" s="23">
        <f>IFERROR(__xludf.DUMMYFUNCTION("""COMPUTED_VALUE"""),9717.0)</f>
        <v>9717</v>
      </c>
      <c r="G48" s="17" t="str">
        <f>IFERROR(__xludf.DUMMYFUNCTION("""COMPUTED_VALUE"""),"Nano")</f>
        <v>Nano</v>
      </c>
      <c r="H48" s="17" t="str">
        <f>IFERROR(__xludf.DUMMYFUNCTION("""COMPUTED_VALUE"""),"Tangerang")</f>
        <v>Tangerang</v>
      </c>
      <c r="I48" s="17" t="str">
        <f>IFERROR(__xludf.DUMMYFUNCTION("""COMPUTED_VALUE"""),"- Fashion Wanita
- Lifestyle Female
- Place Review")</f>
        <v>- Fashion Wanita
- Lifestyle Female
- Place Review</v>
      </c>
      <c r="J48" s="20">
        <f>IFERROR(__xludf.DUMMYFUNCTION("""COMPUTED_VALUE"""),200000.0)</f>
        <v>200000</v>
      </c>
      <c r="K48" s="20">
        <f>IFERROR(__xludf.DUMMYFUNCTION("""COMPUTED_VALUE"""),300000.0)</f>
        <v>300000</v>
      </c>
      <c r="L48" s="20">
        <f>IFERROR(__xludf.DUMMYFUNCTION("""COMPUTED_VALUE"""),500000.0)</f>
        <v>500000</v>
      </c>
      <c r="M48" s="20" t="str">
        <f>IFERROR(__xludf.DUMMYFUNCTION("""COMPUTED_VALUE"""),"FREE")</f>
        <v>FREE</v>
      </c>
      <c r="N48" s="20">
        <f>IFERROR(__xludf.DUMMYFUNCTION("""COMPUTED_VALUE"""),750000.0)</f>
        <v>750000</v>
      </c>
      <c r="O48" s="20">
        <f>IFERROR(__xludf.DUMMYFUNCTION("""COMPUTED_VALUE"""),750000.0)</f>
        <v>750000</v>
      </c>
      <c r="P48" s="20">
        <f>IFERROR(__xludf.DUMMYFUNCTION("""COMPUTED_VALUE"""),950000.0)</f>
        <v>950000</v>
      </c>
      <c r="Q48" s="20" t="str">
        <f>IFERROR(__xludf.DUMMYFUNCTION("""COMPUTED_VALUE"""),"FREE")</f>
        <v>FREE</v>
      </c>
      <c r="R48" s="20">
        <f>IFERROR(__xludf.DUMMYFUNCTION("""COMPUTED_VALUE"""),400000.0)</f>
        <v>400000</v>
      </c>
      <c r="S48" s="20">
        <f>IFERROR(__xludf.DUMMYFUNCTION("""COMPUTED_VALUE"""),700000.0)</f>
        <v>700000</v>
      </c>
      <c r="T48" s="17"/>
      <c r="U48" s="20">
        <f>IFERROR(__xludf.DUMMYFUNCTION("""COMPUTED_VALUE"""),250000.0)</f>
        <v>250000</v>
      </c>
      <c r="V48" s="20" t="str">
        <f>IFERROR(__xludf.DUMMYFUNCTION("""COMPUTED_VALUE"""),"FREE")</f>
        <v>FREE</v>
      </c>
      <c r="W48" s="20" t="str">
        <f>IFERROR(__xludf.DUMMYFUNCTION("""COMPUTED_VALUE"""),"FREE")</f>
        <v>FREE</v>
      </c>
      <c r="X48" s="20">
        <f>IFERROR(__xludf.DUMMYFUNCTION("""COMPUTED_VALUE"""),1200000.0)</f>
        <v>1200000</v>
      </c>
      <c r="Y48" s="17"/>
    </row>
    <row r="49">
      <c r="A49" s="17">
        <f>IFERROR(__xludf.DUMMYFUNCTION("""COMPUTED_VALUE"""),46.0)</f>
        <v>46</v>
      </c>
      <c r="B49" s="18" t="str">
        <f>IFERROR(__xludf.DUMMYFUNCTION("""COMPUTED_VALUE"""),"rizkywahyudinata_")</f>
        <v>rizkywahyudinata_</v>
      </c>
      <c r="C49" s="23">
        <f>IFERROR(__xludf.DUMMYFUNCTION("""COMPUTED_VALUE"""),142000.0)</f>
        <v>142000</v>
      </c>
      <c r="D49" s="17" t="str">
        <f>IFERROR(__xludf.DUMMYFUNCTION("""COMPUTED_VALUE"""),"Mid")</f>
        <v>Mid</v>
      </c>
      <c r="E49" s="18" t="str">
        <f>IFERROR(__xludf.DUMMYFUNCTION("""COMPUTED_VALUE"""),"amoskiduy0512")</f>
        <v>amoskiduy0512</v>
      </c>
      <c r="F49" s="23">
        <f>IFERROR(__xludf.DUMMYFUNCTION("""COMPUTED_VALUE"""),714500.0)</f>
        <v>714500</v>
      </c>
      <c r="G49" s="17" t="str">
        <f>IFERROR(__xludf.DUMMYFUNCTION("""COMPUTED_VALUE"""),"Macro")</f>
        <v>Macro</v>
      </c>
      <c r="H49" s="17" t="str">
        <f>IFERROR(__xludf.DUMMYFUNCTION("""COMPUTED_VALUE"""),"Tangerang")</f>
        <v>Tangerang</v>
      </c>
      <c r="I49" s="17" t="str">
        <f>IFERROR(__xludf.DUMMYFUNCTION("""COMPUTED_VALUE"""),"- Lifestyle Male 
- Family
- Pasutri")</f>
        <v>- Lifestyle Male 
- Family
- Pasutri</v>
      </c>
      <c r="J49" s="17"/>
      <c r="K49" s="20">
        <f>IFERROR(__xludf.DUMMYFUNCTION("""COMPUTED_VALUE"""),2000000.0)</f>
        <v>2000000</v>
      </c>
      <c r="L49" s="20">
        <f>IFERROR(__xludf.DUMMYFUNCTION("""COMPUTED_VALUE"""),3000000.0)</f>
        <v>3000000</v>
      </c>
      <c r="M49" s="20" t="str">
        <f>IFERROR(__xludf.DUMMYFUNCTION("""COMPUTED_VALUE"""),"FREE")</f>
        <v>FREE</v>
      </c>
      <c r="N49" s="20">
        <f>IFERROR(__xludf.DUMMYFUNCTION("""COMPUTED_VALUE"""),2000000.0)</f>
        <v>2000000</v>
      </c>
      <c r="O49" s="17"/>
      <c r="P49" s="20">
        <f>IFERROR(__xludf.DUMMYFUNCTION("""COMPUTED_VALUE"""),5000000.0)</f>
        <v>5000000</v>
      </c>
      <c r="Q49" s="20">
        <f>IFERROR(__xludf.DUMMYFUNCTION("""COMPUTED_VALUE"""),1000000.0)</f>
        <v>1000000</v>
      </c>
      <c r="R49" s="20">
        <f>IFERROR(__xludf.DUMMYFUNCTION("""COMPUTED_VALUE"""),5000000.0)</f>
        <v>5000000</v>
      </c>
      <c r="S49" s="20">
        <f>IFERROR(__xludf.DUMMYFUNCTION("""COMPUTED_VALUE"""),6000000.0)</f>
        <v>6000000</v>
      </c>
      <c r="T49" s="17"/>
      <c r="U49" s="17"/>
      <c r="V49" s="20">
        <f>IFERROR(__xludf.DUMMYFUNCTION("""COMPUTED_VALUE"""),1000000.0)</f>
        <v>1000000</v>
      </c>
      <c r="W49" s="20" t="str">
        <f>IFERROR(__xludf.DUMMYFUNCTION("""COMPUTED_VALUE"""),"FREE")</f>
        <v>FREE</v>
      </c>
      <c r="X49" s="20">
        <f>IFERROR(__xludf.DUMMYFUNCTION("""COMPUTED_VALUE"""),1000000.0)</f>
        <v>1000000</v>
      </c>
      <c r="Y49" s="17"/>
    </row>
    <row r="50">
      <c r="A50" s="17">
        <f>IFERROR(__xludf.DUMMYFUNCTION("""COMPUTED_VALUE"""),47.0)</f>
        <v>47</v>
      </c>
      <c r="B50" s="18" t="str">
        <f>IFERROR(__xludf.DUMMYFUNCTION("""COMPUTED_VALUE"""),"hasbyalf")</f>
        <v>hasbyalf</v>
      </c>
      <c r="C50" s="23">
        <f>IFERROR(__xludf.DUMMYFUNCTION("""COMPUTED_VALUE"""),121000.0)</f>
        <v>121000</v>
      </c>
      <c r="D50" s="17" t="str">
        <f>IFERROR(__xludf.DUMMYFUNCTION("""COMPUTED_VALUE"""),"Mid")</f>
        <v>Mid</v>
      </c>
      <c r="E50" s="18" t="str">
        <f>IFERROR(__xludf.DUMMYFUNCTION("""COMPUTED_VALUE"""),"hasbyalf")</f>
        <v>hasbyalf</v>
      </c>
      <c r="F50" s="19">
        <f>IFERROR(__xludf.DUMMYFUNCTION("""COMPUTED_VALUE"""),1900000.0)</f>
        <v>1900000</v>
      </c>
      <c r="G50" s="17" t="str">
        <f>IFERROR(__xludf.DUMMYFUNCTION("""COMPUTED_VALUE"""),"Mega")</f>
        <v>Mega</v>
      </c>
      <c r="H50" s="17" t="str">
        <f>IFERROR(__xludf.DUMMYFUNCTION("""COMPUTED_VALUE"""),"Bandung")</f>
        <v>Bandung</v>
      </c>
      <c r="I50" s="17" t="str">
        <f>IFERROR(__xludf.DUMMYFUNCTION("""COMPUTED_VALUE"""),"- Lifestyle Male 
- Family
- Pasutri")</f>
        <v>- Lifestyle Male 
- Family
- Pasutri</v>
      </c>
      <c r="J50" s="17"/>
      <c r="K50" s="20">
        <f>IFERROR(__xludf.DUMMYFUNCTION("""COMPUTED_VALUE"""),500000.0)</f>
        <v>500000</v>
      </c>
      <c r="L50" s="20" t="str">
        <f>IFERROR(__xludf.DUMMYFUNCTION("""COMPUTED_VALUE"""),"Rp800,000 (Free Tap Link)")</f>
        <v>Rp800,000 (Free Tap Link)</v>
      </c>
      <c r="M50" s="17"/>
      <c r="N50" s="20">
        <f>IFERROR(__xludf.DUMMYFUNCTION("""COMPUTED_VALUE"""),700000.0)</f>
        <v>700000</v>
      </c>
      <c r="O50" s="17"/>
      <c r="P50" s="20">
        <f>IFERROR(__xludf.DUMMYFUNCTION("""COMPUTED_VALUE"""),4000000.0)</f>
        <v>4000000</v>
      </c>
      <c r="Q50" s="17"/>
      <c r="R50" s="20">
        <f>IFERROR(__xludf.DUMMYFUNCTION("""COMPUTED_VALUE"""),6500000.0)</f>
        <v>6500000</v>
      </c>
      <c r="S50" s="17"/>
      <c r="T50" s="17"/>
      <c r="U50" s="17"/>
      <c r="V50" s="17"/>
      <c r="W50" s="17"/>
      <c r="X50" s="17"/>
      <c r="Y50" s="17"/>
    </row>
    <row r="51">
      <c r="A51" s="17">
        <f>IFERROR(__xludf.DUMMYFUNCTION("""COMPUTED_VALUE"""),48.0)</f>
        <v>48</v>
      </c>
      <c r="B51" s="18" t="str">
        <f>IFERROR(__xludf.DUMMYFUNCTION("""COMPUTED_VALUE"""),"ulyaslsss__")</f>
        <v>ulyaslsss__</v>
      </c>
      <c r="C51" s="23">
        <f>IFERROR(__xludf.DUMMYFUNCTION("""COMPUTED_VALUE"""),114000.0)</f>
        <v>114000</v>
      </c>
      <c r="D51" s="17" t="str">
        <f>IFERROR(__xludf.DUMMYFUNCTION("""COMPUTED_VALUE"""),"Mid")</f>
        <v>Mid</v>
      </c>
      <c r="E51" s="18" t="str">
        <f>IFERROR(__xludf.DUMMYFUNCTION("""COMPUTED_VALUE"""),"ulyasalsabilaa")</f>
        <v>ulyasalsabilaa</v>
      </c>
      <c r="F51" s="23">
        <f>IFERROR(__xludf.DUMMYFUNCTION("""COMPUTED_VALUE"""),14500.0)</f>
        <v>14500</v>
      </c>
      <c r="G51" s="17" t="str">
        <f>IFERROR(__xludf.DUMMYFUNCTION("""COMPUTED_VALUE"""),"Micro")</f>
        <v>Micro</v>
      </c>
      <c r="H51" s="17" t="str">
        <f>IFERROR(__xludf.DUMMYFUNCTION("""COMPUTED_VALUE"""),"Bandung")</f>
        <v>Bandung</v>
      </c>
      <c r="I51" s="17" t="str">
        <f>IFERROR(__xludf.DUMMYFUNCTION("""COMPUTED_VALUE"""),"- Fashion Wanita
- Lifestyle Female
- Beauty")</f>
        <v>- Fashion Wanita
- Lifestyle Female
- Beauty</v>
      </c>
      <c r="J51" s="20">
        <f>IFERROR(__xludf.DUMMYFUNCTION("""COMPUTED_VALUE"""),100000.0)</f>
        <v>100000</v>
      </c>
      <c r="K51" s="20">
        <f>IFERROR(__xludf.DUMMYFUNCTION("""COMPUTED_VALUE"""),200000.0)</f>
        <v>200000</v>
      </c>
      <c r="L51" s="20">
        <f>IFERROR(__xludf.DUMMYFUNCTION("""COMPUTED_VALUE"""),250000.0)</f>
        <v>250000</v>
      </c>
      <c r="M51" s="20">
        <f>IFERROR(__xludf.DUMMYFUNCTION("""COMPUTED_VALUE"""),100000.0)</f>
        <v>100000</v>
      </c>
      <c r="N51" s="20">
        <f>IFERROR(__xludf.DUMMYFUNCTION("""COMPUTED_VALUE"""),300000.0)</f>
        <v>300000</v>
      </c>
      <c r="O51" s="20">
        <f>IFERROR(__xludf.DUMMYFUNCTION("""COMPUTED_VALUE"""),500000.0)</f>
        <v>500000</v>
      </c>
      <c r="P51" s="20">
        <f>IFERROR(__xludf.DUMMYFUNCTION("""COMPUTED_VALUE"""),700000.0)</f>
        <v>700000</v>
      </c>
      <c r="Q51" s="20" t="str">
        <f>IFERROR(__xludf.DUMMYFUNCTION("""COMPUTED_VALUE"""),"FREE")</f>
        <v>FREE</v>
      </c>
      <c r="R51" s="20">
        <f>IFERROR(__xludf.DUMMYFUNCTION("""COMPUTED_VALUE"""),400000.0)</f>
        <v>400000</v>
      </c>
      <c r="S51" s="20">
        <f>IFERROR(__xludf.DUMMYFUNCTION("""COMPUTED_VALUE"""),700000.0)</f>
        <v>700000</v>
      </c>
      <c r="T51" s="20">
        <f>IFERROR(__xludf.DUMMYFUNCTION("""COMPUTED_VALUE"""),500000.0)</f>
        <v>500000</v>
      </c>
      <c r="U51" s="20">
        <f>IFERROR(__xludf.DUMMYFUNCTION("""COMPUTED_VALUE"""),200000.0)</f>
        <v>200000</v>
      </c>
      <c r="V51" s="20" t="str">
        <f>IFERROR(__xludf.DUMMYFUNCTION("""COMPUTED_VALUE"""),"FREE")</f>
        <v>FREE</v>
      </c>
      <c r="W51" s="20" t="str">
        <f>IFERROR(__xludf.DUMMYFUNCTION("""COMPUTED_VALUE"""),"FREE")</f>
        <v>FREE</v>
      </c>
      <c r="X51" s="17"/>
      <c r="Y51" s="17"/>
    </row>
    <row r="52">
      <c r="A52" s="17">
        <f>IFERROR(__xludf.DUMMYFUNCTION("""COMPUTED_VALUE"""),49.0)</f>
        <v>49</v>
      </c>
      <c r="B52" s="18" t="str">
        <f>IFERROR(__xludf.DUMMYFUNCTION("""COMPUTED_VALUE"""),"mutiarasgt")</f>
        <v>mutiarasgt</v>
      </c>
      <c r="C52" s="23">
        <f>IFERROR(__xludf.DUMMYFUNCTION("""COMPUTED_VALUE"""),107000.0)</f>
        <v>107000</v>
      </c>
      <c r="D52" s="17" t="str">
        <f>IFERROR(__xludf.DUMMYFUNCTION("""COMPUTED_VALUE"""),"Mid")</f>
        <v>Mid</v>
      </c>
      <c r="E52" s="18" t="str">
        <f>IFERROR(__xludf.DUMMYFUNCTION("""COMPUTED_VALUE"""),"mutiarsh")</f>
        <v>mutiarsh</v>
      </c>
      <c r="F52" s="23">
        <f>IFERROR(__xludf.DUMMYFUNCTION("""COMPUTED_VALUE"""),6735.0)</f>
        <v>6735</v>
      </c>
      <c r="G52" s="17" t="str">
        <f>IFERROR(__xludf.DUMMYFUNCTION("""COMPUTED_VALUE"""),"Nano")</f>
        <v>Nano</v>
      </c>
      <c r="H52" s="17" t="str">
        <f>IFERROR(__xludf.DUMMYFUNCTION("""COMPUTED_VALUE"""),"Bekasi")</f>
        <v>Bekasi</v>
      </c>
      <c r="I52" s="17" t="str">
        <f>IFERROR(__xludf.DUMMYFUNCTION("""COMPUTED_VALUE"""),"- Fashion Wanita
- Lifestyle Female
- Beauty")</f>
        <v>- Fashion Wanita
- Lifestyle Female
- Beauty</v>
      </c>
      <c r="J52" s="20">
        <f>IFERROR(__xludf.DUMMYFUNCTION("""COMPUTED_VALUE"""),200000.0)</f>
        <v>200000</v>
      </c>
      <c r="K52" s="20">
        <f>IFERROR(__xludf.DUMMYFUNCTION("""COMPUTED_VALUE"""),300000.0)</f>
        <v>300000</v>
      </c>
      <c r="L52" s="20">
        <f>IFERROR(__xludf.DUMMYFUNCTION("""COMPUTED_VALUE"""),300000.0)</f>
        <v>300000</v>
      </c>
      <c r="M52" s="20" t="str">
        <f>IFERROR(__xludf.DUMMYFUNCTION("""COMPUTED_VALUE"""),"FREE")</f>
        <v>FREE</v>
      </c>
      <c r="N52" s="20">
        <f>IFERROR(__xludf.DUMMYFUNCTION("""COMPUTED_VALUE"""),400000.0)</f>
        <v>400000</v>
      </c>
      <c r="O52" s="20">
        <f>IFERROR(__xludf.DUMMYFUNCTION("""COMPUTED_VALUE"""),450000.0)</f>
        <v>450000</v>
      </c>
      <c r="P52" s="20">
        <f>IFERROR(__xludf.DUMMYFUNCTION("""COMPUTED_VALUE"""),700000.0)</f>
        <v>700000</v>
      </c>
      <c r="Q52" s="20" t="str">
        <f>IFERROR(__xludf.DUMMYFUNCTION("""COMPUTED_VALUE"""),"FREE")</f>
        <v>FREE</v>
      </c>
      <c r="R52" s="20">
        <f>IFERROR(__xludf.DUMMYFUNCTION("""COMPUTED_VALUE"""),500000.0)</f>
        <v>500000</v>
      </c>
      <c r="S52" s="20">
        <f>IFERROR(__xludf.DUMMYFUNCTION("""COMPUTED_VALUE"""),900000.0)</f>
        <v>900000</v>
      </c>
      <c r="T52" s="17"/>
      <c r="U52" s="20" t="str">
        <f>IFERROR(__xludf.DUMMYFUNCTION("""COMPUTED_VALUE"""),"FREE")</f>
        <v>FREE</v>
      </c>
      <c r="V52" s="20" t="str">
        <f>IFERROR(__xludf.DUMMYFUNCTION("""COMPUTED_VALUE"""),"FREE")</f>
        <v>FREE</v>
      </c>
      <c r="W52" s="20" t="str">
        <f>IFERROR(__xludf.DUMMYFUNCTION("""COMPUTED_VALUE"""),"FREE")</f>
        <v>FREE</v>
      </c>
      <c r="X52" s="20">
        <f>IFERROR(__xludf.DUMMYFUNCTION("""COMPUTED_VALUE"""),2000000.0)</f>
        <v>2000000</v>
      </c>
      <c r="Y52" s="17"/>
    </row>
    <row r="53">
      <c r="A53" s="17">
        <f>IFERROR(__xludf.DUMMYFUNCTION("""COMPUTED_VALUE"""),50.0)</f>
        <v>50</v>
      </c>
      <c r="B53" s="18" t="str">
        <f>IFERROR(__xludf.DUMMYFUNCTION("""COMPUTED_VALUE"""),"jessicashainaa")</f>
        <v>jessicashainaa</v>
      </c>
      <c r="C53" s="23">
        <f>IFERROR(__xludf.DUMMYFUNCTION("""COMPUTED_VALUE"""),135000.0)</f>
        <v>135000</v>
      </c>
      <c r="D53" s="17" t="str">
        <f>IFERROR(__xludf.DUMMYFUNCTION("""COMPUTED_VALUE"""),"Mid")</f>
        <v>Mid</v>
      </c>
      <c r="E53" s="18" t="str">
        <f>IFERROR(__xludf.DUMMYFUNCTION("""COMPUTED_VALUE"""),"jessivns")</f>
        <v>jessivns</v>
      </c>
      <c r="F53" s="23">
        <f>IFERROR(__xludf.DUMMYFUNCTION("""COMPUTED_VALUE"""),148500.0)</f>
        <v>148500</v>
      </c>
      <c r="G53" s="17" t="str">
        <f>IFERROR(__xludf.DUMMYFUNCTION("""COMPUTED_VALUE"""),"Mid")</f>
        <v>Mid</v>
      </c>
      <c r="H53" s="17" t="str">
        <f>IFERROR(__xludf.DUMMYFUNCTION("""COMPUTED_VALUE"""),"Jakarta")</f>
        <v>Jakarta</v>
      </c>
      <c r="I53" s="17" t="str">
        <f>IFERROR(__xludf.DUMMYFUNCTION("""COMPUTED_VALUE"""),"- Lifestyle Female
- Actor / Actress")</f>
        <v>- Lifestyle Female
- Actor / Actress</v>
      </c>
      <c r="J53" s="20">
        <f>IFERROR(__xludf.DUMMYFUNCTION("""COMPUTED_VALUE"""),2500000.0)</f>
        <v>2500000</v>
      </c>
      <c r="K53" s="20">
        <f>IFERROR(__xludf.DUMMYFUNCTION("""COMPUTED_VALUE"""),2000000.0)</f>
        <v>2000000</v>
      </c>
      <c r="L53" s="20">
        <f>IFERROR(__xludf.DUMMYFUNCTION("""COMPUTED_VALUE"""),4500000.0)</f>
        <v>4500000</v>
      </c>
      <c r="M53" s="20">
        <f>IFERROR(__xludf.DUMMYFUNCTION("""COMPUTED_VALUE"""),500000.0)</f>
        <v>500000</v>
      </c>
      <c r="N53" s="20">
        <f>IFERROR(__xludf.DUMMYFUNCTION("""COMPUTED_VALUE"""),7000000.0)</f>
        <v>7000000</v>
      </c>
      <c r="O53" s="20">
        <f>IFERROR(__xludf.DUMMYFUNCTION("""COMPUTED_VALUE"""),7000000.0)</f>
        <v>7000000</v>
      </c>
      <c r="P53" s="20">
        <f>IFERROR(__xludf.DUMMYFUNCTION("""COMPUTED_VALUE"""),8000000.0)</f>
        <v>8000000</v>
      </c>
      <c r="Q53" s="21">
        <f>IFERROR(__xludf.DUMMYFUNCTION("""COMPUTED_VALUE"""),0.3)</f>
        <v>0.3</v>
      </c>
      <c r="R53" s="20">
        <f>IFERROR(__xludf.DUMMYFUNCTION("""COMPUTED_VALUE"""),8000000.0)</f>
        <v>8000000</v>
      </c>
      <c r="S53" s="20">
        <f>IFERROR(__xludf.DUMMYFUNCTION("""COMPUTED_VALUE"""),1.2E7)</f>
        <v>12000000</v>
      </c>
      <c r="T53" s="20">
        <f>IFERROR(__xludf.DUMMYFUNCTION("""COMPUTED_VALUE"""),8000000.0)</f>
        <v>8000000</v>
      </c>
      <c r="U53" s="21">
        <f>IFERROR(__xludf.DUMMYFUNCTION("""COMPUTED_VALUE"""),0.5)</f>
        <v>0.5</v>
      </c>
      <c r="V53" s="21">
        <f>IFERROR(__xludf.DUMMYFUNCTION("""COMPUTED_VALUE"""),0.5)</f>
        <v>0.5</v>
      </c>
      <c r="W53" s="20" t="str">
        <f>IFERROR(__xludf.DUMMYFUNCTION("""COMPUTED_VALUE"""),"FREE")</f>
        <v>FREE</v>
      </c>
      <c r="X53" s="20">
        <f>IFERROR(__xludf.DUMMYFUNCTION("""COMPUTED_VALUE"""),5000000.0)</f>
        <v>5000000</v>
      </c>
      <c r="Y53" s="17"/>
    </row>
    <row r="54">
      <c r="A54" s="17">
        <f>IFERROR(__xludf.DUMMYFUNCTION("""COMPUTED_VALUE"""),51.0)</f>
        <v>51</v>
      </c>
      <c r="B54" s="18" t="str">
        <f>IFERROR(__xludf.DUMMYFUNCTION("""COMPUTED_VALUE"""),"racunyaamos_")</f>
        <v>racunyaamos_</v>
      </c>
      <c r="C54" s="23">
        <f>IFERROR(__xludf.DUMMYFUNCTION("""COMPUTED_VALUE"""),96000.0)</f>
        <v>96000</v>
      </c>
      <c r="D54" s="17" t="str">
        <f>IFERROR(__xludf.DUMMYFUNCTION("""COMPUTED_VALUE"""),"Micro")</f>
        <v>Micro</v>
      </c>
      <c r="E54" s="18" t="str">
        <f>IFERROR(__xludf.DUMMYFUNCTION("""COMPUTED_VALUE"""),"racunyaamos_")</f>
        <v>racunyaamos_</v>
      </c>
      <c r="F54" s="23">
        <f>IFERROR(__xludf.DUMMYFUNCTION("""COMPUTED_VALUE"""),315200.0)</f>
        <v>315200</v>
      </c>
      <c r="G54" s="17" t="str">
        <f>IFERROR(__xludf.DUMMYFUNCTION("""COMPUTED_VALUE"""),"Mid")</f>
        <v>Mid</v>
      </c>
      <c r="H54" s="17" t="str">
        <f>IFERROR(__xludf.DUMMYFUNCTION("""COMPUTED_VALUE"""),"Tangerang")</f>
        <v>Tangerang</v>
      </c>
      <c r="I54" s="17" t="str">
        <f>IFERROR(__xludf.DUMMYFUNCTION("""COMPUTED_VALUE"""),"- Homeliving")</f>
        <v>- Homeliving</v>
      </c>
      <c r="J54" s="17"/>
      <c r="K54" s="20" t="str">
        <f>IFERROR(__xludf.DUMMYFUNCTION("""COMPUTED_VALUE"""),"TikTok + IG Reels (free tag collab) + IG Story+ Shopee Video
Rp3,300,000")</f>
        <v>TikTok + IG Reels (free tag collab) + IG Story+ Shopee Video
Rp3,300,000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>
        <f>IFERROR(__xludf.DUMMYFUNCTION("""COMPUTED_VALUE"""),52.0)</f>
        <v>52</v>
      </c>
      <c r="B55" s="18" t="str">
        <f>IFERROR(__xludf.DUMMYFUNCTION("""COMPUTED_VALUE"""),"ficrafth")</f>
        <v>ficrafth</v>
      </c>
      <c r="C55" s="23">
        <f>IFERROR(__xludf.DUMMYFUNCTION("""COMPUTED_VALUE"""),77000.0)</f>
        <v>77000</v>
      </c>
      <c r="D55" s="17" t="str">
        <f>IFERROR(__xludf.DUMMYFUNCTION("""COMPUTED_VALUE"""),"Micro")</f>
        <v>Micro</v>
      </c>
      <c r="E55" s="18" t="str">
        <f>IFERROR(__xludf.DUMMYFUNCTION("""COMPUTED_VALUE"""),"ficrafth")</f>
        <v>ficrafth</v>
      </c>
      <c r="F55" s="19">
        <f>IFERROR(__xludf.DUMMYFUNCTION("""COMPUTED_VALUE"""),2200000.0)</f>
        <v>2200000</v>
      </c>
      <c r="G55" s="17" t="str">
        <f>IFERROR(__xludf.DUMMYFUNCTION("""COMPUTED_VALUE"""),"Mega")</f>
        <v>Mega</v>
      </c>
      <c r="H55" s="17" t="str">
        <f>IFERROR(__xludf.DUMMYFUNCTION("""COMPUTED_VALUE"""),"Jakarta")</f>
        <v>Jakarta</v>
      </c>
      <c r="I55" s="17" t="str">
        <f>IFERROR(__xludf.DUMMYFUNCTION("""COMPUTED_VALUE"""),"- Lifestyle Male
- Comedy
- FnB")</f>
        <v>- Lifestyle Male
- Comedy
- FnB</v>
      </c>
      <c r="J55" s="17"/>
      <c r="K55" s="20">
        <f>IFERROR(__xludf.DUMMYFUNCTION("""COMPUTED_VALUE"""),500000.0)</f>
        <v>500000</v>
      </c>
      <c r="L55" s="20">
        <f>IFERROR(__xludf.DUMMYFUNCTION("""COMPUTED_VALUE"""),1500000.0)</f>
        <v>1500000</v>
      </c>
      <c r="M55" s="20" t="str">
        <f>IFERROR(__xludf.DUMMYFUNCTION("""COMPUTED_VALUE"""),"FREE")</f>
        <v>FREE</v>
      </c>
      <c r="N55" s="20">
        <f>IFERROR(__xludf.DUMMYFUNCTION("""COMPUTED_VALUE"""),2500000.0)</f>
        <v>2500000</v>
      </c>
      <c r="O55" s="20">
        <f>IFERROR(__xludf.DUMMYFUNCTION("""COMPUTED_VALUE"""),3000000.0)</f>
        <v>3000000</v>
      </c>
      <c r="P55" s="20">
        <f>IFERROR(__xludf.DUMMYFUNCTION("""COMPUTED_VALUE"""),4000000.0)</f>
        <v>4000000</v>
      </c>
      <c r="Q55" s="20">
        <f>IFERROR(__xludf.DUMMYFUNCTION("""COMPUTED_VALUE"""),3000000.0)</f>
        <v>3000000</v>
      </c>
      <c r="R55" s="20" t="str">
        <f>IFERROR(__xludf.DUMMYFUNCTION("""COMPUTED_VALUE"""),"Rp7.000.000 - Rp10.000.000")</f>
        <v>Rp7.000.000 - Rp10.000.000</v>
      </c>
      <c r="S55" s="20">
        <f>IFERROR(__xludf.DUMMYFUNCTION("""COMPUTED_VALUE"""),1.2E7)</f>
        <v>12000000</v>
      </c>
      <c r="T55" s="20" t="str">
        <f>IFERROR(__xludf.DUMMYFUNCTION("""COMPUTED_VALUE"""),"Rp3.500.000 - Rp5.000.000")</f>
        <v>Rp3.500.000 - Rp5.000.000</v>
      </c>
      <c r="U55" s="20">
        <f>IFERROR(__xludf.DUMMYFUNCTION("""COMPUTED_VALUE"""),4000000.0)</f>
        <v>4000000</v>
      </c>
      <c r="V55" s="20">
        <f>IFERROR(__xludf.DUMMYFUNCTION("""COMPUTED_VALUE"""),1000000.0)</f>
        <v>1000000</v>
      </c>
      <c r="W55" s="20">
        <f>IFERROR(__xludf.DUMMYFUNCTION("""COMPUTED_VALUE"""),500000.0)</f>
        <v>500000</v>
      </c>
      <c r="X55" s="20" t="str">
        <f>IFERROR(__xludf.DUMMYFUNCTION("""COMPUTED_VALUE"""),"Rp1.500.000 - Rp2.000.000")</f>
        <v>Rp1.500.000 - Rp2.000.000</v>
      </c>
      <c r="Y55" s="17"/>
    </row>
    <row r="56">
      <c r="A56" s="17">
        <f>IFERROR(__xludf.DUMMYFUNCTION("""COMPUTED_VALUE"""),53.0)</f>
        <v>53</v>
      </c>
      <c r="B56" s="18" t="str">
        <f>IFERROR(__xludf.DUMMYFUNCTION("""COMPUTED_VALUE"""),"uulliiaa_")</f>
        <v>uulliiaa_</v>
      </c>
      <c r="C56" s="23">
        <f>IFERROR(__xludf.DUMMYFUNCTION("""COMPUTED_VALUE"""),53000.0)</f>
        <v>53000</v>
      </c>
      <c r="D56" s="17" t="str">
        <f>IFERROR(__xludf.DUMMYFUNCTION("""COMPUTED_VALUE"""),"Micro")</f>
        <v>Micro</v>
      </c>
      <c r="E56" s="18" t="str">
        <f>IFERROR(__xludf.DUMMYFUNCTION("""COMPUTED_VALUE"""),"maykiana__")</f>
        <v>maykiana__</v>
      </c>
      <c r="F56" s="23">
        <f>IFERROR(__xludf.DUMMYFUNCTION("""COMPUTED_VALUE"""),8968.0)</f>
        <v>8968</v>
      </c>
      <c r="G56" s="17" t="str">
        <f>IFERROR(__xludf.DUMMYFUNCTION("""COMPUTED_VALUE"""),"Nano")</f>
        <v>Nano</v>
      </c>
      <c r="H56" s="20" t="str">
        <f>IFERROR(__xludf.DUMMYFUNCTION("""COMPUTED_VALUE"""),"Sukoharjo")</f>
        <v>Sukoharjo</v>
      </c>
      <c r="I56" s="17" t="str">
        <f>IFERROR(__xludf.DUMMYFUNCTION("""COMPUTED_VALUE"""),"- Mom &amp; Kids")</f>
        <v>- Mom &amp; Kids</v>
      </c>
      <c r="J56" s="20" t="str">
        <f>IFERROR(__xludf.DUMMYFUNCTION("""COMPUTED_VALUE"""),"Paket bundling IG Story + IG Reels (free mirror to TikTok + Shopee Video) + Thread + Tap Link + Link on bio: Rp450.000")</f>
        <v>Paket bundling IG Story + IG Reels (free mirror to TikTok + Shopee Video) + Thread + Tap Link + Link on bio: Rp450.000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>
        <f>IFERROR(__xludf.DUMMYFUNCTION("""COMPUTED_VALUE"""),54.0)</f>
        <v>54</v>
      </c>
      <c r="B57" s="18" t="str">
        <f>IFERROR(__xludf.DUMMYFUNCTION("""COMPUTED_VALUE"""),"mewindahttyas")</f>
        <v>mewindahttyas</v>
      </c>
      <c r="C57" s="23">
        <f>IFERROR(__xludf.DUMMYFUNCTION("""COMPUTED_VALUE"""),48900.0)</f>
        <v>48900</v>
      </c>
      <c r="D57" s="17" t="str">
        <f>IFERROR(__xludf.DUMMYFUNCTION("""COMPUTED_VALUE"""),"Micro")</f>
        <v>Micro</v>
      </c>
      <c r="E57" s="18" t="str">
        <f>IFERROR(__xludf.DUMMYFUNCTION("""COMPUTED_VALUE"""),"mewindaaahttyas")</f>
        <v>mewindaaahttyas</v>
      </c>
      <c r="F57" s="23">
        <f>IFERROR(__xludf.DUMMYFUNCTION("""COMPUTED_VALUE"""),4083.0)</f>
        <v>4083</v>
      </c>
      <c r="G57" s="17" t="str">
        <f>IFERROR(__xludf.DUMMYFUNCTION("""COMPUTED_VALUE"""),"Nano")</f>
        <v>Nano</v>
      </c>
      <c r="H57" s="17" t="str">
        <f>IFERROR(__xludf.DUMMYFUNCTION("""COMPUTED_VALUE"""),"Bengkulu")</f>
        <v>Bengkulu</v>
      </c>
      <c r="I57" s="17" t="str">
        <f>IFERROR(__xludf.DUMMYFUNCTION("""COMPUTED_VALUE"""),"- Mom &amp; Kids
- Homeliving")</f>
        <v>- Mom &amp; Kids
- Homeliving</v>
      </c>
      <c r="J57" s="20">
        <f>IFERROR(__xludf.DUMMYFUNCTION("""COMPUTED_VALUE"""),100000.0)</f>
        <v>100000</v>
      </c>
      <c r="K57" s="20">
        <f>IFERROR(__xludf.DUMMYFUNCTION("""COMPUTED_VALUE"""),150000.0)</f>
        <v>150000</v>
      </c>
      <c r="L57" s="17"/>
      <c r="M57" s="20" t="str">
        <f>IFERROR(__xludf.DUMMYFUNCTION("""COMPUTED_VALUE"""),"FREE")</f>
        <v>FREE</v>
      </c>
      <c r="N57" s="20">
        <f>IFERROR(__xludf.DUMMYFUNCTION("""COMPUTED_VALUE"""),300000.0)</f>
        <v>300000</v>
      </c>
      <c r="O57" s="20">
        <f>IFERROR(__xludf.DUMMYFUNCTION("""COMPUTED_VALUE"""),350000.0)</f>
        <v>350000</v>
      </c>
      <c r="P57" s="20">
        <f>IFERROR(__xludf.DUMMYFUNCTION("""COMPUTED_VALUE"""),400000.0)</f>
        <v>400000</v>
      </c>
      <c r="Q57" s="20" t="str">
        <f>IFERROR(__xludf.DUMMYFUNCTION("""COMPUTED_VALUE"""),"FREE")</f>
        <v>FREE</v>
      </c>
      <c r="R57" s="17"/>
      <c r="S57" s="20">
        <f>IFERROR(__xludf.DUMMYFUNCTION("""COMPUTED_VALUE"""),500000.0)</f>
        <v>500000</v>
      </c>
      <c r="T57" s="17"/>
      <c r="U57" s="20">
        <f>IFERROR(__xludf.DUMMYFUNCTION("""COMPUTED_VALUE"""),300000.0)</f>
        <v>300000</v>
      </c>
      <c r="V57" s="20">
        <f>IFERROR(__xludf.DUMMYFUNCTION("""COMPUTED_VALUE"""),300000.0)</f>
        <v>300000</v>
      </c>
      <c r="W57" s="20" t="str">
        <f>IFERROR(__xludf.DUMMYFUNCTION("""COMPUTED_VALUE"""),"FREE")</f>
        <v>FREE</v>
      </c>
      <c r="X57" s="17"/>
      <c r="Y57" s="17"/>
    </row>
    <row r="58">
      <c r="A58" s="17">
        <f>IFERROR(__xludf.DUMMYFUNCTION("""COMPUTED_VALUE"""),55.0)</f>
        <v>55</v>
      </c>
      <c r="B58" s="18" t="str">
        <f>IFERROR(__xludf.DUMMYFUNCTION("""COMPUTED_VALUE"""),"sasyaclarissa")</f>
        <v>sasyaclarissa</v>
      </c>
      <c r="C58" s="23">
        <f>IFERROR(__xludf.DUMMYFUNCTION("""COMPUTED_VALUE"""),39300.0)</f>
        <v>39300</v>
      </c>
      <c r="D58" s="17" t="str">
        <f>IFERROR(__xludf.DUMMYFUNCTION("""COMPUTED_VALUE"""),"Micro")</f>
        <v>Micro</v>
      </c>
      <c r="E58" s="18" t="str">
        <f>IFERROR(__xludf.DUMMYFUNCTION("""COMPUTED_VALUE"""),"sasyaclarissa_")</f>
        <v>sasyaclarissa_</v>
      </c>
      <c r="F58" s="23">
        <f>IFERROR(__xludf.DUMMYFUNCTION("""COMPUTED_VALUE"""),118700.0)</f>
        <v>118700</v>
      </c>
      <c r="G58" s="17" t="str">
        <f>IFERROR(__xludf.DUMMYFUNCTION("""COMPUTED_VALUE"""),"Mid")</f>
        <v>Mid</v>
      </c>
      <c r="H58" s="17" t="str">
        <f>IFERROR(__xludf.DUMMYFUNCTION("""COMPUTED_VALUE"""),"Bekasi")</f>
        <v>Bekasi</v>
      </c>
      <c r="I58" s="17" t="str">
        <f>IFERROR(__xludf.DUMMYFUNCTION("""COMPUTED_VALUE"""),"- Lifestyle Female")</f>
        <v>- Lifestyle Female</v>
      </c>
      <c r="J58" s="20">
        <f>IFERROR(__xludf.DUMMYFUNCTION("""COMPUTED_VALUE"""),150000.0)</f>
        <v>150000</v>
      </c>
      <c r="K58" s="20">
        <f>IFERROR(__xludf.DUMMYFUNCTION("""COMPUTED_VALUE"""),250000.0)</f>
        <v>250000</v>
      </c>
      <c r="L58" s="20">
        <f>IFERROR(__xludf.DUMMYFUNCTION("""COMPUTED_VALUE"""),250000.0)</f>
        <v>250000</v>
      </c>
      <c r="M58" s="20" t="str">
        <f>IFERROR(__xludf.DUMMYFUNCTION("""COMPUTED_VALUE"""),"FREE")</f>
        <v>FREE</v>
      </c>
      <c r="N58" s="20">
        <f>IFERROR(__xludf.DUMMYFUNCTION("""COMPUTED_VALUE"""),350000.0)</f>
        <v>350000</v>
      </c>
      <c r="O58" s="20">
        <f>IFERROR(__xludf.DUMMYFUNCTION("""COMPUTED_VALUE"""),450000.0)</f>
        <v>450000</v>
      </c>
      <c r="P58" s="20">
        <f>IFERROR(__xludf.DUMMYFUNCTION("""COMPUTED_VALUE"""),950000.0)</f>
        <v>950000</v>
      </c>
      <c r="Q58" s="20" t="str">
        <f>IFERROR(__xludf.DUMMYFUNCTION("""COMPUTED_VALUE"""),"FREE")</f>
        <v>FREE</v>
      </c>
      <c r="R58" s="20">
        <f>IFERROR(__xludf.DUMMYFUNCTION("""COMPUTED_VALUE"""),900000.0)</f>
        <v>900000</v>
      </c>
      <c r="S58" s="20">
        <f>IFERROR(__xludf.DUMMYFUNCTION("""COMPUTED_VALUE"""),1200000.0)</f>
        <v>1200000</v>
      </c>
      <c r="T58" s="20">
        <f>IFERROR(__xludf.DUMMYFUNCTION("""COMPUTED_VALUE"""),1100000.0)</f>
        <v>1100000</v>
      </c>
      <c r="U58" s="20" t="str">
        <f>IFERROR(__xludf.DUMMYFUNCTION("""COMPUTED_VALUE"""),"FREE")</f>
        <v>FREE</v>
      </c>
      <c r="V58" s="20" t="str">
        <f>IFERROR(__xludf.DUMMYFUNCTION("""COMPUTED_VALUE"""),"FREE")</f>
        <v>FREE</v>
      </c>
      <c r="W58" s="20" t="str">
        <f>IFERROR(__xludf.DUMMYFUNCTION("""COMPUTED_VALUE"""),"FREE")</f>
        <v>FREE</v>
      </c>
      <c r="X58" s="20">
        <f>IFERROR(__xludf.DUMMYFUNCTION("""COMPUTED_VALUE"""),800000.0)</f>
        <v>800000</v>
      </c>
      <c r="Y58" s="17"/>
    </row>
    <row r="59">
      <c r="A59" s="17">
        <f>IFERROR(__xludf.DUMMYFUNCTION("""COMPUTED_VALUE"""),56.0)</f>
        <v>56</v>
      </c>
      <c r="B59" s="18" t="str">
        <f>IFERROR(__xludf.DUMMYFUNCTION("""COMPUTED_VALUE"""),"salmaristiana")</f>
        <v>salmaristiana</v>
      </c>
      <c r="C59" s="23">
        <f>IFERROR(__xludf.DUMMYFUNCTION("""COMPUTED_VALUE"""),39000.0)</f>
        <v>39000</v>
      </c>
      <c r="D59" s="17" t="str">
        <f>IFERROR(__xludf.DUMMYFUNCTION("""COMPUTED_VALUE"""),"Micro")</f>
        <v>Micro</v>
      </c>
      <c r="E59" s="18" t="str">
        <f>IFERROR(__xludf.DUMMYFUNCTION("""COMPUTED_VALUE"""),"salmaaristiana")</f>
        <v>salmaaristiana</v>
      </c>
      <c r="F59" s="19">
        <f>IFERROR(__xludf.DUMMYFUNCTION("""COMPUTED_VALUE"""),2200000.0)</f>
        <v>2200000</v>
      </c>
      <c r="G59" s="17" t="str">
        <f>IFERROR(__xludf.DUMMYFUNCTION("""COMPUTED_VALUE"""),"Mega")</f>
        <v>Mega</v>
      </c>
      <c r="H59" s="17" t="str">
        <f>IFERROR(__xludf.DUMMYFUNCTION("""COMPUTED_VALUE"""),"Bogor")</f>
        <v>Bogor</v>
      </c>
      <c r="I59" s="17" t="str">
        <f>IFERROR(__xludf.DUMMYFUNCTION("""COMPUTED_VALUE"""),"- Lifestyle Female
- Comedy")</f>
        <v>- Lifestyle Female
- Comedy</v>
      </c>
      <c r="J59" s="20">
        <f>IFERROR(__xludf.DUMMYFUNCTION("""COMPUTED_VALUE"""),200000.0)</f>
        <v>200000</v>
      </c>
      <c r="K59" s="20">
        <f>IFERROR(__xludf.DUMMYFUNCTION("""COMPUTED_VALUE"""),200000.0)</f>
        <v>200000</v>
      </c>
      <c r="L59" s="20">
        <f>IFERROR(__xludf.DUMMYFUNCTION("""COMPUTED_VALUE"""),500000.0)</f>
        <v>500000</v>
      </c>
      <c r="M59" s="20" t="str">
        <f>IFERROR(__xludf.DUMMYFUNCTION("""COMPUTED_VALUE"""),"FREE")</f>
        <v>FREE</v>
      </c>
      <c r="N59" s="20">
        <f>IFERROR(__xludf.DUMMYFUNCTION("""COMPUTED_VALUE"""),800000.0)</f>
        <v>800000</v>
      </c>
      <c r="O59" s="20">
        <f>IFERROR(__xludf.DUMMYFUNCTION("""COMPUTED_VALUE"""),1000000.0)</f>
        <v>1000000</v>
      </c>
      <c r="P59" s="20">
        <f>IFERROR(__xludf.DUMMYFUNCTION("""COMPUTED_VALUE"""),1500000.0)</f>
        <v>1500000</v>
      </c>
      <c r="Q59" s="20" t="str">
        <f>IFERROR(__xludf.DUMMYFUNCTION("""COMPUTED_VALUE"""),"FREE")</f>
        <v>FREE</v>
      </c>
      <c r="R59" s="20">
        <f>IFERROR(__xludf.DUMMYFUNCTION("""COMPUTED_VALUE"""),6000000.0)</f>
        <v>6000000</v>
      </c>
      <c r="S59" s="20">
        <f>IFERROR(__xludf.DUMMYFUNCTION("""COMPUTED_VALUE"""),7000000.0)</f>
        <v>7000000</v>
      </c>
      <c r="T59" s="20">
        <f>IFERROR(__xludf.DUMMYFUNCTION("""COMPUTED_VALUE"""),2000000.0)</f>
        <v>2000000</v>
      </c>
      <c r="U59" s="20">
        <f>IFERROR(__xludf.DUMMYFUNCTION("""COMPUTED_VALUE"""),1000000.0)</f>
        <v>1000000</v>
      </c>
      <c r="V59" s="20" t="str">
        <f>IFERROR(__xludf.DUMMYFUNCTION("""COMPUTED_VALUE"""),"FREE")</f>
        <v>FREE</v>
      </c>
      <c r="W59" s="20" t="str">
        <f>IFERROR(__xludf.DUMMYFUNCTION("""COMPUTED_VALUE"""),"FREE")</f>
        <v>FREE</v>
      </c>
      <c r="X59" s="20">
        <f>IFERROR(__xludf.DUMMYFUNCTION("""COMPUTED_VALUE"""),8000000.0)</f>
        <v>8000000</v>
      </c>
      <c r="Y59" s="17"/>
    </row>
    <row r="60">
      <c r="A60" s="17">
        <f>IFERROR(__xludf.DUMMYFUNCTION("""COMPUTED_VALUE"""),57.0)</f>
        <v>57</v>
      </c>
      <c r="B60" s="18" t="str">
        <f>IFERROR(__xludf.DUMMYFUNCTION("""COMPUTED_VALUE"""),"hoveryponen12")</f>
        <v>hoveryponen12</v>
      </c>
      <c r="C60" s="23">
        <f>IFERROR(__xludf.DUMMYFUNCTION("""COMPUTED_VALUE"""),30300.0)</f>
        <v>30300</v>
      </c>
      <c r="D60" s="17" t="str">
        <f>IFERROR(__xludf.DUMMYFUNCTION("""COMPUTED_VALUE"""),"Micro")</f>
        <v>Micro</v>
      </c>
      <c r="E60" s="18" t="str">
        <f>IFERROR(__xludf.DUMMYFUNCTION("""COMPUTED_VALUE"""),"kenbun88")</f>
        <v>kenbun88</v>
      </c>
      <c r="F60" s="23">
        <f>IFERROR(__xludf.DUMMYFUNCTION("""COMPUTED_VALUE"""),342500.0)</f>
        <v>342500</v>
      </c>
      <c r="G60" s="17" t="str">
        <f>IFERROR(__xludf.DUMMYFUNCTION("""COMPUTED_VALUE"""),"Mid")</f>
        <v>Mid</v>
      </c>
      <c r="H60" s="17" t="str">
        <f>IFERROR(__xludf.DUMMYFUNCTION("""COMPUTED_VALUE"""),"Jakarta")</f>
        <v>Jakarta</v>
      </c>
      <c r="I60" s="17" t="str">
        <f>IFERROR(__xludf.DUMMYFUNCTION("""COMPUTED_VALUE"""),"- Lifestyle Male
- Health &amp; Sport")</f>
        <v>- Lifestyle Male
- Health &amp; Sport</v>
      </c>
      <c r="J60" s="20">
        <f>IFERROR(__xludf.DUMMYFUNCTION("""COMPUTED_VALUE"""),200000.0)</f>
        <v>200000</v>
      </c>
      <c r="K60" s="20">
        <f>IFERROR(__xludf.DUMMYFUNCTION("""COMPUTED_VALUE"""),200000.0)</f>
        <v>200000</v>
      </c>
      <c r="L60" s="20">
        <f>IFERROR(__xludf.DUMMYFUNCTION("""COMPUTED_VALUE"""),700000.0)</f>
        <v>700000</v>
      </c>
      <c r="M60" s="20" t="str">
        <f>IFERROR(__xludf.DUMMYFUNCTION("""COMPUTED_VALUE"""),"FREE")</f>
        <v>FREE</v>
      </c>
      <c r="N60" s="20">
        <f>IFERROR(__xludf.DUMMYFUNCTION("""COMPUTED_VALUE"""),350000.0)</f>
        <v>350000</v>
      </c>
      <c r="O60" s="20">
        <f>IFERROR(__xludf.DUMMYFUNCTION("""COMPUTED_VALUE"""),400000.0)</f>
        <v>400000</v>
      </c>
      <c r="P60" s="20">
        <f>IFERROR(__xludf.DUMMYFUNCTION("""COMPUTED_VALUE"""),1000000.0)</f>
        <v>1000000</v>
      </c>
      <c r="Q60" s="20" t="str">
        <f>IFERROR(__xludf.DUMMYFUNCTION("""COMPUTED_VALUE"""),"FREE")</f>
        <v>FREE</v>
      </c>
      <c r="R60" s="20">
        <f>IFERROR(__xludf.DUMMYFUNCTION("""COMPUTED_VALUE"""),2500000.0)</f>
        <v>2500000</v>
      </c>
      <c r="S60" s="20">
        <f>IFERROR(__xludf.DUMMYFUNCTION("""COMPUTED_VALUE"""),3000000.0)</f>
        <v>3000000</v>
      </c>
      <c r="T60" s="20">
        <f>IFERROR(__xludf.DUMMYFUNCTION("""COMPUTED_VALUE"""),500000.0)</f>
        <v>500000</v>
      </c>
      <c r="U60" s="20">
        <f>IFERROR(__xludf.DUMMYFUNCTION("""COMPUTED_VALUE"""),500000.0)</f>
        <v>500000</v>
      </c>
      <c r="V60" s="20" t="str">
        <f>IFERROR(__xludf.DUMMYFUNCTION("""COMPUTED_VALUE"""),"TBD")</f>
        <v>TBD</v>
      </c>
      <c r="W60" s="20" t="str">
        <f>IFERROR(__xludf.DUMMYFUNCTION("""COMPUTED_VALUE"""),"FREE")</f>
        <v>FREE</v>
      </c>
      <c r="X60" s="20">
        <f>IFERROR(__xludf.DUMMYFUNCTION("""COMPUTED_VALUE"""),1000000.0)</f>
        <v>1000000</v>
      </c>
      <c r="Y60" s="17"/>
    </row>
    <row r="61">
      <c r="A61" s="17">
        <f>IFERROR(__xludf.DUMMYFUNCTION("""COMPUTED_VALUE"""),58.0)</f>
        <v>58</v>
      </c>
      <c r="B61" s="18" t="str">
        <f>IFERROR(__xludf.DUMMYFUNCTION("""COMPUTED_VALUE"""),"rachma.fira")</f>
        <v>rachma.fira</v>
      </c>
      <c r="C61" s="23">
        <f>IFERROR(__xludf.DUMMYFUNCTION("""COMPUTED_VALUE"""),25600.0)</f>
        <v>25600</v>
      </c>
      <c r="D61" s="17" t="str">
        <f>IFERROR(__xludf.DUMMYFUNCTION("""COMPUTED_VALUE"""),"Micro")</f>
        <v>Micro</v>
      </c>
      <c r="E61" s="18" t="str">
        <f>IFERROR(__xludf.DUMMYFUNCTION("""COMPUTED_VALUE"""),"rachmafira12")</f>
        <v>rachmafira12</v>
      </c>
      <c r="F61" s="19">
        <f>IFERROR(__xludf.DUMMYFUNCTION("""COMPUTED_VALUE"""),1100000.0)</f>
        <v>1100000</v>
      </c>
      <c r="G61" s="17" t="str">
        <f>IFERROR(__xludf.DUMMYFUNCTION("""COMPUTED_VALUE"""),"Mega")</f>
        <v>Mega</v>
      </c>
      <c r="H61" s="17" t="str">
        <f>IFERROR(__xludf.DUMMYFUNCTION("""COMPUTED_VALUE"""),"Jogjakarta")</f>
        <v>Jogjakarta</v>
      </c>
      <c r="I61" s="17" t="str">
        <f>IFERROR(__xludf.DUMMYFUNCTION("""COMPUTED_VALUE"""),"- FnB")</f>
        <v>- FnB</v>
      </c>
      <c r="J61" s="20">
        <f>IFERROR(__xludf.DUMMYFUNCTION("""COMPUTED_VALUE"""),150000.0)</f>
        <v>150000</v>
      </c>
      <c r="K61" s="20">
        <f>IFERROR(__xludf.DUMMYFUNCTION("""COMPUTED_VALUE"""),150000.0)</f>
        <v>150000</v>
      </c>
      <c r="L61" s="20">
        <f>IFERROR(__xludf.DUMMYFUNCTION("""COMPUTED_VALUE"""),200000.0)</f>
        <v>200000</v>
      </c>
      <c r="M61" s="20" t="str">
        <f>IFERROR(__xludf.DUMMYFUNCTION("""COMPUTED_VALUE"""),"FREE")</f>
        <v>FREE</v>
      </c>
      <c r="N61" s="20">
        <f>IFERROR(__xludf.DUMMYFUNCTION("""COMPUTED_VALUE"""),200000.0)</f>
        <v>200000</v>
      </c>
      <c r="O61" s="20">
        <f>IFERROR(__xludf.DUMMYFUNCTION("""COMPUTED_VALUE"""),300000.0)</f>
        <v>300000</v>
      </c>
      <c r="P61" s="20">
        <f>IFERROR(__xludf.DUMMYFUNCTION("""COMPUTED_VALUE"""),800000.0)</f>
        <v>800000</v>
      </c>
      <c r="Q61" s="20" t="str">
        <f>IFERROR(__xludf.DUMMYFUNCTION("""COMPUTED_VALUE"""),"FREE")</f>
        <v>FREE</v>
      </c>
      <c r="R61" s="20">
        <f>IFERROR(__xludf.DUMMYFUNCTION("""COMPUTED_VALUE"""),2800000.0)</f>
        <v>2800000</v>
      </c>
      <c r="S61" s="20">
        <f>IFERROR(__xludf.DUMMYFUNCTION("""COMPUTED_VALUE"""),3000000.0)</f>
        <v>3000000</v>
      </c>
      <c r="T61" s="20">
        <f>IFERROR(__xludf.DUMMYFUNCTION("""COMPUTED_VALUE"""),600000.0)</f>
        <v>600000</v>
      </c>
      <c r="U61" s="20">
        <f>IFERROR(__xludf.DUMMYFUNCTION("""COMPUTED_VALUE"""),500000.0)</f>
        <v>500000</v>
      </c>
      <c r="V61" s="20">
        <f>IFERROR(__xludf.DUMMYFUNCTION("""COMPUTED_VALUE"""),350000.0)</f>
        <v>350000</v>
      </c>
      <c r="W61" s="20" t="str">
        <f>IFERROR(__xludf.DUMMYFUNCTION("""COMPUTED_VALUE"""),"FREE")</f>
        <v>FREE</v>
      </c>
      <c r="X61" s="20">
        <f>IFERROR(__xludf.DUMMYFUNCTION("""COMPUTED_VALUE"""),800000.0)</f>
        <v>800000</v>
      </c>
      <c r="Y61" s="17"/>
    </row>
    <row r="62">
      <c r="A62" s="17">
        <f>IFERROR(__xludf.DUMMYFUNCTION("""COMPUTED_VALUE"""),59.0)</f>
        <v>59</v>
      </c>
      <c r="B62" s="18" t="str">
        <f>IFERROR(__xludf.DUMMYFUNCTION("""COMPUTED_VALUE"""),"rifaeny0")</f>
        <v>rifaeny0</v>
      </c>
      <c r="C62" s="23">
        <f>IFERROR(__xludf.DUMMYFUNCTION("""COMPUTED_VALUE"""),11500.0)</f>
        <v>11500</v>
      </c>
      <c r="D62" s="17" t="str">
        <f>IFERROR(__xludf.DUMMYFUNCTION("""COMPUTED_VALUE"""),"Micro")</f>
        <v>Micro</v>
      </c>
      <c r="E62" s="18" t="str">
        <f>IFERROR(__xludf.DUMMYFUNCTION("""COMPUTED_VALUE"""),"rifani665")</f>
        <v>rifani665</v>
      </c>
      <c r="F62" s="23">
        <f>IFERROR(__xludf.DUMMYFUNCTION("""COMPUTED_VALUE"""),240800.0)</f>
        <v>240800</v>
      </c>
      <c r="G62" s="17" t="str">
        <f>IFERROR(__xludf.DUMMYFUNCTION("""COMPUTED_VALUE"""),"Mid")</f>
        <v>Mid</v>
      </c>
      <c r="H62" s="17" t="str">
        <f>IFERROR(__xludf.DUMMYFUNCTION("""COMPUTED_VALUE"""),"Jakarta")</f>
        <v>Jakarta</v>
      </c>
      <c r="I62" s="17" t="str">
        <f>IFERROR(__xludf.DUMMYFUNCTION("""COMPUTED_VALUE"""),"- FnB
- Lifestyle Female
- Place review")</f>
        <v>- FnB
- Lifestyle Female
- Place review</v>
      </c>
      <c r="J62" s="20">
        <f>IFERROR(__xludf.DUMMYFUNCTION("""COMPUTED_VALUE"""),200000.0)</f>
        <v>200000</v>
      </c>
      <c r="K62" s="20">
        <f>IFERROR(__xludf.DUMMYFUNCTION("""COMPUTED_VALUE"""),500000.0)</f>
        <v>500000</v>
      </c>
      <c r="L62" s="20">
        <f>IFERROR(__xludf.DUMMYFUNCTION("""COMPUTED_VALUE"""),1300000.0)</f>
        <v>1300000</v>
      </c>
      <c r="M62" s="20">
        <f>IFERROR(__xludf.DUMMYFUNCTION("""COMPUTED_VALUE"""),200000.0)</f>
        <v>200000</v>
      </c>
      <c r="N62" s="20">
        <f>IFERROR(__xludf.DUMMYFUNCTION("""COMPUTED_VALUE"""),1500000.0)</f>
        <v>1500000</v>
      </c>
      <c r="O62" s="20">
        <f>IFERROR(__xludf.DUMMYFUNCTION("""COMPUTED_VALUE"""),1500000.0)</f>
        <v>1500000</v>
      </c>
      <c r="P62" s="20">
        <f>IFERROR(__xludf.DUMMYFUNCTION("""COMPUTED_VALUE"""),2000000.0)</f>
        <v>2000000</v>
      </c>
      <c r="Q62" s="20" t="str">
        <f>IFERROR(__xludf.DUMMYFUNCTION("""COMPUTED_VALUE"""),"FREE")</f>
        <v>FREE</v>
      </c>
      <c r="R62" s="20">
        <f>IFERROR(__xludf.DUMMYFUNCTION("""COMPUTED_VALUE"""),3500000.0)</f>
        <v>3500000</v>
      </c>
      <c r="S62" s="20">
        <f>IFERROR(__xludf.DUMMYFUNCTION("""COMPUTED_VALUE"""),4200000.0)</f>
        <v>4200000</v>
      </c>
      <c r="T62" s="20">
        <f>IFERROR(__xludf.DUMMYFUNCTION("""COMPUTED_VALUE"""),5000000.0)</f>
        <v>5000000</v>
      </c>
      <c r="U62" s="21">
        <f>IFERROR(__xludf.DUMMYFUNCTION("""COMPUTED_VALUE"""),1.0)</f>
        <v>1</v>
      </c>
      <c r="V62" s="21">
        <f>IFERROR(__xludf.DUMMYFUNCTION("""COMPUTED_VALUE"""),0.3)</f>
        <v>0.3</v>
      </c>
      <c r="W62" s="20">
        <f>IFERROR(__xludf.DUMMYFUNCTION("""COMPUTED_VALUE"""),500000.0)</f>
        <v>500000</v>
      </c>
      <c r="X62" s="20">
        <f>IFERROR(__xludf.DUMMYFUNCTION("""COMPUTED_VALUE"""),1000000.0)</f>
        <v>1000000</v>
      </c>
      <c r="Y62" s="17"/>
    </row>
    <row r="63">
      <c r="A63" s="17">
        <f>IFERROR(__xludf.DUMMYFUNCTION("""COMPUTED_VALUE"""),60.0)</f>
        <v>60</v>
      </c>
      <c r="B63" s="18" t="str">
        <f>IFERROR(__xludf.DUMMYFUNCTION("""COMPUTED_VALUE"""),"kezhialverta")</f>
        <v>kezhialverta</v>
      </c>
      <c r="C63" s="23">
        <f>IFERROR(__xludf.DUMMYFUNCTION("""COMPUTED_VALUE"""),1962.0)</f>
        <v>1962</v>
      </c>
      <c r="D63" s="17" t="str">
        <f>IFERROR(__xludf.DUMMYFUNCTION("""COMPUTED_VALUE"""),"Nano")</f>
        <v>Nano</v>
      </c>
      <c r="E63" s="18" t="str">
        <f>IFERROR(__xludf.DUMMYFUNCTION("""COMPUTED_VALUE"""),"kezhialverta")</f>
        <v>kezhialverta</v>
      </c>
      <c r="F63" s="23">
        <f>IFERROR(__xludf.DUMMYFUNCTION("""COMPUTED_VALUE"""),251700.0)</f>
        <v>251700</v>
      </c>
      <c r="G63" s="17" t="str">
        <f>IFERROR(__xludf.DUMMYFUNCTION("""COMPUTED_VALUE"""),"Mid")</f>
        <v>Mid</v>
      </c>
      <c r="H63" s="17" t="str">
        <f>IFERROR(__xludf.DUMMYFUNCTION("""COMPUTED_VALUE"""),"Jakarta")</f>
        <v>Jakarta</v>
      </c>
      <c r="I63" s="17" t="str">
        <f>IFERROR(__xludf.DUMMYFUNCTION("""COMPUTED_VALUE"""),"- FnB
- Place review")</f>
        <v>- FnB
- Place review</v>
      </c>
      <c r="J63" s="17"/>
      <c r="K63" s="17"/>
      <c r="L63" s="17"/>
      <c r="M63" s="17"/>
      <c r="N63" s="17"/>
      <c r="O63" s="17"/>
      <c r="P63" s="20">
        <f>IFERROR(__xludf.DUMMYFUNCTION("""COMPUTED_VALUE"""),250000.0)</f>
        <v>250000</v>
      </c>
      <c r="Q63" s="20" t="str">
        <f>IFERROR(__xludf.DUMMYFUNCTION("""COMPUTED_VALUE"""),"FREE")</f>
        <v>FREE</v>
      </c>
      <c r="R63" s="20">
        <f>IFERROR(__xludf.DUMMYFUNCTION("""COMPUTED_VALUE"""),750000.0)</f>
        <v>750000</v>
      </c>
      <c r="S63" s="20">
        <f>IFERROR(__xludf.DUMMYFUNCTION("""COMPUTED_VALUE"""),975000.0)</f>
        <v>975000</v>
      </c>
      <c r="T63" s="17"/>
      <c r="U63" s="20">
        <f>IFERROR(__xludf.DUMMYFUNCTION("""COMPUTED_VALUE"""),150000.0)</f>
        <v>150000</v>
      </c>
      <c r="V63" s="20" t="str">
        <f>IFERROR(__xludf.DUMMYFUNCTION("""COMPUTED_VALUE"""),"menyesuaikan")</f>
        <v>menyesuaikan</v>
      </c>
      <c r="W63" s="20" t="str">
        <f>IFERROR(__xludf.DUMMYFUNCTION("""COMPUTED_VALUE"""),"FREE")</f>
        <v>FREE</v>
      </c>
      <c r="X63" s="20" t="str">
        <f>IFERROR(__xludf.DUMMYFUNCTION("""COMPUTED_VALUE"""),"menyesuaikan")</f>
        <v>menyesuaikan</v>
      </c>
      <c r="Y63" s="17"/>
    </row>
    <row r="64">
      <c r="A64" s="17">
        <f>IFERROR(__xludf.DUMMYFUNCTION("""COMPUTED_VALUE"""),61.0)</f>
        <v>61</v>
      </c>
      <c r="B64" s="17" t="str">
        <f>IFERROR(__xludf.DUMMYFUNCTION("""COMPUTED_VALUE"""),"TikTok Only")</f>
        <v>TikTok Only</v>
      </c>
      <c r="C64" s="17"/>
      <c r="D64" s="17"/>
      <c r="E64" s="18" t="str">
        <f>IFERROR(__xludf.DUMMYFUNCTION("""COMPUTED_VALUE"""),"almineta2")</f>
        <v>almineta2</v>
      </c>
      <c r="F64" s="19">
        <f>IFERROR(__xludf.DUMMYFUNCTION("""COMPUTED_VALUE"""),1600000.0)</f>
        <v>1600000</v>
      </c>
      <c r="G64" s="17" t="str">
        <f>IFERROR(__xludf.DUMMYFUNCTION("""COMPUTED_VALUE"""),"Mega")</f>
        <v>Mega</v>
      </c>
      <c r="H64" s="17" t="str">
        <f>IFERROR(__xludf.DUMMYFUNCTION("""COMPUTED_VALUE"""),"Bandung")</f>
        <v>Bandung</v>
      </c>
      <c r="I64" s="17" t="str">
        <f>IFERROR(__xludf.DUMMYFUNCTION("""COMPUTED_VALUE"""),"-Lifestyle Female
- Fashion Wanita
- Beauty")</f>
        <v>-Lifestyle Female
- Fashion Wanita
- Beauty</v>
      </c>
      <c r="J64" s="17"/>
      <c r="K64" s="17"/>
      <c r="L64" s="17"/>
      <c r="M64" s="17"/>
      <c r="N64" s="17"/>
      <c r="O64" s="17"/>
      <c r="P64" s="17"/>
      <c r="Q64" s="17"/>
      <c r="R64" s="20">
        <f>IFERROR(__xludf.DUMMYFUNCTION("""COMPUTED_VALUE"""),1.6E7)</f>
        <v>16000000</v>
      </c>
      <c r="S64" s="17" t="str">
        <f>IFERROR(__xludf.DUMMYFUNCTION("""COMPUTED_VALUE"""),"Rp8,500,000")</f>
        <v>Rp8,500,000</v>
      </c>
      <c r="T64" s="17"/>
      <c r="U64" s="17"/>
      <c r="V64" s="17"/>
      <c r="W64" s="17"/>
      <c r="X64" s="17"/>
      <c r="Y64" s="17"/>
    </row>
    <row r="65">
      <c r="A65" s="17">
        <f>IFERROR(__xludf.DUMMYFUNCTION("""COMPUTED_VALUE"""),62.0)</f>
        <v>62</v>
      </c>
      <c r="B65" s="18" t="str">
        <f>IFERROR(__xludf.DUMMYFUNCTION("""COMPUTED_VALUE"""),"fadlyfsl_")</f>
        <v>fadlyfsl_</v>
      </c>
      <c r="C65" s="25">
        <f>IFERROR(__xludf.DUMMYFUNCTION("""COMPUTED_VALUE"""),7000000.0)</f>
        <v>7000000</v>
      </c>
      <c r="D65" s="17" t="str">
        <f>IFERROR(__xludf.DUMMYFUNCTION("""COMPUTED_VALUE"""),"Mega")</f>
        <v>Mega</v>
      </c>
      <c r="E65" s="18" t="str">
        <f>IFERROR(__xludf.DUMMYFUNCTION("""COMPUTED_VALUE"""),"fadlyfsl_")</f>
        <v>fadlyfsl_</v>
      </c>
      <c r="F65" s="26">
        <f>IFERROR(__xludf.DUMMYFUNCTION("""COMPUTED_VALUE"""),6100000.0)</f>
        <v>6100000</v>
      </c>
      <c r="G65" s="17" t="str">
        <f>IFERROR(__xludf.DUMMYFUNCTION("""COMPUTED_VALUE"""),"Mega")</f>
        <v>Mega</v>
      </c>
      <c r="H65" s="17" t="str">
        <f>IFERROR(__xludf.DUMMYFUNCTION("""COMPUTED_VALUE"""),"Jakarta")</f>
        <v>Jakarta</v>
      </c>
      <c r="I65" s="17" t="str">
        <f>IFERROR(__xludf.DUMMYFUNCTION("""COMPUTED_VALUE"""),"- Lifestyle Male")</f>
        <v>- Lifestyle Male</v>
      </c>
      <c r="J65" s="17"/>
      <c r="K65" s="20" t="str">
        <f>IFERROR(__xludf.DUMMYFUNCTION("""COMPUTED_VALUE"""),"Rp10,000,000/15s")</f>
        <v>Rp10,000,000/15s</v>
      </c>
      <c r="L65" s="17"/>
      <c r="M65" s="17"/>
      <c r="N65" s="20">
        <f>IFERROR(__xludf.DUMMYFUNCTION("""COMPUTED_VALUE"""),2.5E7)</f>
        <v>25000000</v>
      </c>
      <c r="O65" s="17"/>
      <c r="P65" s="20">
        <f>IFERROR(__xludf.DUMMYFUNCTION("""COMPUTED_VALUE"""),3.5E7)</f>
        <v>35000000</v>
      </c>
      <c r="Q65" s="17"/>
      <c r="R65" s="20" t="str">
        <f>IFERROR(__xludf.DUMMYFUNCTION("""COMPUTED_VALUE"""),"Rp35,000,000 (max. 30s)")</f>
        <v>Rp35,000,000 (max. 30s)</v>
      </c>
      <c r="S65" s="21">
        <f>IFERROR(__xludf.DUMMYFUNCTION("""COMPUTED_VALUE"""),0.5)</f>
        <v>0.5</v>
      </c>
      <c r="T65" s="20" t="str">
        <f>IFERROR(__xludf.DUMMYFUNCTION("""COMPUTED_VALUE"""),"Rp40,000,000/jam")</f>
        <v>Rp40,000,000/jam</v>
      </c>
      <c r="U65" s="17"/>
      <c r="V65" s="21">
        <f>IFERROR(__xludf.DUMMYFUNCTION("""COMPUTED_VALUE"""),0.5)</f>
        <v>0.5</v>
      </c>
      <c r="W65" s="17"/>
      <c r="X65" s="17"/>
      <c r="Y65" s="17"/>
    </row>
    <row r="66">
      <c r="A66" s="17">
        <f>IFERROR(__xludf.DUMMYFUNCTION("""COMPUTED_VALUE"""),63.0)</f>
        <v>63</v>
      </c>
      <c r="B66" s="18" t="str">
        <f>IFERROR(__xludf.DUMMYFUNCTION("""COMPUTED_VALUE"""),"@fatyabiya")</f>
        <v>@fatyabiya</v>
      </c>
      <c r="C66" s="23">
        <f>IFERROR(__xludf.DUMMYFUNCTION("""COMPUTED_VALUE"""),351000.0)</f>
        <v>351000</v>
      </c>
      <c r="D66" s="17" t="str">
        <f>IFERROR(__xludf.DUMMYFUNCTION("""COMPUTED_VALUE"""),"Mid")</f>
        <v>Mid</v>
      </c>
      <c r="E66" s="18" t="str">
        <f>IFERROR(__xludf.DUMMYFUNCTION("""COMPUTED_VALUE"""),"@fatyabiyaaa")</f>
        <v>@fatyabiyaaa</v>
      </c>
      <c r="F66" s="23">
        <f>IFERROR(__xludf.DUMMYFUNCTION("""COMPUTED_VALUE"""),256000.0)</f>
        <v>256000</v>
      </c>
      <c r="G66" s="17" t="str">
        <f>IFERROR(__xludf.DUMMYFUNCTION("""COMPUTED_VALUE"""),"Mid")</f>
        <v>Mid</v>
      </c>
      <c r="H66" s="17" t="str">
        <f>IFERROR(__xludf.DUMMYFUNCTION("""COMPUTED_VALUE"""),"Jakarta")</f>
        <v>Jakarta</v>
      </c>
      <c r="I66" s="17" t="str">
        <f>IFERROR(__xludf.DUMMYFUNCTION("""COMPUTED_VALUE""")," - Beauty")</f>
        <v> - Beauty</v>
      </c>
      <c r="J66" s="17"/>
      <c r="K66" s="20">
        <f>IFERROR(__xludf.DUMMYFUNCTION("""COMPUTED_VALUE"""),8000000.0)</f>
        <v>8000000</v>
      </c>
      <c r="L66" s="20">
        <f>IFERROR(__xludf.DUMMYFUNCTION("""COMPUTED_VALUE"""),1.5E7)</f>
        <v>15000000</v>
      </c>
      <c r="M66" s="20" t="str">
        <f>IFERROR(__xludf.DUMMYFUNCTION("""COMPUTED_VALUE"""),"FREE")</f>
        <v>FREE</v>
      </c>
      <c r="N66" s="20">
        <f>IFERROR(__xludf.DUMMYFUNCTION("""COMPUTED_VALUE"""),2.0E7)</f>
        <v>20000000</v>
      </c>
      <c r="O66" s="17"/>
      <c r="P66" s="20">
        <f>IFERROR(__xludf.DUMMYFUNCTION("""COMPUTED_VALUE"""),2.5E7)</f>
        <v>25000000</v>
      </c>
      <c r="Q66" s="17"/>
      <c r="R66" s="20">
        <f>IFERROR(__xludf.DUMMYFUNCTION("""COMPUTED_VALUE"""),2.0E7)</f>
        <v>20000000</v>
      </c>
      <c r="S66" s="20">
        <f>IFERROR(__xludf.DUMMYFUNCTION("""COMPUTED_VALUE"""),3.5E7)</f>
        <v>35000000</v>
      </c>
      <c r="T66" s="17"/>
      <c r="U66" s="20" t="str">
        <f>IFERROR(__xludf.DUMMYFUNCTION("""COMPUTED_VALUE"""),"100%-150%")</f>
        <v>100%-150%</v>
      </c>
      <c r="V66" s="21">
        <f>IFERROR(__xludf.DUMMYFUNCTION("""COMPUTED_VALUE"""),0.5)</f>
        <v>0.5</v>
      </c>
      <c r="W66" s="17"/>
      <c r="X66" s="17"/>
      <c r="Y66" s="17"/>
    </row>
    <row r="67">
      <c r="A67" s="17">
        <f>IFERROR(__xludf.DUMMYFUNCTION("""COMPUTED_VALUE"""),64.0)</f>
        <v>64</v>
      </c>
      <c r="B67" s="18" t="str">
        <f>IFERROR(__xludf.DUMMYFUNCTION("""COMPUTED_VALUE"""),"@maudyyyttt")</f>
        <v>@maudyyyttt</v>
      </c>
      <c r="C67" s="23">
        <f>IFERROR(__xludf.DUMMYFUNCTION("""COMPUTED_VALUE"""),155000.0)</f>
        <v>155000</v>
      </c>
      <c r="D67" s="17" t="str">
        <f>IFERROR(__xludf.DUMMYFUNCTION("""COMPUTED_VALUE"""),"Mid")</f>
        <v>Mid</v>
      </c>
      <c r="E67" s="18" t="str">
        <f>IFERROR(__xludf.DUMMYFUNCTION("""COMPUTED_VALUE"""),"@maudyytt")</f>
        <v>@maudyytt</v>
      </c>
      <c r="F67" s="19">
        <f>IFERROR(__xludf.DUMMYFUNCTION("""COMPUTED_VALUE"""),2800000.0)</f>
        <v>2800000</v>
      </c>
      <c r="G67" s="17" t="str">
        <f>IFERROR(__xludf.DUMMYFUNCTION("""COMPUTED_VALUE"""),"Mega")</f>
        <v>Mega</v>
      </c>
      <c r="H67" s="17" t="str">
        <f>IFERROR(__xludf.DUMMYFUNCTION("""COMPUTED_VALUE"""),"Jakarta")</f>
        <v>Jakarta</v>
      </c>
      <c r="I67" s="17" t="str">
        <f>IFERROR(__xludf.DUMMYFUNCTION("""COMPUTED_VALUE"""),"- FnB
- Place review")</f>
        <v>- FnB
- Place review</v>
      </c>
      <c r="J67" s="17"/>
      <c r="K67" s="20">
        <f>IFERROR(__xludf.DUMMYFUNCTION("""COMPUTED_VALUE"""),1000000.0)</f>
        <v>1000000</v>
      </c>
      <c r="L67" s="17"/>
      <c r="M67" s="20">
        <f>IFERROR(__xludf.DUMMYFUNCTION("""COMPUTED_VALUE"""),500000.0)</f>
        <v>500000</v>
      </c>
      <c r="N67" s="17"/>
      <c r="O67" s="17"/>
      <c r="P67" s="20">
        <f>IFERROR(__xludf.DUMMYFUNCTION("""COMPUTED_VALUE"""),5000000.0)</f>
        <v>5000000</v>
      </c>
      <c r="Q67" s="17"/>
      <c r="R67" s="20">
        <f>IFERROR(__xludf.DUMMYFUNCTION("""COMPUTED_VALUE"""),7000000.0)</f>
        <v>7000000</v>
      </c>
      <c r="S67" s="20">
        <f>IFERROR(__xludf.DUMMYFUNCTION("""COMPUTED_VALUE"""),9000000.0)</f>
        <v>9000000</v>
      </c>
      <c r="T67" s="17" t="str">
        <f>IFERROR(__xludf.DUMMYFUNCTION("""COMPUTED_VALUE"""),"")</f>
        <v/>
      </c>
      <c r="U67" s="20">
        <f>IFERROR(__xludf.DUMMYFUNCTION("""COMPUTED_VALUE"""),2000000.0)</f>
        <v>2000000</v>
      </c>
      <c r="V67" s="17"/>
      <c r="W67" s="20">
        <f>IFERROR(__xludf.DUMMYFUNCTION("""COMPUTED_VALUE"""),2000000.0)</f>
        <v>2000000</v>
      </c>
      <c r="X67" s="20">
        <f>IFERROR(__xludf.DUMMYFUNCTION("""COMPUTED_VALUE"""),8000000.0)</f>
        <v>8000000</v>
      </c>
      <c r="Y67" s="17"/>
    </row>
    <row r="68">
      <c r="A68" s="17">
        <f>IFERROR(__xludf.DUMMYFUNCTION("""COMPUTED_VALUE"""),65.0)</f>
        <v>65</v>
      </c>
      <c r="B68" s="18" t="str">
        <f>IFERROR(__xludf.DUMMYFUNCTION("""COMPUTED_VALUE"""),"@fitbymilla_")</f>
        <v>@fitbymilla_</v>
      </c>
      <c r="C68" s="23">
        <f>IFERROR(__xludf.DUMMYFUNCTION("""COMPUTED_VALUE"""),287000.0)</f>
        <v>287000</v>
      </c>
      <c r="D68" s="17" t="str">
        <f>IFERROR(__xludf.DUMMYFUNCTION("""COMPUTED_VALUE"""),"Mid")</f>
        <v>Mid</v>
      </c>
      <c r="E68" s="18" t="str">
        <f>IFERROR(__xludf.DUMMYFUNCTION("""COMPUTED_VALUE"""),"@fitbymilla")</f>
        <v>@fitbymilla</v>
      </c>
      <c r="F68" s="23">
        <f>IFERROR(__xludf.DUMMYFUNCTION("""COMPUTED_VALUE"""),477000.0)</f>
        <v>477000</v>
      </c>
      <c r="G68" s="17" t="str">
        <f>IFERROR(__xludf.DUMMYFUNCTION("""COMPUTED_VALUE"""),"Mid")</f>
        <v>Mid</v>
      </c>
      <c r="H68" s="17" t="str">
        <f>IFERROR(__xludf.DUMMYFUNCTION("""COMPUTED_VALUE"""),"Bogor")</f>
        <v>Bogor</v>
      </c>
      <c r="I68" s="17" t="str">
        <f>IFERROR(__xludf.DUMMYFUNCTION("""COMPUTED_VALUE"""),"Health &amp; Sport")</f>
        <v>Health &amp; Sport</v>
      </c>
      <c r="J68" s="17"/>
      <c r="K68" s="20">
        <f>IFERROR(__xludf.DUMMYFUNCTION("""COMPUTED_VALUE"""),500000.0)</f>
        <v>500000</v>
      </c>
      <c r="L68" s="20">
        <f>IFERROR(__xludf.DUMMYFUNCTION("""COMPUTED_VALUE"""),1000000.0)</f>
        <v>1000000</v>
      </c>
      <c r="M68" s="20">
        <f>IFERROR(__xludf.DUMMYFUNCTION("""COMPUTED_VALUE"""),300000.0)</f>
        <v>300000</v>
      </c>
      <c r="N68" s="20">
        <f>IFERROR(__xludf.DUMMYFUNCTION("""COMPUTED_VALUE"""),800000.0)</f>
        <v>800000</v>
      </c>
      <c r="O68" s="20">
        <f>IFERROR(__xludf.DUMMYFUNCTION("""COMPUTED_VALUE"""),1600000.0)</f>
        <v>1600000</v>
      </c>
      <c r="P68" s="20">
        <f>IFERROR(__xludf.DUMMYFUNCTION("""COMPUTED_VALUE"""),2000000.0)</f>
        <v>2000000</v>
      </c>
      <c r="Q68" s="20">
        <f>IFERROR(__xludf.DUMMYFUNCTION("""COMPUTED_VALUE"""),300000.0)</f>
        <v>300000</v>
      </c>
      <c r="R68" s="20">
        <f>IFERROR(__xludf.DUMMYFUNCTION("""COMPUTED_VALUE"""),2000000.0)</f>
        <v>2000000</v>
      </c>
      <c r="S68" s="20">
        <f>IFERROR(__xludf.DUMMYFUNCTION("""COMPUTED_VALUE"""),3500000.0)</f>
        <v>3500000</v>
      </c>
      <c r="T68" s="20">
        <f>IFERROR(__xludf.DUMMYFUNCTION("""COMPUTED_VALUE"""),1000000.0)</f>
        <v>1000000</v>
      </c>
      <c r="U68" s="20">
        <f>IFERROR(__xludf.DUMMYFUNCTION("""COMPUTED_VALUE"""),1000000.0)</f>
        <v>1000000</v>
      </c>
      <c r="V68" s="20">
        <f>IFERROR(__xludf.DUMMYFUNCTION("""COMPUTED_VALUE"""),500000.0)</f>
        <v>500000</v>
      </c>
      <c r="W68" s="20">
        <f>IFERROR(__xludf.DUMMYFUNCTION("""COMPUTED_VALUE"""),500000.0)</f>
        <v>500000</v>
      </c>
      <c r="X68" s="20" t="str">
        <f>IFERROR(__xludf.DUMMYFUNCTION("""COMPUTED_VALUE"""),"Jabodetabek: Rp4,000,000")</f>
        <v>Jabodetabek: Rp4,000,000</v>
      </c>
      <c r="Y68" s="17"/>
    </row>
    <row r="69">
      <c r="A69" s="17">
        <f>IFERROR(__xludf.DUMMYFUNCTION("""COMPUTED_VALUE"""),66.0)</f>
        <v>66</v>
      </c>
      <c r="B69" s="18" t="str">
        <f>IFERROR(__xludf.DUMMYFUNCTION("""COMPUTED_VALUE"""),"@aaliyah.massaid")</f>
        <v>@aaliyah.massaid</v>
      </c>
      <c r="C69" s="19">
        <f>IFERROR(__xludf.DUMMYFUNCTION("""COMPUTED_VALUE"""),2600000.0)</f>
        <v>2600000</v>
      </c>
      <c r="D69" s="17" t="str">
        <f>IFERROR(__xludf.DUMMYFUNCTION("""COMPUTED_VALUE"""),"Mega")</f>
        <v>Mega</v>
      </c>
      <c r="E69" s="18" t="str">
        <f>IFERROR(__xludf.DUMMYFUNCTION("""COMPUTED_VALUE"""),"@aalmassaid")</f>
        <v>@aalmassaid</v>
      </c>
      <c r="F69" s="23">
        <f>IFERROR(__xludf.DUMMYFUNCTION("""COMPUTED_VALUE"""),705600.0)</f>
        <v>705600</v>
      </c>
      <c r="G69" s="17" t="str">
        <f>IFERROR(__xludf.DUMMYFUNCTION("""COMPUTED_VALUE"""),"Macro")</f>
        <v>Macro</v>
      </c>
      <c r="H69" s="17" t="str">
        <f>IFERROR(__xludf.DUMMYFUNCTION("""COMPUTED_VALUE"""),"Jakarta")</f>
        <v>Jakarta</v>
      </c>
      <c r="I69" s="17" t="str">
        <f>IFERROR(__xludf.DUMMYFUNCTION("""COMPUTED_VALUE"""),"- Lifestyle Female
- Actor/Actress")</f>
        <v>- Lifestyle Female
- Actor/Actress</v>
      </c>
      <c r="J69" s="17"/>
      <c r="K69" s="20">
        <f>IFERROR(__xludf.DUMMYFUNCTION("""COMPUTED_VALUE"""),1.5E7)</f>
        <v>15000000</v>
      </c>
      <c r="L69" s="20">
        <f>IFERROR(__xludf.DUMMYFUNCTION("""COMPUTED_VALUE"""),3.5E7)</f>
        <v>35000000</v>
      </c>
      <c r="M69" s="17"/>
      <c r="N69" s="20">
        <f>IFERROR(__xludf.DUMMYFUNCTION("""COMPUTED_VALUE"""),3.5E7)</f>
        <v>35000000</v>
      </c>
      <c r="O69" s="17"/>
      <c r="P69" s="20">
        <f>IFERROR(__xludf.DUMMYFUNCTION("""COMPUTED_VALUE"""),4.5E7)</f>
        <v>45000000</v>
      </c>
      <c r="Q69" s="17"/>
      <c r="R69" s="20">
        <f>IFERROR(__xludf.DUMMYFUNCTION("""COMPUTED_VALUE"""),3.5E7)</f>
        <v>35000000</v>
      </c>
      <c r="S69" s="17"/>
      <c r="T69" s="20">
        <f>IFERROR(__xludf.DUMMYFUNCTION("""COMPUTED_VALUE"""),4.0E7)</f>
        <v>40000000</v>
      </c>
      <c r="U69" s="17"/>
      <c r="V69" s="17"/>
      <c r="W69" s="17"/>
      <c r="X69" s="20" t="str">
        <f>IFERROR(__xludf.DUMMYFUNCTION("""COMPUTED_VALUE"""),"Rp 50,000,000 - Rp 60,000,000")</f>
        <v>Rp 50,000,000 - Rp 60,000,000</v>
      </c>
      <c r="Y69" s="17"/>
    </row>
    <row r="70">
      <c r="A70" s="17">
        <f>IFERROR(__xludf.DUMMYFUNCTION("""COMPUTED_VALUE"""),67.0)</f>
        <v>67</v>
      </c>
      <c r="B70" s="18" t="str">
        <f>IFERROR(__xludf.DUMMYFUNCTION("""COMPUTED_VALUE"""),"jehianps")</f>
        <v>jehianps</v>
      </c>
      <c r="C70" s="23">
        <f>IFERROR(__xludf.DUMMYFUNCTION("""COMPUTED_VALUE"""),614000.0)</f>
        <v>614000</v>
      </c>
      <c r="D70" s="20" t="str">
        <f>IFERROR(__xludf.DUMMYFUNCTION("""COMPUTED_VALUE"""),"Macro")</f>
        <v>Macro</v>
      </c>
      <c r="E70" s="24" t="str">
        <f>IFERROR(__xludf.DUMMYFUNCTION("""COMPUTED_VALUE"""),"jehianps")</f>
        <v>jehianps</v>
      </c>
      <c r="F70" s="23">
        <f>IFERROR(__xludf.DUMMYFUNCTION("""COMPUTED_VALUE"""),301800.0)</f>
        <v>301800</v>
      </c>
      <c r="G70" s="20" t="str">
        <f>IFERROR(__xludf.DUMMYFUNCTION("""COMPUTED_VALUE"""),"Mid")</f>
        <v>Mid</v>
      </c>
      <c r="H70" s="17" t="str">
        <f>IFERROR(__xludf.DUMMYFUNCTION("""COMPUTED_VALUE"""),"Jakarta")</f>
        <v>Jakarta</v>
      </c>
      <c r="I70" s="17" t="str">
        <f>IFERROR(__xludf.DUMMYFUNCTION("""COMPUTED_VALUE"""),"- Entrepreneur
- Lifestyle Male")</f>
        <v>- Entrepreneur
- Lifestyle Male</v>
      </c>
      <c r="J70" s="17"/>
      <c r="K70" s="20">
        <f>IFERROR(__xludf.DUMMYFUNCTION("""COMPUTED_VALUE"""),4000000.0)</f>
        <v>4000000</v>
      </c>
      <c r="L70" s="20">
        <f>IFERROR(__xludf.DUMMYFUNCTION("""COMPUTED_VALUE"""),1.0E7)</f>
        <v>10000000</v>
      </c>
      <c r="M70" s="17"/>
      <c r="N70" s="20">
        <f>IFERROR(__xludf.DUMMYFUNCTION("""COMPUTED_VALUE"""),1.5E7)</f>
        <v>15000000</v>
      </c>
      <c r="O70" s="20">
        <f>IFERROR(__xludf.DUMMYFUNCTION("""COMPUTED_VALUE"""),2.0E7)</f>
        <v>20000000</v>
      </c>
      <c r="P70" s="20">
        <f>IFERROR(__xludf.DUMMYFUNCTION("""COMPUTED_VALUE"""),2.0E7)</f>
        <v>20000000</v>
      </c>
      <c r="Q70" s="17"/>
      <c r="R70" s="20">
        <f>IFERROR(__xludf.DUMMYFUNCTION("""COMPUTED_VALUE"""),1.25E7)</f>
        <v>12500000</v>
      </c>
      <c r="S70" s="20">
        <f>IFERROR(__xludf.DUMMYFUNCTION("""COMPUTED_VALUE"""),2.55E7)</f>
        <v>25500000</v>
      </c>
      <c r="T70" s="20">
        <f>IFERROR(__xludf.DUMMYFUNCTION("""COMPUTED_VALUE"""),1.5E7)</f>
        <v>15000000</v>
      </c>
      <c r="U70" s="17"/>
      <c r="V70" s="17"/>
      <c r="W70" s="17"/>
      <c r="X70" s="20" t="str">
        <f>IFERROR(__xludf.DUMMYFUNCTION("""COMPUTED_VALUE"""),"Rp 45,000,000 - Rp 54,500,000")</f>
        <v>Rp 45,000,000 - Rp 54,500,000</v>
      </c>
      <c r="Y70" s="17"/>
    </row>
    <row r="71">
      <c r="A71" s="17">
        <f>IFERROR(__xludf.DUMMYFUNCTION("""COMPUTED_VALUE"""),68.0)</f>
        <v>68</v>
      </c>
      <c r="B71" s="18" t="str">
        <f>IFERROR(__xludf.DUMMYFUNCTION("""COMPUTED_VALUE"""),"@emyaghnia")</f>
        <v>@emyaghnia</v>
      </c>
      <c r="C71" s="19">
        <f>IFERROR(__xludf.DUMMYFUNCTION("""COMPUTED_VALUE"""),2500000.0)</f>
        <v>2500000</v>
      </c>
      <c r="D71" s="17" t="str">
        <f>IFERROR(__xludf.DUMMYFUNCTION("""COMPUTED_VALUE"""),"Mega")</f>
        <v>Mega</v>
      </c>
      <c r="E71" s="18" t="str">
        <f>IFERROR(__xludf.DUMMYFUNCTION("""COMPUTED_VALUE"""),"@emyaghnia")</f>
        <v>@emyaghnia</v>
      </c>
      <c r="F71" s="19">
        <f>IFERROR(__xludf.DUMMYFUNCTION("""COMPUTED_VALUE"""),2300000.0)</f>
        <v>2300000</v>
      </c>
      <c r="G71" s="17" t="str">
        <f>IFERROR(__xludf.DUMMYFUNCTION("""COMPUTED_VALUE"""),"Mega")</f>
        <v>Mega</v>
      </c>
      <c r="H71" s="17" t="str">
        <f>IFERROR(__xludf.DUMMYFUNCTION("""COMPUTED_VALUE"""),"Bandung")</f>
        <v>Bandung</v>
      </c>
      <c r="I71" s="17" t="str">
        <f>IFERROR(__xludf.DUMMYFUNCTION("""COMPUTED_VALUE"""),"- Lifestyle Female
- Beauty")</f>
        <v>- Lifestyle Female
- Beauty</v>
      </c>
      <c r="J71" s="17"/>
      <c r="K71" s="20">
        <f>IFERROR(__xludf.DUMMYFUNCTION("""COMPUTED_VALUE"""),7000000.0)</f>
        <v>7000000</v>
      </c>
      <c r="L71" s="20">
        <f>IFERROR(__xludf.DUMMYFUNCTION("""COMPUTED_VALUE"""),2.0E7)</f>
        <v>20000000</v>
      </c>
      <c r="M71" s="20" t="str">
        <f>IFERROR(__xludf.DUMMYFUNCTION("""COMPUTED_VALUE"""),"FREE")</f>
        <v>FREE</v>
      </c>
      <c r="N71" s="20">
        <f>IFERROR(__xludf.DUMMYFUNCTION("""COMPUTED_VALUE"""),2.7E7)</f>
        <v>27000000</v>
      </c>
      <c r="O71" s="20">
        <f>IFERROR(__xludf.DUMMYFUNCTION("""COMPUTED_VALUE"""),3.0E7)</f>
        <v>30000000</v>
      </c>
      <c r="P71" s="20">
        <f>IFERROR(__xludf.DUMMYFUNCTION("""COMPUTED_VALUE"""),3.65E7)</f>
        <v>36500000</v>
      </c>
      <c r="Q71" s="20">
        <f>IFERROR(__xludf.DUMMYFUNCTION("""COMPUTED_VALUE"""),5000000.0)</f>
        <v>5000000</v>
      </c>
      <c r="R71" s="20">
        <f>IFERROR(__xludf.DUMMYFUNCTION("""COMPUTED_VALUE"""),3.8E7)</f>
        <v>38000000</v>
      </c>
      <c r="S71" s="20">
        <f>IFERROR(__xludf.DUMMYFUNCTION("""COMPUTED_VALUE"""),4.8E7)</f>
        <v>48000000</v>
      </c>
      <c r="T71" s="20">
        <f>IFERROR(__xludf.DUMMYFUNCTION("""COMPUTED_VALUE"""),5.3E7)</f>
        <v>53000000</v>
      </c>
      <c r="U71" s="21">
        <f>IFERROR(__xludf.DUMMYFUNCTION("""COMPUTED_VALUE"""),1.0)</f>
        <v>1</v>
      </c>
      <c r="V71" s="20">
        <f>IFERROR(__xludf.DUMMYFUNCTION("""COMPUTED_VALUE"""),1.5E7)</f>
        <v>15000000</v>
      </c>
      <c r="W71" s="20">
        <f>IFERROR(__xludf.DUMMYFUNCTION("""COMPUTED_VALUE"""),5000000.0)</f>
        <v>5000000</v>
      </c>
      <c r="X71" s="20">
        <f>IFERROR(__xludf.DUMMYFUNCTION("""COMPUTED_VALUE"""),4.5E7)</f>
        <v>45000000</v>
      </c>
      <c r="Y71" s="17"/>
    </row>
    <row r="72">
      <c r="A72" s="17">
        <f>IFERROR(__xludf.DUMMYFUNCTION("""COMPUTED_VALUE"""),69.0)</f>
        <v>69</v>
      </c>
      <c r="B72" s="18" t="str">
        <f>IFERROR(__xludf.DUMMYFUNCTION("""COMPUTED_VALUE"""),"@claratandean")</f>
        <v>@claratandean</v>
      </c>
      <c r="C72" s="23">
        <f>IFERROR(__xludf.DUMMYFUNCTION("""COMPUTED_VALUE"""),1875.0)</f>
        <v>1875</v>
      </c>
      <c r="D72" s="17" t="str">
        <f>IFERROR(__xludf.DUMMYFUNCTION("""COMPUTED_VALUE"""),"Nano")</f>
        <v>Nano</v>
      </c>
      <c r="E72" s="18" t="str">
        <f>IFERROR(__xludf.DUMMYFUNCTION("""COMPUTED_VALUE"""),"@claratandean")</f>
        <v>@claratandean</v>
      </c>
      <c r="F72" s="23">
        <f>IFERROR(__xludf.DUMMYFUNCTION("""COMPUTED_VALUE"""),19600.0)</f>
        <v>19600</v>
      </c>
      <c r="G72" s="17" t="str">
        <f>IFERROR(__xludf.DUMMYFUNCTION("""COMPUTED_VALUE"""),"Micro")</f>
        <v>Micro</v>
      </c>
      <c r="H72" s="17" t="str">
        <f>IFERROR(__xludf.DUMMYFUNCTION("""COMPUTED_VALUE"""),"Bekasi")</f>
        <v>Bekasi</v>
      </c>
      <c r="I72" s="17" t="str">
        <f>IFERROR(__xludf.DUMMYFUNCTION("""COMPUTED_VALUE"""),"Place Review")</f>
        <v>Place Review</v>
      </c>
      <c r="J72" s="17"/>
      <c r="K72" s="20">
        <f>IFERROR(__xludf.DUMMYFUNCTION("""COMPUTED_VALUE"""),150000.0)</f>
        <v>150000</v>
      </c>
      <c r="L72" s="20">
        <f>IFERROR(__xludf.DUMMYFUNCTION("""COMPUTED_VALUE"""),300000.0)</f>
        <v>300000</v>
      </c>
      <c r="M72" s="17"/>
      <c r="N72" s="20">
        <f>IFERROR(__xludf.DUMMYFUNCTION("""COMPUTED_VALUE"""),300000.0)</f>
        <v>300000</v>
      </c>
      <c r="O72" s="17"/>
      <c r="P72" s="20">
        <f>IFERROR(__xludf.DUMMYFUNCTION("""COMPUTED_VALUE"""),300000.0)</f>
        <v>300000</v>
      </c>
      <c r="Q72" s="17"/>
      <c r="R72" s="20">
        <f>IFERROR(__xludf.DUMMYFUNCTION("""COMPUTED_VALUE"""),600000.0)</f>
        <v>600000</v>
      </c>
      <c r="S72" s="20">
        <f>IFERROR(__xludf.DUMMYFUNCTION("""COMPUTED_VALUE"""),750000.0)</f>
        <v>750000</v>
      </c>
      <c r="T72" s="17"/>
      <c r="U72" s="17"/>
      <c r="V72" s="17"/>
      <c r="W72" s="17"/>
      <c r="X72" s="20">
        <f>IFERROR(__xludf.DUMMYFUNCTION("""COMPUTED_VALUE"""),750000.0)</f>
        <v>750000</v>
      </c>
      <c r="Y72" s="17"/>
    </row>
    <row r="73">
      <c r="A73" s="17">
        <f>IFERROR(__xludf.DUMMYFUNCTION("""COMPUTED_VALUE"""),70.0)</f>
        <v>70</v>
      </c>
      <c r="B73" s="18" t="str">
        <f>IFERROR(__xludf.DUMMYFUNCTION("""COMPUTED_VALUE"""),"@bodyfitbyagus")</f>
        <v>@bodyfitbyagus</v>
      </c>
      <c r="C73" s="19">
        <f>IFERROR(__xludf.DUMMYFUNCTION("""COMPUTED_VALUE"""),2900000.0)</f>
        <v>2900000</v>
      </c>
      <c r="D73" s="17" t="str">
        <f>IFERROR(__xludf.DUMMYFUNCTION("""COMPUTED_VALUE"""),"Mega")</f>
        <v>Mega</v>
      </c>
      <c r="E73" s="18" t="str">
        <f>IFERROR(__xludf.DUMMYFUNCTION("""COMPUTED_VALUE"""),"@bodyfitbybagus")</f>
        <v>@bodyfitbybagus</v>
      </c>
      <c r="F73" s="19">
        <f>IFERROR(__xludf.DUMMYFUNCTION("""COMPUTED_VALUE"""),1600000.0)</f>
        <v>1600000</v>
      </c>
      <c r="G73" s="17" t="str">
        <f>IFERROR(__xludf.DUMMYFUNCTION("""COMPUTED_VALUE"""),"Mega")</f>
        <v>Mega</v>
      </c>
      <c r="H73" s="17" t="str">
        <f>IFERROR(__xludf.DUMMYFUNCTION("""COMPUTED_VALUE"""),"Bogor")</f>
        <v>Bogor</v>
      </c>
      <c r="I73" s="17" t="str">
        <f>IFERROR(__xludf.DUMMYFUNCTION("""COMPUTED_VALUE"""),"Health &amp; Sport")</f>
        <v>Health &amp; Sport</v>
      </c>
      <c r="J73" s="17"/>
      <c r="K73" s="20">
        <f>IFERROR(__xludf.DUMMYFUNCTION("""COMPUTED_VALUE"""),500000.0)</f>
        <v>500000</v>
      </c>
      <c r="L73" s="17"/>
      <c r="M73" s="17"/>
      <c r="N73" s="20">
        <f>IFERROR(__xludf.DUMMYFUNCTION("""COMPUTED_VALUE"""),1000000.0)</f>
        <v>1000000</v>
      </c>
      <c r="O73" s="20">
        <f>IFERROR(__xludf.DUMMYFUNCTION("""COMPUTED_VALUE"""),1500000.0)</f>
        <v>1500000</v>
      </c>
      <c r="P73" s="20">
        <f>IFERROR(__xludf.DUMMYFUNCTION("""COMPUTED_VALUE"""),1500000.0)</f>
        <v>1500000</v>
      </c>
      <c r="Q73" s="17"/>
      <c r="R73" s="20">
        <f>IFERROR(__xludf.DUMMYFUNCTION("""COMPUTED_VALUE"""),1500000.0)</f>
        <v>1500000</v>
      </c>
      <c r="S73" s="20">
        <f>IFERROR(__xludf.DUMMYFUNCTION("""COMPUTED_VALUE"""),2000000.0)</f>
        <v>2000000</v>
      </c>
      <c r="T73" s="20">
        <f>IFERROR(__xludf.DUMMYFUNCTION("""COMPUTED_VALUE"""),1000000.0)</f>
        <v>1000000</v>
      </c>
      <c r="U73" s="20">
        <f>IFERROR(__xludf.DUMMYFUNCTION("""COMPUTED_VALUE"""),500000.0)</f>
        <v>500000</v>
      </c>
      <c r="V73" s="17"/>
      <c r="W73" s="20" t="str">
        <f>IFERROR(__xludf.DUMMYFUNCTION("""COMPUTED_VALUE"""),"FREE")</f>
        <v>FREE</v>
      </c>
      <c r="X73" s="20">
        <f>IFERROR(__xludf.DUMMYFUNCTION("""COMPUTED_VALUE"""),3500000.0)</f>
        <v>3500000</v>
      </c>
      <c r="Y73" s="17"/>
    </row>
    <row r="74">
      <c r="A74" s="17">
        <f>IFERROR(__xludf.DUMMYFUNCTION("""COMPUTED_VALUE"""),71.0)</f>
        <v>71</v>
      </c>
      <c r="B74" s="18" t="str">
        <f>IFERROR(__xludf.DUMMYFUNCTION("""COMPUTED_VALUE"""),"@mike__frans")</f>
        <v>@mike__frans</v>
      </c>
      <c r="C74" s="23">
        <f>IFERROR(__xludf.DUMMYFUNCTION("""COMPUTED_VALUE"""),30900.0)</f>
        <v>30900</v>
      </c>
      <c r="D74" s="17" t="str">
        <f>IFERROR(__xludf.DUMMYFUNCTION("""COMPUTED_VALUE"""),"Micro")</f>
        <v>Micro</v>
      </c>
      <c r="E74" s="18" t="str">
        <f>IFERROR(__xludf.DUMMYFUNCTION("""COMPUTED_VALUE"""),"@mike__frans")</f>
        <v>@mike__frans</v>
      </c>
      <c r="F74" s="23">
        <f>IFERROR(__xludf.DUMMYFUNCTION("""COMPUTED_VALUE"""),47800.0)</f>
        <v>47800</v>
      </c>
      <c r="G74" s="17" t="str">
        <f>IFERROR(__xludf.DUMMYFUNCTION("""COMPUTED_VALUE"""),"Micro")</f>
        <v>Micro</v>
      </c>
      <c r="H74" s="17" t="str">
        <f>IFERROR(__xludf.DUMMYFUNCTION("""COMPUTED_VALUE"""),"Jakarta")</f>
        <v>Jakarta</v>
      </c>
      <c r="I74" s="17" t="str">
        <f>IFERROR(__xludf.DUMMYFUNCTION("""COMPUTED_VALUE"""),"- Lifestyle Male
- Health &amp; Sport")</f>
        <v>- Lifestyle Male
- Health &amp; Sport</v>
      </c>
      <c r="J74" s="17"/>
      <c r="K74" s="20">
        <f>IFERROR(__xludf.DUMMYFUNCTION("""COMPUTED_VALUE"""),1000000.0)</f>
        <v>1000000</v>
      </c>
      <c r="L74" s="20">
        <f>IFERROR(__xludf.DUMMYFUNCTION("""COMPUTED_VALUE"""),1000000.0)</f>
        <v>1000000</v>
      </c>
      <c r="M74" s="17" t="str">
        <f>IFERROR(__xludf.DUMMYFUNCTION("""COMPUTED_VALUE"""),"-")</f>
        <v>-</v>
      </c>
      <c r="N74" s="20">
        <f>IFERROR(__xludf.DUMMYFUNCTION("""COMPUTED_VALUE"""),1500000.0)</f>
        <v>1500000</v>
      </c>
      <c r="O74" s="20">
        <f>IFERROR(__xludf.DUMMYFUNCTION("""COMPUTED_VALUE"""),1500000.0)</f>
        <v>1500000</v>
      </c>
      <c r="P74" s="20">
        <f>IFERROR(__xludf.DUMMYFUNCTION("""COMPUTED_VALUE"""),1500000.0)</f>
        <v>1500000</v>
      </c>
      <c r="Q74" s="20" t="str">
        <f>IFERROR(__xludf.DUMMYFUNCTION("""COMPUTED_VALUE"""),"-")</f>
        <v>-</v>
      </c>
      <c r="R74" s="20">
        <f>IFERROR(__xludf.DUMMYFUNCTION("""COMPUTED_VALUE"""),1.5E7)</f>
        <v>15000000</v>
      </c>
      <c r="S74" s="20">
        <f>IFERROR(__xludf.DUMMYFUNCTION("""COMPUTED_VALUE"""),1.5E7)</f>
        <v>15000000</v>
      </c>
      <c r="T74" s="20">
        <f>IFERROR(__xludf.DUMMYFUNCTION("""COMPUTED_VALUE"""),1500000.0)</f>
        <v>1500000</v>
      </c>
      <c r="U74" s="20">
        <f>IFERROR(__xludf.DUMMYFUNCTION("""COMPUTED_VALUE"""),500000.0)</f>
        <v>500000</v>
      </c>
      <c r="V74" s="20" t="str">
        <f>IFERROR(__xludf.DUMMYFUNCTION("""COMPUTED_VALUE"""),"-")</f>
        <v>-</v>
      </c>
      <c r="W74" s="20" t="str">
        <f>IFERROR(__xludf.DUMMYFUNCTION("""COMPUTED_VALUE"""),"-")</f>
        <v>-</v>
      </c>
      <c r="X74" s="20">
        <f>IFERROR(__xludf.DUMMYFUNCTION("""COMPUTED_VALUE"""),500000.0)</f>
        <v>500000</v>
      </c>
      <c r="Y74" s="17"/>
    </row>
    <row r="75">
      <c r="A75" s="17">
        <f>IFERROR(__xludf.DUMMYFUNCTION("""COMPUTED_VALUE"""),72.0)</f>
        <v>72</v>
      </c>
      <c r="B75" s="18" t="str">
        <f>IFERROR(__xludf.DUMMYFUNCTION("""COMPUTED_VALUE"""),"@santaniatiofelo")</f>
        <v>@santaniatiofelo</v>
      </c>
      <c r="C75" s="23">
        <f>IFERROR(__xludf.DUMMYFUNCTION("""COMPUTED_VALUE"""),1789.0)</f>
        <v>1789</v>
      </c>
      <c r="D75" s="17" t="str">
        <f>IFERROR(__xludf.DUMMYFUNCTION("""COMPUTED_VALUE"""),"Nano")</f>
        <v>Nano</v>
      </c>
      <c r="E75" s="18" t="str">
        <f>IFERROR(__xludf.DUMMYFUNCTION("""COMPUTED_VALUE"""),"@sanntania")</f>
        <v>@sanntania</v>
      </c>
      <c r="F75" s="23">
        <f>IFERROR(__xludf.DUMMYFUNCTION("""COMPUTED_VALUE"""),67500.0)</f>
        <v>67500</v>
      </c>
      <c r="G75" s="17" t="str">
        <f>IFERROR(__xludf.DUMMYFUNCTION("""COMPUTED_VALUE"""),"Micro")</f>
        <v>Micro</v>
      </c>
      <c r="H75" s="17" t="str">
        <f>IFERROR(__xludf.DUMMYFUNCTION("""COMPUTED_VALUE"""),"Jakarta")</f>
        <v>Jakarta</v>
      </c>
      <c r="I75" s="17" t="str">
        <f>IFERROR(__xludf.DUMMYFUNCTION("""COMPUTED_VALUE"""),"Beauty")</f>
        <v>Beauty</v>
      </c>
      <c r="J75" s="17"/>
      <c r="K75" s="17"/>
      <c r="L75" s="17"/>
      <c r="M75" s="17"/>
      <c r="N75" s="17"/>
      <c r="O75" s="17"/>
      <c r="P75" s="17"/>
      <c r="Q75" s="17"/>
      <c r="R75" s="20">
        <f>IFERROR(__xludf.DUMMYFUNCTION("""COMPUTED_VALUE"""),1800000.0)</f>
        <v>1800000</v>
      </c>
      <c r="S75" s="17"/>
      <c r="T75" s="17"/>
      <c r="U75" s="20">
        <f>IFERROR(__xludf.DUMMYFUNCTION("""COMPUTED_VALUE"""),1000000.0)</f>
        <v>1000000</v>
      </c>
      <c r="V75" s="20" t="str">
        <f>IFERROR(__xludf.DUMMYFUNCTION("""COMPUTED_VALUE"""),"FREE 60 Days")</f>
        <v>FREE 60 Days</v>
      </c>
      <c r="W75" s="20">
        <f>IFERROR(__xludf.DUMMYFUNCTION("""COMPUTED_VALUE"""),300000.0)</f>
        <v>300000</v>
      </c>
      <c r="X75" s="17"/>
      <c r="Y75" s="17"/>
    </row>
    <row r="76">
      <c r="A76" s="17">
        <f>IFERROR(__xludf.DUMMYFUNCTION("""COMPUTED_VALUE"""),73.0)</f>
        <v>73</v>
      </c>
      <c r="B76" s="18" t="str">
        <f>IFERROR(__xludf.DUMMYFUNCTION("""COMPUTED_VALUE"""),"@stefanytalita")</f>
        <v>@stefanytalita</v>
      </c>
      <c r="C76" s="23">
        <f>IFERROR(__xludf.DUMMYFUNCTION("""COMPUTED_VALUE"""),379000.0)</f>
        <v>379000</v>
      </c>
      <c r="D76" s="17" t="str">
        <f>IFERROR(__xludf.DUMMYFUNCTION("""COMPUTED_VALUE"""),"Mid")</f>
        <v>Mid</v>
      </c>
      <c r="E76" s="18" t="str">
        <f>IFERROR(__xludf.DUMMYFUNCTION("""COMPUTED_VALUE"""),"@stefanytalita")</f>
        <v>@stefanytalita</v>
      </c>
      <c r="F76" s="23">
        <f>IFERROR(__xludf.DUMMYFUNCTION("""COMPUTED_VALUE"""),60200.0)</f>
        <v>60200</v>
      </c>
      <c r="G76" s="17" t="str">
        <f>IFERROR(__xludf.DUMMYFUNCTION("""COMPUTED_VALUE"""),"Micro")</f>
        <v>Micro</v>
      </c>
      <c r="H76" s="17" t="str">
        <f>IFERROR(__xludf.DUMMYFUNCTION("""COMPUTED_VALUE"""),"Cibubur")</f>
        <v>Cibubur</v>
      </c>
      <c r="I76" s="17" t="str">
        <f>IFERROR(__xludf.DUMMYFUNCTION("""COMPUTED_VALUE"""),"Beauty")</f>
        <v>Beauty</v>
      </c>
      <c r="J76" s="17"/>
      <c r="K76" s="20">
        <f>IFERROR(__xludf.DUMMYFUNCTION("""COMPUTED_VALUE"""),4000000.0)</f>
        <v>4000000</v>
      </c>
      <c r="L76" s="20">
        <f>IFERROR(__xludf.DUMMYFUNCTION("""COMPUTED_VALUE"""),9500000.0)</f>
        <v>9500000</v>
      </c>
      <c r="M76" s="20">
        <f>IFERROR(__xludf.DUMMYFUNCTION("""COMPUTED_VALUE"""),1000000.0)</f>
        <v>1000000</v>
      </c>
      <c r="N76" s="20">
        <f>IFERROR(__xludf.DUMMYFUNCTION("""COMPUTED_VALUE"""),9000000.0)</f>
        <v>9000000</v>
      </c>
      <c r="O76" s="20">
        <f>IFERROR(__xludf.DUMMYFUNCTION("""COMPUTED_VALUE"""),1.0E7)</f>
        <v>10000000</v>
      </c>
      <c r="P76" s="20">
        <f>IFERROR(__xludf.DUMMYFUNCTION("""COMPUTED_VALUE"""),2.0E7)</f>
        <v>20000000</v>
      </c>
      <c r="Q76" s="21">
        <f>IFERROR(__xludf.DUMMYFUNCTION("""COMPUTED_VALUE"""),0.75)</f>
        <v>0.75</v>
      </c>
      <c r="R76" s="20">
        <f>IFERROR(__xludf.DUMMYFUNCTION("""COMPUTED_VALUE"""),1.5E7)</f>
        <v>15000000</v>
      </c>
      <c r="S76" s="17"/>
      <c r="T76" s="20">
        <f>IFERROR(__xludf.DUMMYFUNCTION("""COMPUTED_VALUE"""),9000000.0)</f>
        <v>9000000</v>
      </c>
      <c r="U76" s="21">
        <f>IFERROR(__xludf.DUMMYFUNCTION("""COMPUTED_VALUE"""),2.0)</f>
        <v>2</v>
      </c>
      <c r="V76" s="20" t="str">
        <f>IFERROR(__xludf.DUMMYFUNCTION("""COMPUTED_VALUE"""),"Rp3,000,000 / month")</f>
        <v>Rp3,000,000 / month</v>
      </c>
      <c r="W76" s="17"/>
      <c r="X76" s="17"/>
      <c r="Y76" s="17"/>
    </row>
    <row r="77">
      <c r="A77" s="17">
        <f>IFERROR(__xludf.DUMMYFUNCTION("""COMPUTED_VALUE"""),74.0)</f>
        <v>74</v>
      </c>
      <c r="B77" s="18" t="str">
        <f>IFERROR(__xludf.DUMMYFUNCTION("""COMPUTED_VALUE"""),"@yolanyoo")</f>
        <v>@yolanyoo</v>
      </c>
      <c r="C77" s="23">
        <f>IFERROR(__xludf.DUMMYFUNCTION("""COMPUTED_VALUE"""),71900.0)</f>
        <v>71900</v>
      </c>
      <c r="D77" s="17" t="str">
        <f>IFERROR(__xludf.DUMMYFUNCTION("""COMPUTED_VALUE"""),"Micro")</f>
        <v>Micro</v>
      </c>
      <c r="E77" s="18" t="str">
        <f>IFERROR(__xludf.DUMMYFUNCTION("""COMPUTED_VALUE"""),"@yolanyoo")</f>
        <v>@yolanyoo</v>
      </c>
      <c r="F77" s="23">
        <f>IFERROR(__xludf.DUMMYFUNCTION("""COMPUTED_VALUE"""),171700.0)</f>
        <v>171700</v>
      </c>
      <c r="G77" s="17" t="str">
        <f>IFERROR(__xludf.DUMMYFUNCTION("""COMPUTED_VALUE"""),"Mid")</f>
        <v>Mid</v>
      </c>
      <c r="H77" s="17" t="str">
        <f>IFERROR(__xludf.DUMMYFUNCTION("""COMPUTED_VALUE"""),"Yogyakarta")</f>
        <v>Yogyakarta</v>
      </c>
      <c r="I77" s="17" t="str">
        <f>IFERROR(__xludf.DUMMYFUNCTION("""COMPUTED_VALUE"""),"Entrepreneur")</f>
        <v>Entrepreneur</v>
      </c>
      <c r="J77" s="17"/>
      <c r="K77" s="20">
        <f>IFERROR(__xludf.DUMMYFUNCTION("""COMPUTED_VALUE"""),1500000.0)</f>
        <v>1500000</v>
      </c>
      <c r="L77" s="17"/>
      <c r="M77" s="17"/>
      <c r="N77" s="20">
        <f>IFERROR(__xludf.DUMMYFUNCTION("""COMPUTED_VALUE"""),2000000.0)</f>
        <v>2000000</v>
      </c>
      <c r="O77" s="17"/>
      <c r="P77" s="20">
        <f>IFERROR(__xludf.DUMMYFUNCTION("""COMPUTED_VALUE"""),3000000.0)</f>
        <v>3000000</v>
      </c>
      <c r="Q77" s="17"/>
      <c r="R77" s="20">
        <f>IFERROR(__xludf.DUMMYFUNCTION("""COMPUTED_VALUE"""),3000000.0)</f>
        <v>3000000</v>
      </c>
      <c r="S77" s="20">
        <f>IFERROR(__xludf.DUMMYFUNCTION("""COMPUTED_VALUE"""),4000000.0)</f>
        <v>4000000</v>
      </c>
      <c r="T77" s="17"/>
      <c r="U77" s="17"/>
      <c r="V77" s="17"/>
      <c r="W77" s="17"/>
      <c r="X77" s="17"/>
      <c r="Y77" s="17"/>
    </row>
    <row r="78">
      <c r="A78" s="17">
        <f>IFERROR(__xludf.DUMMYFUNCTION("""COMPUTED_VALUE"""),75.0)</f>
        <v>75</v>
      </c>
      <c r="B78" s="18" t="str">
        <f>IFERROR(__xludf.DUMMYFUNCTION("""COMPUTED_VALUE"""),"@dianarsds")</f>
        <v>@dianarsds</v>
      </c>
      <c r="C78" s="23">
        <f>IFERROR(__xludf.DUMMYFUNCTION("""COMPUTED_VALUE"""),76400.0)</f>
        <v>76400</v>
      </c>
      <c r="D78" s="17" t="str">
        <f>IFERROR(__xludf.DUMMYFUNCTION("""COMPUTED_VALUE"""),"Micro")</f>
        <v>Micro</v>
      </c>
      <c r="E78" s="18" t="str">
        <f>IFERROR(__xludf.DUMMYFUNCTION("""COMPUTED_VALUE"""),"@salmonbellys")</f>
        <v>@salmonbellys</v>
      </c>
      <c r="F78" s="23">
        <f>IFERROR(__xludf.DUMMYFUNCTION("""COMPUTED_VALUE"""),585700.0)</f>
        <v>585700</v>
      </c>
      <c r="G78" s="17" t="str">
        <f>IFERROR(__xludf.DUMMYFUNCTION("""COMPUTED_VALUE"""),"Macro")</f>
        <v>Macro</v>
      </c>
      <c r="H78" s="17" t="str">
        <f>IFERROR(__xludf.DUMMYFUNCTION("""COMPUTED_VALUE"""),"Tangerang")</f>
        <v>Tangerang</v>
      </c>
      <c r="I78" s="17" t="str">
        <f>IFERROR(__xludf.DUMMYFUNCTION("""COMPUTED_VALUE"""),"Beauty")</f>
        <v>Beauty</v>
      </c>
      <c r="J78" s="17"/>
      <c r="K78" s="17"/>
      <c r="L78" s="20">
        <f>IFERROR(__xludf.DUMMYFUNCTION("""COMPUTED_VALUE"""),5000000.0)</f>
        <v>5000000</v>
      </c>
      <c r="M78" s="20">
        <f>IFERROR(__xludf.DUMMYFUNCTION("""COMPUTED_VALUE"""),500000.0)</f>
        <v>500000</v>
      </c>
      <c r="N78" s="20">
        <f>IFERROR(__xludf.DUMMYFUNCTION("""COMPUTED_VALUE"""),8000000.0)</f>
        <v>8000000</v>
      </c>
      <c r="O78" s="17"/>
      <c r="P78" s="17"/>
      <c r="Q78" s="17"/>
      <c r="R78" s="20" t="str">
        <f>IFERROR(__xludf.DUMMYFUNCTION("""COMPUTED_VALUE"""),"Rp15,500,000 (Free boost code 14D)")</f>
        <v>Rp15,500,000 (Free boost code 14D)</v>
      </c>
      <c r="S78" s="17"/>
      <c r="T78" s="20">
        <f>IFERROR(__xludf.DUMMYFUNCTION("""COMPUTED_VALUE"""),1.0E7)</f>
        <v>10000000</v>
      </c>
      <c r="U78" s="20">
        <f>IFERROR(__xludf.DUMMYFUNCTION("""COMPUTED_VALUE"""),1.4E7)</f>
        <v>14000000</v>
      </c>
      <c r="V78" s="20" t="str">
        <f>IFERROR(__xludf.DUMMYFUNCTION("""COMPUTED_VALUE"""),"7D: Rp2,500,000
30D: Rp5,000,000")</f>
        <v>7D: Rp2,500,000
30D: Rp5,000,000</v>
      </c>
      <c r="W78" s="20">
        <f>IFERROR(__xludf.DUMMYFUNCTION("""COMPUTED_VALUE"""),5000000.0)</f>
        <v>5000000</v>
      </c>
      <c r="X78" s="20">
        <f>IFERROR(__xludf.DUMMYFUNCTION("""COMPUTED_VALUE"""),7500000.0)</f>
        <v>7500000</v>
      </c>
      <c r="Y78" s="17"/>
    </row>
    <row r="79">
      <c r="A79" s="17">
        <f>IFERROR(__xludf.DUMMYFUNCTION("""COMPUTED_VALUE"""),76.0)</f>
        <v>76</v>
      </c>
      <c r="B79" s="18" t="str">
        <f>IFERROR(__xludf.DUMMYFUNCTION("""COMPUTED_VALUE"""),"@molita_lin")</f>
        <v>@molita_lin</v>
      </c>
      <c r="C79" s="23">
        <f>IFERROR(__xludf.DUMMYFUNCTION("""COMPUTED_VALUE"""),421000.0)</f>
        <v>421000</v>
      </c>
      <c r="D79" s="17" t="str">
        <f>IFERROR(__xludf.DUMMYFUNCTION("""COMPUTED_VALUE"""),"Mid")</f>
        <v>Mid</v>
      </c>
      <c r="E79" s="18" t="str">
        <f>IFERROR(__xludf.DUMMYFUNCTION("""COMPUTED_VALUE"""),"@molita.lin")</f>
        <v>@molita.lin</v>
      </c>
      <c r="F79" s="23">
        <f>IFERROR(__xludf.DUMMYFUNCTION("""COMPUTED_VALUE"""),83800.0)</f>
        <v>83800</v>
      </c>
      <c r="G79" s="17" t="str">
        <f>IFERROR(__xludf.DUMMYFUNCTION("""COMPUTED_VALUE"""),"Micro")</f>
        <v>Micro</v>
      </c>
      <c r="H79" s="17" t="str">
        <f>IFERROR(__xludf.DUMMYFUNCTION("""COMPUTED_VALUE"""),"Bali")</f>
        <v>Bali</v>
      </c>
      <c r="I79" s="17" t="str">
        <f>IFERROR(__xludf.DUMMYFUNCTION("""COMPUTED_VALUE"""),"- Beauty
- Lifestlye Female
- Pasutri")</f>
        <v>- Beauty
- Lifestlye Female
- Pasutri</v>
      </c>
      <c r="J79" s="17"/>
      <c r="K79" s="20">
        <f>IFERROR(__xludf.DUMMYFUNCTION("""COMPUTED_VALUE"""),1.0E7)</f>
        <v>10000000</v>
      </c>
      <c r="L79" s="20">
        <f>IFERROR(__xludf.DUMMYFUNCTION("""COMPUTED_VALUE"""),1.5E7)</f>
        <v>15000000</v>
      </c>
      <c r="M79" s="20">
        <f>IFERROR(__xludf.DUMMYFUNCTION("""COMPUTED_VALUE"""),2000000.0)</f>
        <v>2000000</v>
      </c>
      <c r="N79" s="20">
        <f>IFERROR(__xludf.DUMMYFUNCTION("""COMPUTED_VALUE"""),1.9E7)</f>
        <v>19000000</v>
      </c>
      <c r="O79" s="20">
        <f>IFERROR(__xludf.DUMMYFUNCTION("""COMPUTED_VALUE"""),2.1E7)</f>
        <v>21000000</v>
      </c>
      <c r="P79" s="20">
        <f>IFERROR(__xludf.DUMMYFUNCTION("""COMPUTED_VALUE"""),7.0E7)</f>
        <v>70000000</v>
      </c>
      <c r="Q79" s="17" t="str">
        <f>IFERROR(__xludf.DUMMYFUNCTION("""COMPUTED_VALUE"""),"+Rp2,000,000")</f>
        <v>+Rp2,000,000</v>
      </c>
      <c r="R79" s="20">
        <f>IFERROR(__xludf.DUMMYFUNCTION("""COMPUTED_VALUE"""),3.5E7)</f>
        <v>35000000</v>
      </c>
      <c r="S79" s="20">
        <f>IFERROR(__xludf.DUMMYFUNCTION("""COMPUTED_VALUE"""),5.5E7)</f>
        <v>55000000</v>
      </c>
      <c r="T79" s="17"/>
      <c r="U79" s="17"/>
      <c r="V79" s="17"/>
      <c r="W79" s="17"/>
      <c r="X79" s="17"/>
      <c r="Y79" s="17"/>
    </row>
    <row r="80">
      <c r="A80" s="17">
        <f>IFERROR(__xludf.DUMMYFUNCTION("""COMPUTED_VALUE"""),77.0)</f>
        <v>77</v>
      </c>
      <c r="B80" s="18" t="str">
        <f>IFERROR(__xludf.DUMMYFUNCTION("""COMPUTED_VALUE"""),"@yuliabaltschun")</f>
        <v>@yuliabaltschun</v>
      </c>
      <c r="C80" s="23">
        <f>IFERROR(__xludf.DUMMYFUNCTION("""COMPUTED_VALUE"""),972000.0)</f>
        <v>972000</v>
      </c>
      <c r="D80" s="17" t="str">
        <f>IFERROR(__xludf.DUMMYFUNCTION("""COMPUTED_VALUE"""),"Macro")</f>
        <v>Macro</v>
      </c>
      <c r="E80" s="18" t="str">
        <f>IFERROR(__xludf.DUMMYFUNCTION("""COMPUTED_VALUE"""),"@yuliabaltschun")</f>
        <v>@yuliabaltschun</v>
      </c>
      <c r="F80" s="23">
        <f>IFERROR(__xludf.DUMMYFUNCTION("""COMPUTED_VALUE"""),482300.0)</f>
        <v>482300</v>
      </c>
      <c r="G80" s="17" t="str">
        <f>IFERROR(__xludf.DUMMYFUNCTION("""COMPUTED_VALUE"""),"Mid")</f>
        <v>Mid</v>
      </c>
      <c r="H80" s="17" t="str">
        <f>IFERROR(__xludf.DUMMYFUNCTION("""COMPUTED_VALUE"""),"Bali")</f>
        <v>Bali</v>
      </c>
      <c r="I80" s="17" t="str">
        <f>IFERROR(__xludf.DUMMYFUNCTION("""COMPUTED_VALUE"""),"Sport &amp; Health")</f>
        <v>Sport &amp; Health</v>
      </c>
      <c r="J80" s="17"/>
      <c r="K80" s="20">
        <f>IFERROR(__xludf.DUMMYFUNCTION("""COMPUTED_VALUE"""),4000000.0)</f>
        <v>4000000</v>
      </c>
      <c r="L80" s="17"/>
      <c r="M80" s="17"/>
      <c r="N80" s="20">
        <f>IFERROR(__xludf.DUMMYFUNCTION("""COMPUTED_VALUE"""),8000000.0)</f>
        <v>8000000</v>
      </c>
      <c r="O80" s="17"/>
      <c r="P80" s="20">
        <f>IFERROR(__xludf.DUMMYFUNCTION("""COMPUTED_VALUE"""),5.0E7)</f>
        <v>50000000</v>
      </c>
      <c r="Q80" s="17"/>
      <c r="R80" s="17"/>
      <c r="S80" s="17"/>
      <c r="T80" s="20">
        <f>IFERROR(__xludf.DUMMYFUNCTION("""COMPUTED_VALUE"""),2.5E7)</f>
        <v>25000000</v>
      </c>
      <c r="U80" s="20" t="str">
        <f>IFERROR(__xludf.DUMMYFUNCTION("""COMPUTED_VALUE"""),"Rp 5.000.000")</f>
        <v>Rp 5.000.000</v>
      </c>
      <c r="V80" s="17"/>
      <c r="W80" s="17"/>
      <c r="X80" s="17"/>
      <c r="Y80" s="17"/>
    </row>
    <row r="81">
      <c r="A81" s="17">
        <f>IFERROR(__xludf.DUMMYFUNCTION("""COMPUTED_VALUE"""),78.0)</f>
        <v>78</v>
      </c>
      <c r="B81" s="18" t="str">
        <f>IFERROR(__xludf.DUMMYFUNCTION("""COMPUTED_VALUE"""),"@gelangelicca")</f>
        <v>@gelangelicca</v>
      </c>
      <c r="C81" s="23">
        <f>IFERROR(__xludf.DUMMYFUNCTION("""COMPUTED_VALUE"""),292000.0)</f>
        <v>292000</v>
      </c>
      <c r="D81" s="17" t="str">
        <f>IFERROR(__xludf.DUMMYFUNCTION("""COMPUTED_VALUE"""),"Mid")</f>
        <v>Mid</v>
      </c>
      <c r="E81" s="18" t="str">
        <f>IFERROR(__xludf.DUMMYFUNCTION("""COMPUTED_VALUE"""),"@gelangelicca")</f>
        <v>@gelangelicca</v>
      </c>
      <c r="F81" s="23">
        <f>IFERROR(__xludf.DUMMYFUNCTION("""COMPUTED_VALUE"""),19300.0)</f>
        <v>19300</v>
      </c>
      <c r="G81" s="17" t="str">
        <f>IFERROR(__xludf.DUMMYFUNCTION("""COMPUTED_VALUE"""),"Micro")</f>
        <v>Micro</v>
      </c>
      <c r="H81" s="17" t="str">
        <f>IFERROR(__xludf.DUMMYFUNCTION("""COMPUTED_VALUE"""),"Tangerang Selatan")</f>
        <v>Tangerang Selatan</v>
      </c>
      <c r="I81" s="17" t="str">
        <f>IFERROR(__xludf.DUMMYFUNCTION("""COMPUTED_VALUE"""),"Beauty ")</f>
        <v>Beauty </v>
      </c>
      <c r="J81" s="17"/>
      <c r="K81" s="20">
        <f>IFERROR(__xludf.DUMMYFUNCTION("""COMPUTED_VALUE"""),6000000.0)</f>
        <v>6000000</v>
      </c>
      <c r="L81" s="20">
        <f>IFERROR(__xludf.DUMMYFUNCTION("""COMPUTED_VALUE"""),1.8E7)</f>
        <v>18000000</v>
      </c>
      <c r="M81" s="20">
        <f>IFERROR(__xludf.DUMMYFUNCTION("""COMPUTED_VALUE"""),8250000.0)</f>
        <v>8250000</v>
      </c>
      <c r="N81" s="20">
        <f>IFERROR(__xludf.DUMMYFUNCTION("""COMPUTED_VALUE"""),1.5E7)</f>
        <v>15000000</v>
      </c>
      <c r="O81" s="20">
        <f>IFERROR(__xludf.DUMMYFUNCTION("""COMPUTED_VALUE"""),1.8E7)</f>
        <v>18000000</v>
      </c>
      <c r="P81" s="20">
        <f>IFERROR(__xludf.DUMMYFUNCTION("""COMPUTED_VALUE"""),2.5E7)</f>
        <v>25000000</v>
      </c>
      <c r="Q81" s="17" t="str">
        <f>IFERROR(__xludf.DUMMYFUNCTION("""COMPUTED_VALUE"""),"+Rp2,000,000")</f>
        <v>+Rp2,000,000</v>
      </c>
      <c r="R81" s="17"/>
      <c r="S81" s="20">
        <f>IFERROR(__xludf.DUMMYFUNCTION("""COMPUTED_VALUE"""),2.65E7)</f>
        <v>26500000</v>
      </c>
      <c r="T81" s="20">
        <f>IFERROR(__xludf.DUMMYFUNCTION("""COMPUTED_VALUE"""),2.0E7)</f>
        <v>20000000</v>
      </c>
      <c r="U81" s="17"/>
      <c r="V81" s="17"/>
      <c r="W81" s="17"/>
      <c r="X81" s="17"/>
      <c r="Y81" s="17"/>
    </row>
    <row r="82">
      <c r="A82" s="17">
        <f>IFERROR(__xludf.DUMMYFUNCTION("""COMPUTED_VALUE"""),79.0)</f>
        <v>79</v>
      </c>
      <c r="B82" s="18" t="str">
        <f>IFERROR(__xludf.DUMMYFUNCTION("""COMPUTED_VALUE"""),"@gabybsaputra")</f>
        <v>@gabybsaputra</v>
      </c>
      <c r="C82" s="23">
        <f>IFERROR(__xludf.DUMMYFUNCTION("""COMPUTED_VALUE"""),129000.0)</f>
        <v>129000</v>
      </c>
      <c r="D82" s="17" t="str">
        <f>IFERROR(__xludf.DUMMYFUNCTION("""COMPUTED_VALUE"""),"Mid")</f>
        <v>Mid</v>
      </c>
      <c r="E82" s="18" t="str">
        <f>IFERROR(__xludf.DUMMYFUNCTION("""COMPUTED_VALUE"""),"@gabybsaputraa")</f>
        <v>@gabybsaputraa</v>
      </c>
      <c r="F82" s="23">
        <f>IFERROR(__xludf.DUMMYFUNCTION("""COMPUTED_VALUE"""),166400.0)</f>
        <v>166400</v>
      </c>
      <c r="G82" s="17" t="str">
        <f>IFERROR(__xludf.DUMMYFUNCTION("""COMPUTED_VALUE"""),"Mid")</f>
        <v>Mid</v>
      </c>
      <c r="H82" s="17" t="str">
        <f>IFERROR(__xludf.DUMMYFUNCTION("""COMPUTED_VALUE"""),"Bekasi")</f>
        <v>Bekasi</v>
      </c>
      <c r="I82" s="17" t="str">
        <f>IFERROR(__xludf.DUMMYFUNCTION("""COMPUTED_VALUE"""),"- Beauty 
- Lifestyle Female")</f>
        <v>- Beauty 
- Lifestyle Female</v>
      </c>
      <c r="J82" s="17"/>
      <c r="K82" s="20">
        <f>IFERROR(__xludf.DUMMYFUNCTION("""COMPUTED_VALUE"""),4000000.0)</f>
        <v>4000000</v>
      </c>
      <c r="L82" s="20">
        <f>IFERROR(__xludf.DUMMYFUNCTION("""COMPUTED_VALUE"""),6000000.0)</f>
        <v>6000000</v>
      </c>
      <c r="M82" s="20" t="str">
        <f>IFERROR(__xludf.DUMMYFUNCTION("""COMPUTED_VALUE"""),"FREE")</f>
        <v>FREE</v>
      </c>
      <c r="N82" s="20">
        <f>IFERROR(__xludf.DUMMYFUNCTION("""COMPUTED_VALUE"""),4500000.0)</f>
        <v>4500000</v>
      </c>
      <c r="O82" s="20">
        <f>IFERROR(__xludf.DUMMYFUNCTION("""COMPUTED_VALUE"""),5500000.0)</f>
        <v>5500000</v>
      </c>
      <c r="P82" s="20">
        <f>IFERROR(__xludf.DUMMYFUNCTION("""COMPUTED_VALUE"""),1.2E7)</f>
        <v>12000000</v>
      </c>
      <c r="Q82" s="20">
        <f>IFERROR(__xludf.DUMMYFUNCTION("""COMPUTED_VALUE"""),3000000.0)</f>
        <v>3000000</v>
      </c>
      <c r="R82" s="20">
        <f>IFERROR(__xludf.DUMMYFUNCTION("""COMPUTED_VALUE"""),1.2E7)</f>
        <v>12000000</v>
      </c>
      <c r="S82" s="20">
        <f>IFERROR(__xludf.DUMMYFUNCTION("""COMPUTED_VALUE"""),5500000.0)</f>
        <v>5500000</v>
      </c>
      <c r="T82" s="17"/>
      <c r="U82" s="21">
        <f>IFERROR(__xludf.DUMMYFUNCTION("""COMPUTED_VALUE"""),1.0)</f>
        <v>1</v>
      </c>
      <c r="V82" s="20" t="str">
        <f>IFERROR(__xludf.DUMMYFUNCTION("""COMPUTED_VALUE"""),"FREE")</f>
        <v>FREE</v>
      </c>
      <c r="W82" s="20" t="str">
        <f>IFERROR(__xludf.DUMMYFUNCTION("""COMPUTED_VALUE"""),"FREE")</f>
        <v>FREE</v>
      </c>
      <c r="X82" s="20" t="str">
        <f>IFERROR(__xludf.DUMMYFUNCTION("""COMPUTED_VALUE"""),"Jadetabek : Rp7,000,000")</f>
        <v>Jadetabek : Rp7,000,000</v>
      </c>
      <c r="Y82" s="17"/>
    </row>
    <row r="83">
      <c r="A83" s="17">
        <f>IFERROR(__xludf.DUMMYFUNCTION("""COMPUTED_VALUE"""),80.0)</f>
        <v>80</v>
      </c>
      <c r="B83" s="18" t="str">
        <f>IFERROR(__xludf.DUMMYFUNCTION("""COMPUTED_VALUE"""),"@abellyc")</f>
        <v>@abellyc</v>
      </c>
      <c r="C83" s="19">
        <f>IFERROR(__xludf.DUMMYFUNCTION("""COMPUTED_VALUE"""),1100000.0)</f>
        <v>1100000</v>
      </c>
      <c r="D83" s="17" t="str">
        <f>IFERROR(__xludf.DUMMYFUNCTION("""COMPUTED_VALUE"""),"Mega")</f>
        <v>Mega</v>
      </c>
      <c r="E83" s="18" t="str">
        <f>IFERROR(__xludf.DUMMYFUNCTION("""COMPUTED_VALUE"""),"@abel_cantika")</f>
        <v>@abel_cantika</v>
      </c>
      <c r="F83" s="23">
        <f>IFERROR(__xludf.DUMMYFUNCTION("""COMPUTED_VALUE"""),237800.0)</f>
        <v>237800</v>
      </c>
      <c r="G83" s="17" t="str">
        <f>IFERROR(__xludf.DUMMYFUNCTION("""COMPUTED_VALUE"""),"Mid")</f>
        <v>Mid</v>
      </c>
      <c r="H83" s="17" t="str">
        <f>IFERROR(__xludf.DUMMYFUNCTION("""COMPUTED_VALUE"""),"Jakarta Timur")</f>
        <v>Jakarta Timur</v>
      </c>
      <c r="I83" s="17" t="str">
        <f>IFERROR(__xludf.DUMMYFUNCTION("""COMPUTED_VALUE"""),"- Beauty 
- Lifestyle Female
- Family")</f>
        <v>- Beauty 
- Lifestyle Female
- Family</v>
      </c>
      <c r="J83" s="17"/>
      <c r="K83" s="20">
        <f>IFERROR(__xludf.DUMMYFUNCTION("""COMPUTED_VALUE"""),1.1E7)</f>
        <v>11000000</v>
      </c>
      <c r="L83" s="20">
        <f>IFERROR(__xludf.DUMMYFUNCTION("""COMPUTED_VALUE"""),4.0E7)</f>
        <v>40000000</v>
      </c>
      <c r="M83" s="20">
        <f>IFERROR(__xludf.DUMMYFUNCTION("""COMPUTED_VALUE"""),700000.0)</f>
        <v>700000</v>
      </c>
      <c r="N83" s="20">
        <f>IFERROR(__xludf.DUMMYFUNCTION("""COMPUTED_VALUE"""),3.0E7)</f>
        <v>30000000</v>
      </c>
      <c r="O83" s="20">
        <f>IFERROR(__xludf.DUMMYFUNCTION("""COMPUTED_VALUE"""),3.3E7)</f>
        <v>33000000</v>
      </c>
      <c r="P83" s="20">
        <f>IFERROR(__xludf.DUMMYFUNCTION("""COMPUTED_VALUE"""),7.5E7)</f>
        <v>75000000</v>
      </c>
      <c r="Q83" s="17"/>
      <c r="R83" s="20">
        <f>IFERROR(__xludf.DUMMYFUNCTION("""COMPUTED_VALUE"""),6.0E7)</f>
        <v>60000000</v>
      </c>
      <c r="S83" s="20">
        <f>IFERROR(__xludf.DUMMYFUNCTION("""COMPUTED_VALUE"""),1.1E8)</f>
        <v>110000000</v>
      </c>
      <c r="T83" s="20">
        <f>IFERROR(__xludf.DUMMYFUNCTION("""COMPUTED_VALUE"""),2.5E7)</f>
        <v>25000000</v>
      </c>
      <c r="U83" s="20" t="str">
        <f>IFERROR(__xludf.DUMMYFUNCTION("""COMPUTED_VALUE"""),"Rp 30,000,000 - Rp70,000,000")</f>
        <v>Rp 30,000,000 - Rp70,000,000</v>
      </c>
      <c r="V83" s="20">
        <f>IFERROR(__xludf.DUMMYFUNCTION("""COMPUTED_VALUE"""),5000000.0)</f>
        <v>5000000</v>
      </c>
      <c r="W83" s="17" t="str">
        <f>IFERROR(__xludf.DUMMYFUNCTION("""COMPUTED_VALUE"""),"+Rp1,500,000")</f>
        <v>+Rp1,500,000</v>
      </c>
      <c r="X83" s="20">
        <f>IFERROR(__xludf.DUMMYFUNCTION("""COMPUTED_VALUE"""),2.7E7)</f>
        <v>27000000</v>
      </c>
      <c r="Y83" s="17"/>
    </row>
    <row r="84">
      <c r="A84" s="17">
        <f>IFERROR(__xludf.DUMMYFUNCTION("""COMPUTED_VALUE"""),81.0)</f>
        <v>81</v>
      </c>
      <c r="B84" s="18" t="str">
        <f>IFERROR(__xludf.DUMMYFUNCTION("""COMPUTED_VALUE"""),"@rucenuenda")</f>
        <v>@rucenuenda</v>
      </c>
      <c r="C84" s="25">
        <f>IFERROR(__xludf.DUMMYFUNCTION("""COMPUTED_VALUE"""),1700000.0)</f>
        <v>1700000</v>
      </c>
      <c r="D84" s="17" t="str">
        <f>IFERROR(__xludf.DUMMYFUNCTION("""COMPUTED_VALUE"""),"Mega")</f>
        <v>Mega</v>
      </c>
      <c r="E84" s="18" t="str">
        <f>IFERROR(__xludf.DUMMYFUNCTION("""COMPUTED_VALUE"""),"@rucenuenda1")</f>
        <v>@rucenuenda1</v>
      </c>
      <c r="F84" s="26">
        <f>IFERROR(__xludf.DUMMYFUNCTION("""COMPUTED_VALUE"""),6500000.0)</f>
        <v>6500000</v>
      </c>
      <c r="G84" s="17" t="str">
        <f>IFERROR(__xludf.DUMMYFUNCTION("""COMPUTED_VALUE"""),"Mega")</f>
        <v>Mega</v>
      </c>
      <c r="H84" s="17" t="str">
        <f>IFERROR(__xludf.DUMMYFUNCTION("""COMPUTED_VALUE"""),"Tangerang")</f>
        <v>Tangerang</v>
      </c>
      <c r="I84" s="17" t="str">
        <f>IFERROR(__xludf.DUMMYFUNCTION("""COMPUTED_VALUE"""),"- Lifestyle Female
- Mom &amp; Kids")</f>
        <v>- Lifestyle Female
- Mom &amp; Kids</v>
      </c>
      <c r="J84" s="20">
        <f>IFERROR(__xludf.DUMMYFUNCTION("""COMPUTED_VALUE"""),1.05E7)</f>
        <v>10500000</v>
      </c>
      <c r="K84" s="20">
        <f>IFERROR(__xludf.DUMMYFUNCTION("""COMPUTED_VALUE"""),1.3E7)</f>
        <v>13000000</v>
      </c>
      <c r="L84" s="20">
        <f>IFERROR(__xludf.DUMMYFUNCTION("""COMPUTED_VALUE"""),2.5E7)</f>
        <v>25000000</v>
      </c>
      <c r="M84" s="20" t="str">
        <f>IFERROR(__xludf.DUMMYFUNCTION("""COMPUTED_VALUE"""),"FREE")</f>
        <v>FREE</v>
      </c>
      <c r="N84" s="20">
        <f>IFERROR(__xludf.DUMMYFUNCTION("""COMPUTED_VALUE"""),3.0E7)</f>
        <v>30000000</v>
      </c>
      <c r="O84" s="20">
        <f>IFERROR(__xludf.DUMMYFUNCTION("""COMPUTED_VALUE"""),3.3E7)</f>
        <v>33000000</v>
      </c>
      <c r="P84" s="20">
        <f>IFERROR(__xludf.DUMMYFUNCTION("""COMPUTED_VALUE"""),3.5E7)</f>
        <v>35000000</v>
      </c>
      <c r="Q84" s="21">
        <f>IFERROR(__xludf.DUMMYFUNCTION("""COMPUTED_VALUE"""),0.3)</f>
        <v>0.3</v>
      </c>
      <c r="R84" s="20">
        <f>IFERROR(__xludf.DUMMYFUNCTION("""COMPUTED_VALUE"""),4.5E7)</f>
        <v>45000000</v>
      </c>
      <c r="S84" s="20">
        <f>IFERROR(__xludf.DUMMYFUNCTION("""COMPUTED_VALUE"""),2.5E7)</f>
        <v>25000000</v>
      </c>
      <c r="T84" s="20">
        <f>IFERROR(__xludf.DUMMYFUNCTION("""COMPUTED_VALUE"""),3.0E7)</f>
        <v>30000000</v>
      </c>
      <c r="U84" s="21">
        <f>IFERROR(__xludf.DUMMYFUNCTION("""COMPUTED_VALUE"""),1.0)</f>
        <v>1</v>
      </c>
      <c r="V84" s="20">
        <f>IFERROR(__xludf.DUMMYFUNCTION("""COMPUTED_VALUE"""),1.0E7)</f>
        <v>10000000</v>
      </c>
      <c r="W84" s="20">
        <f>IFERROR(__xludf.DUMMYFUNCTION("""COMPUTED_VALUE"""),3500000.0)</f>
        <v>3500000</v>
      </c>
      <c r="X84" s="20">
        <f>IFERROR(__xludf.DUMMYFUNCTION("""COMPUTED_VALUE"""),2.0E7)</f>
        <v>20000000</v>
      </c>
      <c r="Y84" s="17"/>
    </row>
    <row r="85">
      <c r="A85" s="17">
        <f>IFERROR(__xludf.DUMMYFUNCTION("""COMPUTED_VALUE"""),82.0)</f>
        <v>82</v>
      </c>
      <c r="B85" s="18" t="str">
        <f>IFERROR(__xludf.DUMMYFUNCTION("""COMPUTED_VALUE"""),"@jenniferchrstie")</f>
        <v>@jenniferchrstie</v>
      </c>
      <c r="C85" s="23">
        <f>IFERROR(__xludf.DUMMYFUNCTION("""COMPUTED_VALUE"""),979000.0)</f>
        <v>979000</v>
      </c>
      <c r="D85" s="17" t="str">
        <f>IFERROR(__xludf.DUMMYFUNCTION("""COMPUTED_VALUE"""),"Macro")</f>
        <v>Macro</v>
      </c>
      <c r="E85" s="18" t="str">
        <f>IFERROR(__xludf.DUMMYFUNCTION("""COMPUTED_VALUE"""),"@jenniferchrstie")</f>
        <v>@jenniferchrstie</v>
      </c>
      <c r="F85" s="19">
        <f>IFERROR(__xludf.DUMMYFUNCTION("""COMPUTED_VALUE"""),2600000.0)</f>
        <v>2600000</v>
      </c>
      <c r="G85" s="17" t="str">
        <f>IFERROR(__xludf.DUMMYFUNCTION("""COMPUTED_VALUE"""),"Mega")</f>
        <v>Mega</v>
      </c>
      <c r="H85" s="17" t="str">
        <f>IFERROR(__xludf.DUMMYFUNCTION("""COMPUTED_VALUE"""),"Jakarta")</f>
        <v>Jakarta</v>
      </c>
      <c r="I85" s="17" t="str">
        <f>IFERROR(__xludf.DUMMYFUNCTION("""COMPUTED_VALUE"""),"- Lifestyle Female 
- Pasutri")</f>
        <v>- Lifestyle Female 
- Pasutri</v>
      </c>
      <c r="J85" s="17"/>
      <c r="K85" s="20">
        <f>IFERROR(__xludf.DUMMYFUNCTION("""COMPUTED_VALUE"""),2.0E7)</f>
        <v>20000000</v>
      </c>
      <c r="L85" s="20">
        <f>IFERROR(__xludf.DUMMYFUNCTION("""COMPUTED_VALUE"""),2.2E7)</f>
        <v>22000000</v>
      </c>
      <c r="M85" s="20">
        <f>IFERROR(__xludf.DUMMYFUNCTION("""COMPUTED_VALUE"""),2000000.0)</f>
        <v>2000000</v>
      </c>
      <c r="N85" s="20">
        <f>IFERROR(__xludf.DUMMYFUNCTION("""COMPUTED_VALUE"""),2.5E7)</f>
        <v>25000000</v>
      </c>
      <c r="O85" s="20">
        <f>IFERROR(__xludf.DUMMYFUNCTION("""COMPUTED_VALUE"""),2.5E7)</f>
        <v>25000000</v>
      </c>
      <c r="P85" s="20">
        <f>IFERROR(__xludf.DUMMYFUNCTION("""COMPUTED_VALUE"""),3.0E7)</f>
        <v>30000000</v>
      </c>
      <c r="Q85" s="20">
        <f>IFERROR(__xludf.DUMMYFUNCTION("""COMPUTED_VALUE"""),1.0E7)</f>
        <v>10000000</v>
      </c>
      <c r="R85" s="20">
        <f>IFERROR(__xludf.DUMMYFUNCTION("""COMPUTED_VALUE"""),3.3E7)</f>
        <v>33000000</v>
      </c>
      <c r="S85" s="20">
        <f>IFERROR(__xludf.DUMMYFUNCTION("""COMPUTED_VALUE"""),1.0E7)</f>
        <v>10000000</v>
      </c>
      <c r="T85" s="20">
        <f>IFERROR(__xludf.DUMMYFUNCTION("""COMPUTED_VALUE"""),1.5E7)</f>
        <v>15000000</v>
      </c>
      <c r="U85" s="21">
        <f>IFERROR(__xludf.DUMMYFUNCTION("""COMPUTED_VALUE"""),0.5)</f>
        <v>0.5</v>
      </c>
      <c r="V85" s="21">
        <f>IFERROR(__xludf.DUMMYFUNCTION("""COMPUTED_VALUE"""),0.2)</f>
        <v>0.2</v>
      </c>
      <c r="W85" s="17"/>
      <c r="X85" s="20">
        <f>IFERROR(__xludf.DUMMYFUNCTION("""COMPUTED_VALUE"""),8000000.0)</f>
        <v>8000000</v>
      </c>
      <c r="Y85" s="17"/>
    </row>
    <row r="86">
      <c r="A86" s="17">
        <f>IFERROR(__xludf.DUMMYFUNCTION("""COMPUTED_VALUE"""),83.0)</f>
        <v>83</v>
      </c>
      <c r="B86" s="18" t="str">
        <f>IFERROR(__xludf.DUMMYFUNCTION("""COMPUTED_VALUE"""),"@kezialetheia")</f>
        <v>@kezialetheia</v>
      </c>
      <c r="C86" s="23">
        <f>IFERROR(__xludf.DUMMYFUNCTION("""COMPUTED_VALUE"""),238000.0)</f>
        <v>238000</v>
      </c>
      <c r="D86" s="17" t="str">
        <f>IFERROR(__xludf.DUMMYFUNCTION("""COMPUTED_VALUE"""),"Mid")</f>
        <v>Mid</v>
      </c>
      <c r="E86" s="18" t="str">
        <f>IFERROR(__xludf.DUMMYFUNCTION("""COMPUTED_VALUE"""),"@keziaaletheia")</f>
        <v>@keziaaletheia</v>
      </c>
      <c r="F86" s="23">
        <f>IFERROR(__xludf.DUMMYFUNCTION("""COMPUTED_VALUE"""),473700.0)</f>
        <v>473700</v>
      </c>
      <c r="G86" s="17" t="str">
        <f>IFERROR(__xludf.DUMMYFUNCTION("""COMPUTED_VALUE"""),"Mid")</f>
        <v>Mid</v>
      </c>
      <c r="H86" s="17" t="str">
        <f>IFERROR(__xludf.DUMMYFUNCTION("""COMPUTED_VALUE"""),"Jakarta Selatan")</f>
        <v>Jakarta Selatan</v>
      </c>
      <c r="I86" s="17" t="str">
        <f>IFERROR(__xludf.DUMMYFUNCTION("""COMPUTED_VALUE"""),"- Lifestyle Female
- Beauty")</f>
        <v>- Lifestyle Female
- Beauty</v>
      </c>
      <c r="J86" s="17"/>
      <c r="K86" s="20">
        <f>IFERROR(__xludf.DUMMYFUNCTION("""COMPUTED_VALUE"""),5000000.0)</f>
        <v>5000000</v>
      </c>
      <c r="L86" s="20">
        <f>IFERROR(__xludf.DUMMYFUNCTION("""COMPUTED_VALUE"""),8000000.0)</f>
        <v>8000000</v>
      </c>
      <c r="M86" s="17"/>
      <c r="N86" s="20">
        <f>IFERROR(__xludf.DUMMYFUNCTION("""COMPUTED_VALUE"""),1.0E7)</f>
        <v>10000000</v>
      </c>
      <c r="O86" s="20">
        <f>IFERROR(__xludf.DUMMYFUNCTION("""COMPUTED_VALUE"""),1.1E7)</f>
        <v>11000000</v>
      </c>
      <c r="P86" s="20">
        <f>IFERROR(__xludf.DUMMYFUNCTION("""COMPUTED_VALUE"""),2.0E7)</f>
        <v>20000000</v>
      </c>
      <c r="Q86" s="17"/>
      <c r="R86" s="20">
        <f>IFERROR(__xludf.DUMMYFUNCTION("""COMPUTED_VALUE"""),2.0E7)</f>
        <v>20000000</v>
      </c>
      <c r="S86" s="17"/>
      <c r="T86" s="20">
        <f>IFERROR(__xludf.DUMMYFUNCTION("""COMPUTED_VALUE"""),2.0E7)</f>
        <v>20000000</v>
      </c>
      <c r="U86" s="17" t="str">
        <f>IFERROR(__xludf.DUMMYFUNCTION("""COMPUTED_VALUE"""),"70% / month")</f>
        <v>70% / month</v>
      </c>
      <c r="V86" s="21">
        <f>IFERROR(__xludf.DUMMYFUNCTION("""COMPUTED_VALUE"""),0.25)</f>
        <v>0.25</v>
      </c>
      <c r="W86" s="21">
        <f>IFERROR(__xludf.DUMMYFUNCTION("""COMPUTED_VALUE"""),0.25)</f>
        <v>0.25</v>
      </c>
      <c r="X86" s="17"/>
      <c r="Y86" s="17"/>
    </row>
    <row r="87">
      <c r="A87" s="17">
        <f>IFERROR(__xludf.DUMMYFUNCTION("""COMPUTED_VALUE"""),84.0)</f>
        <v>84</v>
      </c>
      <c r="B87" s="18" t="str">
        <f>IFERROR(__xludf.DUMMYFUNCTION("""COMPUTED_VALUE"""),"@yourminbite")</f>
        <v>@yourminbite</v>
      </c>
      <c r="C87" s="23">
        <f>IFERROR(__xludf.DUMMYFUNCTION("""COMPUTED_VALUE"""),259000.0)</f>
        <v>259000</v>
      </c>
      <c r="D87" s="17" t="str">
        <f>IFERROR(__xludf.DUMMYFUNCTION("""COMPUTED_VALUE"""),"Mid")</f>
        <v>Mid</v>
      </c>
      <c r="E87" s="18" t="str">
        <f>IFERROR(__xludf.DUMMYFUNCTION("""COMPUTED_VALUE"""),"@yourminbite")</f>
        <v>@yourminbite</v>
      </c>
      <c r="F87" s="19">
        <f>IFERROR(__xludf.DUMMYFUNCTION("""COMPUTED_VALUE"""),1100000.0)</f>
        <v>1100000</v>
      </c>
      <c r="G87" s="17" t="str">
        <f>IFERROR(__xludf.DUMMYFUNCTION("""COMPUTED_VALUE"""),"Mega")</f>
        <v>Mega</v>
      </c>
      <c r="H87" s="17" t="str">
        <f>IFERROR(__xludf.DUMMYFUNCTION("""COMPUTED_VALUE"""),"Jakarta")</f>
        <v>Jakarta</v>
      </c>
      <c r="I87" s="17" t="str">
        <f>IFERROR(__xludf.DUMMYFUNCTION("""COMPUTED_VALUE"""),"- Lifestyle Female
- Comedy")</f>
        <v>- Lifestyle Female
- Comedy</v>
      </c>
      <c r="J87" s="17"/>
      <c r="K87" s="20">
        <f>IFERROR(__xludf.DUMMYFUNCTION("""COMPUTED_VALUE"""),5500000.0)</f>
        <v>5500000</v>
      </c>
      <c r="L87" s="20">
        <f>IFERROR(__xludf.DUMMYFUNCTION("""COMPUTED_VALUE"""),6500000.0)</f>
        <v>6500000</v>
      </c>
      <c r="M87" s="17"/>
      <c r="N87" s="20">
        <f>IFERROR(__xludf.DUMMYFUNCTION("""COMPUTED_VALUE"""),5000000.0)</f>
        <v>5000000</v>
      </c>
      <c r="O87" s="17"/>
      <c r="P87" s="20">
        <f>IFERROR(__xludf.DUMMYFUNCTION("""COMPUTED_VALUE"""),9000000.0)</f>
        <v>9000000</v>
      </c>
      <c r="Q87" s="17"/>
      <c r="R87" s="20">
        <f>IFERROR(__xludf.DUMMYFUNCTION("""COMPUTED_VALUE"""),2.5E7)</f>
        <v>25000000</v>
      </c>
      <c r="S87" s="17"/>
      <c r="T87" s="20">
        <f>IFERROR(__xludf.DUMMYFUNCTION("""COMPUTED_VALUE"""),1.8E7)</f>
        <v>18000000</v>
      </c>
      <c r="U87" s="20" t="str">
        <f>IFERROR(__xludf.DUMMYFUNCTION("""COMPUTED_VALUE"""),"1x rate")</f>
        <v>1x rate</v>
      </c>
      <c r="V87" s="21">
        <f>IFERROR(__xludf.DUMMYFUNCTION("""COMPUTED_VALUE"""),0.3)</f>
        <v>0.3</v>
      </c>
      <c r="W87" s="20">
        <f>IFERROR(__xludf.DUMMYFUNCTION("""COMPUTED_VALUE"""),3500000.0)</f>
        <v>3500000</v>
      </c>
      <c r="X87" s="17"/>
      <c r="Y87" s="17"/>
    </row>
    <row r="88">
      <c r="A88" s="17">
        <f>IFERROR(__xludf.DUMMYFUNCTION("""COMPUTED_VALUE"""),85.0)</f>
        <v>85</v>
      </c>
      <c r="B88" s="18" t="str">
        <f>IFERROR(__xludf.DUMMYFUNCTION("""COMPUTED_VALUE"""),"@reginaaphx")</f>
        <v>@reginaaphx</v>
      </c>
      <c r="C88" s="23">
        <f>IFERROR(__xludf.DUMMYFUNCTION("""COMPUTED_VALUE"""),557000.0)</f>
        <v>557000</v>
      </c>
      <c r="D88" s="17" t="str">
        <f>IFERROR(__xludf.DUMMYFUNCTION("""COMPUTED_VALUE"""),"Macro")</f>
        <v>Macro</v>
      </c>
      <c r="E88" s="18" t="str">
        <f>IFERROR(__xludf.DUMMYFUNCTION("""COMPUTED_VALUE"""),"@reginaphx")</f>
        <v>@reginaphx</v>
      </c>
      <c r="F88" s="23">
        <f>IFERROR(__xludf.DUMMYFUNCTION("""COMPUTED_VALUE"""),683200.0)</f>
        <v>683200</v>
      </c>
      <c r="G88" s="17" t="str">
        <f>IFERROR(__xludf.DUMMYFUNCTION("""COMPUTED_VALUE"""),"Macro")</f>
        <v>Macro</v>
      </c>
      <c r="H88" s="17" t="str">
        <f>IFERROR(__xludf.DUMMYFUNCTION("""COMPUTED_VALUE"""),"Bandung")</f>
        <v>Bandung</v>
      </c>
      <c r="I88" s="17" t="str">
        <f>IFERROR(__xludf.DUMMYFUNCTION("""COMPUTED_VALUE"""),"- Lifestyle Female")</f>
        <v>- Lifestyle Female</v>
      </c>
      <c r="J88" s="20">
        <f>IFERROR(__xludf.DUMMYFUNCTION("""COMPUTED_VALUE"""),3000000.0)</f>
        <v>3000000</v>
      </c>
      <c r="K88" s="20">
        <f>IFERROR(__xludf.DUMMYFUNCTION("""COMPUTED_VALUE"""),5000000.0)</f>
        <v>5000000</v>
      </c>
      <c r="L88" s="20">
        <f>IFERROR(__xludf.DUMMYFUNCTION("""COMPUTED_VALUE"""),1.47E7)</f>
        <v>14700000</v>
      </c>
      <c r="M88" s="20" t="str">
        <f>IFERROR(__xludf.DUMMYFUNCTION("""COMPUTED_VALUE"""),"FREE")</f>
        <v>FREE</v>
      </c>
      <c r="N88" s="20">
        <f>IFERROR(__xludf.DUMMYFUNCTION("""COMPUTED_VALUE"""),7500000.0)</f>
        <v>7500000</v>
      </c>
      <c r="O88" s="20">
        <f>IFERROR(__xludf.DUMMYFUNCTION("""COMPUTED_VALUE"""),1.05E7)</f>
        <v>10500000</v>
      </c>
      <c r="P88" s="20">
        <f>IFERROR(__xludf.DUMMYFUNCTION("""COMPUTED_VALUE"""),1.3E7)</f>
        <v>13000000</v>
      </c>
      <c r="Q88" s="20">
        <f>IFERROR(__xludf.DUMMYFUNCTION("""COMPUTED_VALUE"""),4000000.0)</f>
        <v>4000000</v>
      </c>
      <c r="R88" s="20">
        <f>IFERROR(__xludf.DUMMYFUNCTION("""COMPUTED_VALUE"""),1.2E7)</f>
        <v>12000000</v>
      </c>
      <c r="S88" s="20">
        <f>IFERROR(__xludf.DUMMYFUNCTION("""COMPUTED_VALUE"""),2.45E7)</f>
        <v>24500000</v>
      </c>
      <c r="T88" s="17"/>
      <c r="U88" s="20">
        <f>IFERROR(__xludf.DUMMYFUNCTION("""COMPUTED_VALUE"""),6000000.0)</f>
        <v>6000000</v>
      </c>
      <c r="V88" s="20" t="str">
        <f>IFERROR(__xludf.DUMMYFUNCTION("""COMPUTED_VALUE"""),"Rp3,500,000 (60 days)
Rp5,500,000 (365 days)")</f>
        <v>Rp3,500,000 (60 days)
Rp5,500,000 (365 days)</v>
      </c>
      <c r="W88" s="17"/>
      <c r="X88" s="20">
        <f>IFERROR(__xludf.DUMMYFUNCTION("""COMPUTED_VALUE"""),1.5E7)</f>
        <v>15000000</v>
      </c>
      <c r="Y88" s="17"/>
    </row>
    <row r="89">
      <c r="A89" s="17">
        <f>IFERROR(__xludf.DUMMYFUNCTION("""COMPUTED_VALUE"""),86.0)</f>
        <v>86</v>
      </c>
      <c r="B89" s="18" t="str">
        <f>IFERROR(__xludf.DUMMYFUNCTION("""COMPUTED_VALUE"""),"@kuliner_bekasi")</f>
        <v>@kuliner_bekasi</v>
      </c>
      <c r="C89" s="23">
        <f>IFERROR(__xludf.DUMMYFUNCTION("""COMPUTED_VALUE"""),234000.0)</f>
        <v>234000</v>
      </c>
      <c r="D89" s="17" t="str">
        <f>IFERROR(__xludf.DUMMYFUNCTION("""COMPUTED_VALUE"""),"Mid")</f>
        <v>Mid</v>
      </c>
      <c r="E89" s="18" t="str">
        <f>IFERROR(__xludf.DUMMYFUNCTION("""COMPUTED_VALUE"""),"@kuliner_bks")</f>
        <v>@kuliner_bks</v>
      </c>
      <c r="F89" s="23">
        <f>IFERROR(__xludf.DUMMYFUNCTION("""COMPUTED_VALUE"""),130700.0)</f>
        <v>130700</v>
      </c>
      <c r="G89" s="17" t="str">
        <f>IFERROR(__xludf.DUMMYFUNCTION("""COMPUTED_VALUE"""),"Mid")</f>
        <v>Mid</v>
      </c>
      <c r="H89" s="17" t="str">
        <f>IFERROR(__xludf.DUMMYFUNCTION("""COMPUTED_VALUE"""),"Bekasi")</f>
        <v>Bekasi</v>
      </c>
      <c r="I89" s="17" t="str">
        <f>IFERROR(__xludf.DUMMYFUNCTION("""COMPUTED_VALUE"""),"- FnB")</f>
        <v>- FnB</v>
      </c>
      <c r="J89" s="17"/>
      <c r="K89" s="20" t="str">
        <f>IFERROR(__xludf.DUMMYFUNCTION("""COMPUTED_VALUE"""),"Reels Mirror TikTok + IG Story: Rp2,200,000")</f>
        <v>Reels Mirror TikTok + IG Story: Rp2,200,000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>
        <f>IFERROR(__xludf.DUMMYFUNCTION("""COMPUTED_VALUE"""),87.0)</f>
        <v>87</v>
      </c>
      <c r="B90" s="18" t="str">
        <f>IFERROR(__xludf.DUMMYFUNCTION("""COMPUTED_VALUE"""),"@rachelvennya")</f>
        <v>@rachelvennya</v>
      </c>
      <c r="C90" s="19">
        <f>IFERROR(__xludf.DUMMYFUNCTION("""COMPUTED_VALUE"""),8300000.0)</f>
        <v>8300000</v>
      </c>
      <c r="D90" s="17" t="str">
        <f>IFERROR(__xludf.DUMMYFUNCTION("""COMPUTED_VALUE"""),"Mega")</f>
        <v>Mega</v>
      </c>
      <c r="E90" s="18" t="str">
        <f>IFERROR(__xludf.DUMMYFUNCTION("""COMPUTED_VALUE"""),"@rachelvennya")</f>
        <v>@rachelvennya</v>
      </c>
      <c r="F90" s="19">
        <f>IFERROR(__xludf.DUMMYFUNCTION("""COMPUTED_VALUE"""),3300000.0)</f>
        <v>3300000</v>
      </c>
      <c r="G90" s="17" t="str">
        <f>IFERROR(__xludf.DUMMYFUNCTION("""COMPUTED_VALUE"""),"Mega")</f>
        <v>Mega</v>
      </c>
      <c r="H90" s="17" t="str">
        <f>IFERROR(__xludf.DUMMYFUNCTION("""COMPUTED_VALUE"""),"Jakarta Selatan")</f>
        <v>Jakarta Selatan</v>
      </c>
      <c r="I90" s="17" t="str">
        <f>IFERROR(__xludf.DUMMYFUNCTION("""COMPUTED_VALUE"""),"-  Lifestyle Female
- Family
- Mom &amp; Kids")</f>
        <v>-  Lifestyle Female
- Family
- Mom &amp; Kids</v>
      </c>
      <c r="J90" s="17"/>
      <c r="K90" s="20">
        <f>IFERROR(__xludf.DUMMYFUNCTION("""COMPUTED_VALUE"""),1.5E7)</f>
        <v>15000000</v>
      </c>
      <c r="L90" s="20">
        <f>IFERROR(__xludf.DUMMYFUNCTION("""COMPUTED_VALUE"""),3.5E7)</f>
        <v>35000000</v>
      </c>
      <c r="M90" s="17"/>
      <c r="N90" s="20">
        <f>IFERROR(__xludf.DUMMYFUNCTION("""COMPUTED_VALUE"""),5.0E7)</f>
        <v>50000000</v>
      </c>
      <c r="O90" s="20">
        <f>IFERROR(__xludf.DUMMYFUNCTION("""COMPUTED_VALUE"""),7.0E7)</f>
        <v>70000000</v>
      </c>
      <c r="P90" s="20">
        <f>IFERROR(__xludf.DUMMYFUNCTION("""COMPUTED_VALUE"""),1.0E8)</f>
        <v>100000000</v>
      </c>
      <c r="Q90" s="17"/>
      <c r="R90" s="20">
        <f>IFERROR(__xludf.DUMMYFUNCTION("""COMPUTED_VALUE"""),1.0E8)</f>
        <v>100000000</v>
      </c>
      <c r="S90" s="17"/>
      <c r="T90" s="20">
        <f>IFERROR(__xludf.DUMMYFUNCTION("""COMPUTED_VALUE"""),1.0E8)</f>
        <v>100000000</v>
      </c>
      <c r="U90" s="17"/>
      <c r="V90" s="17"/>
      <c r="W90" s="17"/>
      <c r="X90" s="17"/>
      <c r="Y90" s="17"/>
    </row>
    <row r="91">
      <c r="A91" s="17">
        <f>IFERROR(__xludf.DUMMYFUNCTION("""COMPUTED_VALUE"""),88.0)</f>
        <v>88</v>
      </c>
      <c r="B91" s="18" t="str">
        <f>IFERROR(__xludf.DUMMYFUNCTION("""COMPUTED_VALUE"""),"@skylarsveta")</f>
        <v>@skylarsveta</v>
      </c>
      <c r="C91" s="23">
        <f>IFERROR(__xludf.DUMMYFUNCTION("""COMPUTED_VALUE"""),78000.0)</f>
        <v>78000</v>
      </c>
      <c r="D91" s="17" t="str">
        <f>IFERROR(__xludf.DUMMYFUNCTION("""COMPUTED_VALUE"""),"Micro")</f>
        <v>Micro</v>
      </c>
      <c r="E91" s="18" t="str">
        <f>IFERROR(__xludf.DUMMYFUNCTION("""COMPUTED_VALUE"""),"@skylarsveta")</f>
        <v>@skylarsveta</v>
      </c>
      <c r="F91" s="23">
        <f>IFERROR(__xludf.DUMMYFUNCTION("""COMPUTED_VALUE"""),13000.0)</f>
        <v>13000</v>
      </c>
      <c r="G91" s="17" t="str">
        <f>IFERROR(__xludf.DUMMYFUNCTION("""COMPUTED_VALUE"""),"Micro")</f>
        <v>Micro</v>
      </c>
      <c r="H91" s="17" t="str">
        <f>IFERROR(__xludf.DUMMYFUNCTION("""COMPUTED_VALUE"""),"Bandung")</f>
        <v>Bandung</v>
      </c>
      <c r="I91" s="17" t="str">
        <f>IFERROR(__xludf.DUMMYFUNCTION("""COMPUTED_VALUE"""),"- Education (tutorial masak)")</f>
        <v>- Education (tutorial masak)</v>
      </c>
      <c r="J91" s="17"/>
      <c r="K91" s="17"/>
      <c r="L91" s="17"/>
      <c r="M91" s="20" t="str">
        <f>IFERROR(__xludf.DUMMYFUNCTION("""COMPUTED_VALUE"""),"FREE")</f>
        <v>FREE</v>
      </c>
      <c r="N91" s="17"/>
      <c r="O91" s="17"/>
      <c r="P91" s="20">
        <f>IFERROR(__xludf.DUMMYFUNCTION("""COMPUTED_VALUE"""),1000000.0)</f>
        <v>1000000</v>
      </c>
      <c r="Q91" s="20" t="str">
        <f>IFERROR(__xludf.DUMMYFUNCTION("""COMPUTED_VALUE"""),"FREE")</f>
        <v>FREE</v>
      </c>
      <c r="R91" s="20" t="str">
        <f>IFERROR(__xludf.DUMMYFUNCTION("""COMPUTED_VALUE"""),"FREE")</f>
        <v>FREE</v>
      </c>
      <c r="S91" s="20" t="str">
        <f>IFERROR(__xludf.DUMMYFUNCTION("""COMPUTED_VALUE"""),"FREE")</f>
        <v>FREE</v>
      </c>
      <c r="T91" s="17"/>
      <c r="U91" s="20">
        <f>IFERROR(__xludf.DUMMYFUNCTION("""COMPUTED_VALUE"""),500000.0)</f>
        <v>500000</v>
      </c>
      <c r="V91" s="20">
        <f>IFERROR(__xludf.DUMMYFUNCTION("""COMPUTED_VALUE"""),500000.0)</f>
        <v>500000</v>
      </c>
      <c r="W91" s="20" t="str">
        <f>IFERROR(__xludf.DUMMYFUNCTION("""COMPUTED_VALUE"""),"FREE")</f>
        <v>FREE</v>
      </c>
      <c r="X91" s="20">
        <f>IFERROR(__xludf.DUMMYFUNCTION("""COMPUTED_VALUE"""),1500000.0)</f>
        <v>1500000</v>
      </c>
      <c r="Y91" s="17"/>
    </row>
    <row r="92">
      <c r="A92" s="17">
        <f>IFERROR(__xludf.DUMMYFUNCTION("""COMPUTED_VALUE"""),89.0)</f>
        <v>89</v>
      </c>
      <c r="B92" s="18" t="str">
        <f>IFERROR(__xludf.DUMMYFUNCTION("""COMPUTED_VALUE"""),"shadirafirdausii")</f>
        <v>shadirafirdausii</v>
      </c>
      <c r="C92" s="25">
        <f>IFERROR(__xludf.DUMMYFUNCTION("""COMPUTED_VALUE"""),1800000.0)</f>
        <v>1800000</v>
      </c>
      <c r="D92" s="17" t="str">
        <f>IFERROR(__xludf.DUMMYFUNCTION("""COMPUTED_VALUE"""),"Mega")</f>
        <v>Mega</v>
      </c>
      <c r="E92" s="18" t="str">
        <f>IFERROR(__xludf.DUMMYFUNCTION("""COMPUTED_VALUE"""),"shaturday")</f>
        <v>shaturday</v>
      </c>
      <c r="F92" s="26">
        <f>IFERROR(__xludf.DUMMYFUNCTION("""COMPUTED_VALUE"""),7300000.0)</f>
        <v>7300000</v>
      </c>
      <c r="G92" s="17" t="str">
        <f>IFERROR(__xludf.DUMMYFUNCTION("""COMPUTED_VALUE"""),"Mega")</f>
        <v>Mega</v>
      </c>
      <c r="H92" s="17" t="str">
        <f>IFERROR(__xludf.DUMMYFUNCTION("""COMPUTED_VALUE"""),"Jakarta")</f>
        <v>Jakarta</v>
      </c>
      <c r="I92" s="17" t="str">
        <f>IFERROR(__xludf.DUMMYFUNCTION("""COMPUTED_VALUE"""),"-  Lifestyle Female
- Family
- Mom &amp; Kids")</f>
        <v>-  Lifestyle Female
- Family
- Mom &amp; Kids</v>
      </c>
      <c r="J92" s="17"/>
      <c r="K92" s="20">
        <f>IFERROR(__xludf.DUMMYFUNCTION("""COMPUTED_VALUE"""),1.5E7)</f>
        <v>15000000</v>
      </c>
      <c r="L92" s="20">
        <f>IFERROR(__xludf.DUMMYFUNCTION("""COMPUTED_VALUE"""),2.5E7)</f>
        <v>25000000</v>
      </c>
      <c r="M92" s="20" t="str">
        <f>IFERROR(__xludf.DUMMYFUNCTION("""COMPUTED_VALUE"""),"FREE")</f>
        <v>FREE</v>
      </c>
      <c r="N92" s="20">
        <f>IFERROR(__xludf.DUMMYFUNCTION("""COMPUTED_VALUE"""),2.5E7)</f>
        <v>25000000</v>
      </c>
      <c r="O92" s="17"/>
      <c r="P92" s="20">
        <f>IFERROR(__xludf.DUMMYFUNCTION("""COMPUTED_VALUE"""),5.0E7)</f>
        <v>50000000</v>
      </c>
      <c r="Q92" s="21">
        <f>IFERROR(__xludf.DUMMYFUNCTION("""COMPUTED_VALUE"""),0.5)</f>
        <v>0.5</v>
      </c>
      <c r="R92" s="20">
        <f>IFERROR(__xludf.DUMMYFUNCTION("""COMPUTED_VALUE"""),4.5E7)</f>
        <v>45000000</v>
      </c>
      <c r="S92" s="20">
        <f>IFERROR(__xludf.DUMMYFUNCTION("""COMPUTED_VALUE"""),6.0E7)</f>
        <v>60000000</v>
      </c>
      <c r="T92" s="17"/>
      <c r="U92" s="21">
        <f>IFERROR(__xludf.DUMMYFUNCTION("""COMPUTED_VALUE"""),1.0)</f>
        <v>1</v>
      </c>
      <c r="V92" s="21">
        <f>IFERROR(__xludf.DUMMYFUNCTION("""COMPUTED_VALUE"""),0.3)</f>
        <v>0.3</v>
      </c>
      <c r="W92" s="20">
        <f>IFERROR(__xludf.DUMMYFUNCTION("""COMPUTED_VALUE"""),5000000.0)</f>
        <v>5000000</v>
      </c>
      <c r="X92" s="20">
        <f>IFERROR(__xludf.DUMMYFUNCTION("""COMPUTED_VALUE"""),1.5E7)</f>
        <v>15000000</v>
      </c>
      <c r="Y92" s="17"/>
    </row>
    <row r="93">
      <c r="A93" s="17">
        <f>IFERROR(__xludf.DUMMYFUNCTION("""COMPUTED_VALUE"""),90.0)</f>
        <v>90</v>
      </c>
      <c r="B93" s="18" t="str">
        <f>IFERROR(__xludf.DUMMYFUNCTION("""COMPUTED_VALUE"""),"dewizuhriati")</f>
        <v>dewizuhriati</v>
      </c>
      <c r="C93" s="25">
        <f>IFERROR(__xludf.DUMMYFUNCTION("""COMPUTED_VALUE"""),1400000.0)</f>
        <v>1400000</v>
      </c>
      <c r="D93" s="17" t="str">
        <f>IFERROR(__xludf.DUMMYFUNCTION("""COMPUTED_VALUE"""),"Mega")</f>
        <v>Mega</v>
      </c>
      <c r="E93" s="18" t="str">
        <f>IFERROR(__xludf.DUMMYFUNCTION("""COMPUTED_VALUE"""),"dewizuhriati")</f>
        <v>dewizuhriati</v>
      </c>
      <c r="F93" s="26">
        <f>IFERROR(__xludf.DUMMYFUNCTION("""COMPUTED_VALUE"""),2800000.0)</f>
        <v>2800000</v>
      </c>
      <c r="G93" s="17" t="str">
        <f>IFERROR(__xludf.DUMMYFUNCTION("""COMPUTED_VALUE"""),"Mega")</f>
        <v>Mega</v>
      </c>
      <c r="H93" s="17" t="str">
        <f>IFERROR(__xludf.DUMMYFUNCTION("""COMPUTED_VALUE"""),"Jakarta")</f>
        <v>Jakarta</v>
      </c>
      <c r="I93" s="17" t="str">
        <f>IFERROR(__xludf.DUMMYFUNCTION("""COMPUTED_VALUE"""),"-  Lifestyle Female
- Family
- Mom &amp; Kids")</f>
        <v>-  Lifestyle Female
- Family
- Mom &amp; Kids</v>
      </c>
      <c r="J93" s="17"/>
      <c r="K93" s="20">
        <f>IFERROR(__xludf.DUMMYFUNCTION("""COMPUTED_VALUE"""),5000000.0)</f>
        <v>5000000</v>
      </c>
      <c r="L93" s="17"/>
      <c r="M93" s="20" t="str">
        <f>IFERROR(__xludf.DUMMYFUNCTION("""COMPUTED_VALUE"""),"FREE")</f>
        <v>FREE</v>
      </c>
      <c r="N93" s="20">
        <f>IFERROR(__xludf.DUMMYFUNCTION("""COMPUTED_VALUE"""),4.0E7)</f>
        <v>40000000</v>
      </c>
      <c r="O93" s="17"/>
      <c r="P93" s="20">
        <f>IFERROR(__xludf.DUMMYFUNCTION("""COMPUTED_VALUE"""),5.5E7)</f>
        <v>55000000</v>
      </c>
      <c r="Q93" s="20">
        <f>IFERROR(__xludf.DUMMYFUNCTION("""COMPUTED_VALUE"""),5000000.0)</f>
        <v>5000000</v>
      </c>
      <c r="R93" s="17"/>
      <c r="S93" s="17"/>
      <c r="T93" s="17"/>
      <c r="U93" s="17"/>
      <c r="V93" s="17"/>
      <c r="W93" s="20" t="str">
        <f>IFERROR(__xludf.DUMMYFUNCTION("""COMPUTED_VALUE"""),"FREE")</f>
        <v>FREE</v>
      </c>
      <c r="X93" s="17"/>
      <c r="Y93" s="17"/>
    </row>
    <row r="94">
      <c r="A94" s="17">
        <f>IFERROR(__xludf.DUMMYFUNCTION("""COMPUTED_VALUE"""),91.0)</f>
        <v>91</v>
      </c>
      <c r="B94" s="18" t="str">
        <f>IFERROR(__xludf.DUMMYFUNCTION("""COMPUTED_VALUE"""),"opah_faisal")</f>
        <v>opah_faisal</v>
      </c>
      <c r="C94" s="25">
        <f>IFERROR(__xludf.DUMMYFUNCTION("""COMPUTED_VALUE"""),1000000.0)</f>
        <v>1000000</v>
      </c>
      <c r="D94" s="17" t="str">
        <f>IFERROR(__xludf.DUMMYFUNCTION("""COMPUTED_VALUE"""),"Macro")</f>
        <v>Macro</v>
      </c>
      <c r="E94" s="18" t="str">
        <f>IFERROR(__xludf.DUMMYFUNCTION("""COMPUTED_VALUE"""),"opahgalareal")</f>
        <v>opahgalareal</v>
      </c>
      <c r="F94" s="23">
        <f>IFERROR(__xludf.DUMMYFUNCTION("""COMPUTED_VALUE"""),145000.0)</f>
        <v>145000</v>
      </c>
      <c r="G94" s="17" t="str">
        <f>IFERROR(__xludf.DUMMYFUNCTION("""COMPUTED_VALUE"""),"Mid")</f>
        <v>Mid</v>
      </c>
      <c r="H94" s="17" t="str">
        <f>IFERROR(__xludf.DUMMYFUNCTION("""COMPUTED_VALUE"""),"Jakarta")</f>
        <v>Jakarta</v>
      </c>
      <c r="I94" s="17" t="str">
        <f>IFERROR(__xludf.DUMMYFUNCTION("""COMPUTED_VALUE"""),"- Lifestyle Male
- Family")</f>
        <v>- Lifestyle Male
- Family</v>
      </c>
      <c r="J94" s="17"/>
      <c r="K94" s="20">
        <f>IFERROR(__xludf.DUMMYFUNCTION("""COMPUTED_VALUE"""),4000000.0)</f>
        <v>4000000</v>
      </c>
      <c r="L94" s="17"/>
      <c r="M94" s="17"/>
      <c r="N94" s="20">
        <f>IFERROR(__xludf.DUMMYFUNCTION("""COMPUTED_VALUE"""),3.0E7)</f>
        <v>30000000</v>
      </c>
      <c r="O94" s="17"/>
      <c r="P94" s="20">
        <f>IFERROR(__xludf.DUMMYFUNCTION("""COMPUTED_VALUE"""),4.0E7)</f>
        <v>40000000</v>
      </c>
      <c r="Q94" s="20">
        <f>IFERROR(__xludf.DUMMYFUNCTION("""COMPUTED_VALUE"""),5000000.0)</f>
        <v>5000000</v>
      </c>
      <c r="R94" s="17"/>
      <c r="S94" s="17"/>
      <c r="T94" s="17"/>
      <c r="U94" s="17"/>
      <c r="V94" s="17"/>
      <c r="W94" s="20" t="str">
        <f>IFERROR(__xludf.DUMMYFUNCTION("""COMPUTED_VALUE"""),"FREE")</f>
        <v>FREE</v>
      </c>
      <c r="X94" s="17"/>
      <c r="Y94" s="17"/>
    </row>
    <row r="95">
      <c r="A95" s="17">
        <f>IFERROR(__xludf.DUMMYFUNCTION("""COMPUTED_VALUE"""),92.0)</f>
        <v>92</v>
      </c>
      <c r="B95" s="18" t="str">
        <f>IFERROR(__xludf.DUMMYFUNCTION("""COMPUTED_VALUE"""),"harbie16")</f>
        <v>harbie16</v>
      </c>
      <c r="C95" s="23">
        <f>IFERROR(__xludf.DUMMYFUNCTION("""COMPUTED_VALUE"""),288000.0)</f>
        <v>288000</v>
      </c>
      <c r="D95" s="17" t="str">
        <f>IFERROR(__xludf.DUMMYFUNCTION("""COMPUTED_VALUE"""),"Mid")</f>
        <v>Mid</v>
      </c>
      <c r="E95" s="18" t="str">
        <f>IFERROR(__xludf.DUMMYFUNCTION("""COMPUTED_VALUE"""),"harbie16")</f>
        <v>harbie16</v>
      </c>
      <c r="F95" s="23">
        <f>IFERROR(__xludf.DUMMYFUNCTION("""COMPUTED_VALUE"""),393000.0)</f>
        <v>393000</v>
      </c>
      <c r="G95" s="17" t="str">
        <f>IFERROR(__xludf.DUMMYFUNCTION("""COMPUTED_VALUE"""),"Mid")</f>
        <v>Mid</v>
      </c>
      <c r="H95" s="17" t="str">
        <f>IFERROR(__xludf.DUMMYFUNCTION("""COMPUTED_VALUE"""),"Jakarta")</f>
        <v>Jakarta</v>
      </c>
      <c r="I95" s="17" t="str">
        <f>IFERROR(__xludf.DUMMYFUNCTION("""COMPUTED_VALUE"""),"- Place Review
- Lifestyle Male")</f>
        <v>- Place Review
- Lifestyle Male</v>
      </c>
      <c r="J95" s="17"/>
      <c r="K95" s="20">
        <f>IFERROR(__xludf.DUMMYFUNCTION("""COMPUTED_VALUE"""),2900000.0)</f>
        <v>2900000</v>
      </c>
      <c r="L95" s="20">
        <f>IFERROR(__xludf.DUMMYFUNCTION("""COMPUTED_VALUE"""),3900000.0)</f>
        <v>3900000</v>
      </c>
      <c r="M95" s="20">
        <f>IFERROR(__xludf.DUMMYFUNCTION("""COMPUTED_VALUE"""),250000.0)</f>
        <v>250000</v>
      </c>
      <c r="N95" s="20">
        <f>IFERROR(__xludf.DUMMYFUNCTION("""COMPUTED_VALUE"""),3500000.0)</f>
        <v>3500000</v>
      </c>
      <c r="O95" s="20">
        <f>IFERROR(__xludf.DUMMYFUNCTION("""COMPUTED_VALUE"""),5000000.0)</f>
        <v>5000000</v>
      </c>
      <c r="P95" s="20">
        <f>IFERROR(__xludf.DUMMYFUNCTION("""COMPUTED_VALUE"""),7000000.0)</f>
        <v>7000000</v>
      </c>
      <c r="Q95" s="20">
        <f>IFERROR(__xludf.DUMMYFUNCTION("""COMPUTED_VALUE"""),250000.0)</f>
        <v>250000</v>
      </c>
      <c r="R95" s="20">
        <f>IFERROR(__xludf.DUMMYFUNCTION("""COMPUTED_VALUE"""),4000000.0)</f>
        <v>4000000</v>
      </c>
      <c r="S95" s="20">
        <f>IFERROR(__xludf.DUMMYFUNCTION("""COMPUTED_VALUE"""),7920000.0)</f>
        <v>7920000</v>
      </c>
      <c r="T95" s="20">
        <f>IFERROR(__xludf.DUMMYFUNCTION("""COMPUTED_VALUE"""),3500000.0)</f>
        <v>3500000</v>
      </c>
      <c r="U95" s="21">
        <f>IFERROR(__xludf.DUMMYFUNCTION("""COMPUTED_VALUE"""),0.2)</f>
        <v>0.2</v>
      </c>
      <c r="V95" s="20">
        <f>IFERROR(__xludf.DUMMYFUNCTION("""COMPUTED_VALUE"""),1000000.0)</f>
        <v>1000000</v>
      </c>
      <c r="W95" s="20">
        <f>IFERROR(__xludf.DUMMYFUNCTION("""COMPUTED_VALUE"""),500000.0)</f>
        <v>500000</v>
      </c>
      <c r="X95" s="20" t="str">
        <f>IFERROR(__xludf.DUMMYFUNCTION("""COMPUTED_VALUE"""),"Start from Rp500,000")</f>
        <v>Start from Rp500,000</v>
      </c>
      <c r="Y95" s="17"/>
    </row>
    <row r="96">
      <c r="A96" s="17">
        <f>IFERROR(__xludf.DUMMYFUNCTION("""COMPUTED_VALUE"""),93.0)</f>
        <v>93</v>
      </c>
      <c r="B96" s="18" t="str">
        <f>IFERROR(__xludf.DUMMYFUNCTION("""COMPUTED_VALUE"""),"niaghania")</f>
        <v>niaghania</v>
      </c>
      <c r="C96" s="23">
        <f>IFERROR(__xludf.DUMMYFUNCTION("""COMPUTED_VALUE"""),237000.0)</f>
        <v>237000</v>
      </c>
      <c r="D96" s="17" t="str">
        <f>IFERROR(__xludf.DUMMYFUNCTION("""COMPUTED_VALUE"""),"Mid")</f>
        <v>Mid</v>
      </c>
      <c r="E96" s="18" t="str">
        <f>IFERROR(__xludf.DUMMYFUNCTION("""COMPUTED_VALUE"""),"niaghan")</f>
        <v>niaghan</v>
      </c>
      <c r="F96" s="26">
        <f>IFERROR(__xludf.DUMMYFUNCTION("""COMPUTED_VALUE"""),1100000.0)</f>
        <v>1100000</v>
      </c>
      <c r="G96" s="17" t="str">
        <f>IFERROR(__xludf.DUMMYFUNCTION("""COMPUTED_VALUE"""),"Mega")</f>
        <v>Mega</v>
      </c>
      <c r="H96" s="17" t="str">
        <f>IFERROR(__xludf.DUMMYFUNCTION("""COMPUTED_VALUE"""),"Jakarta")</f>
        <v>Jakarta</v>
      </c>
      <c r="I96" s="17" t="str">
        <f>IFERROR(__xludf.DUMMYFUNCTION("""COMPUTED_VALUE"""),"- Lifestyle Female
- Education (tips &amp; trick)")</f>
        <v>- Lifestyle Female
- Education (tips &amp; trick)</v>
      </c>
      <c r="J96" s="17"/>
      <c r="K96" s="20">
        <f>IFERROR(__xludf.DUMMYFUNCTION("""COMPUTED_VALUE"""),3500000.0)</f>
        <v>3500000</v>
      </c>
      <c r="L96" s="20">
        <f>IFERROR(__xludf.DUMMYFUNCTION("""COMPUTED_VALUE"""),6500000.0)</f>
        <v>6500000</v>
      </c>
      <c r="M96" s="20">
        <f>IFERROR(__xludf.DUMMYFUNCTION("""COMPUTED_VALUE"""),1000000.0)</f>
        <v>1000000</v>
      </c>
      <c r="N96" s="20">
        <f>IFERROR(__xludf.DUMMYFUNCTION("""COMPUTED_VALUE"""),6000000.0)</f>
        <v>6000000</v>
      </c>
      <c r="O96" s="20">
        <f>IFERROR(__xludf.DUMMYFUNCTION("""COMPUTED_VALUE"""),7000000.0)</f>
        <v>7000000</v>
      </c>
      <c r="P96" s="20">
        <f>IFERROR(__xludf.DUMMYFUNCTION("""COMPUTED_VALUE"""),1.2E7)</f>
        <v>12000000</v>
      </c>
      <c r="Q96" s="20">
        <f>IFERROR(__xludf.DUMMYFUNCTION("""COMPUTED_VALUE"""),5000000.0)</f>
        <v>5000000</v>
      </c>
      <c r="R96" s="20">
        <f>IFERROR(__xludf.DUMMYFUNCTION("""COMPUTED_VALUE"""),1.4E7)</f>
        <v>14000000</v>
      </c>
      <c r="S96" s="20">
        <f>IFERROR(__xludf.DUMMYFUNCTION("""COMPUTED_VALUE"""),2.0E7)</f>
        <v>20000000</v>
      </c>
      <c r="T96" s="20">
        <f>IFERROR(__xludf.DUMMYFUNCTION("""COMPUTED_VALUE"""),5000000.0)</f>
        <v>5000000</v>
      </c>
      <c r="U96" s="20">
        <f>IFERROR(__xludf.DUMMYFUNCTION("""COMPUTED_VALUE"""),7000000.0)</f>
        <v>7000000</v>
      </c>
      <c r="V96" s="17"/>
      <c r="W96" s="17"/>
      <c r="X96" s="20">
        <f>IFERROR(__xludf.DUMMYFUNCTION("""COMPUTED_VALUE"""),7000000.0)</f>
        <v>7000000</v>
      </c>
      <c r="Y96" s="17"/>
    </row>
    <row r="97">
      <c r="A97" s="17">
        <f>IFERROR(__xludf.DUMMYFUNCTION("""COMPUTED_VALUE"""),94.0)</f>
        <v>94</v>
      </c>
      <c r="B97" s="18" t="str">
        <f>IFERROR(__xludf.DUMMYFUNCTION("""COMPUTED_VALUE"""),"ferra_agustina")</f>
        <v>ferra_agustina</v>
      </c>
      <c r="C97" s="23">
        <f>IFERROR(__xludf.DUMMYFUNCTION("""COMPUTED_VALUE"""),175000.0)</f>
        <v>175000</v>
      </c>
      <c r="D97" s="17" t="str">
        <f>IFERROR(__xludf.DUMMYFUNCTION("""COMPUTED_VALUE"""),"Mid")</f>
        <v>Mid</v>
      </c>
      <c r="E97" s="18" t="str">
        <f>IFERROR(__xludf.DUMMYFUNCTION("""COMPUTED_VALUE"""),"ferraagustina2")</f>
        <v>ferraagustina2</v>
      </c>
      <c r="F97" s="26">
        <f>IFERROR(__xludf.DUMMYFUNCTION("""COMPUTED_VALUE"""),2500000.0)</f>
        <v>2500000</v>
      </c>
      <c r="G97" s="17" t="str">
        <f>IFERROR(__xludf.DUMMYFUNCTION("""COMPUTED_VALUE"""),"Mega")</f>
        <v>Mega</v>
      </c>
      <c r="H97" s="17" t="str">
        <f>IFERROR(__xludf.DUMMYFUNCTION("""COMPUTED_VALUE"""),"Jakarta")</f>
        <v>Jakarta</v>
      </c>
      <c r="I97" s="17" t="str">
        <f>IFERROR(__xludf.DUMMYFUNCTION("""COMPUTED_VALUE"""),"- Lifestyle Female
- Family
- Mom &amp; Kids")</f>
        <v>- Lifestyle Female
- Family
- Mom &amp; Kids</v>
      </c>
      <c r="J97" s="20">
        <f>IFERROR(__xludf.DUMMYFUNCTION("""COMPUTED_VALUE"""),500000.0)</f>
        <v>500000</v>
      </c>
      <c r="K97" s="20">
        <f>IFERROR(__xludf.DUMMYFUNCTION("""COMPUTED_VALUE"""),1000000.0)</f>
        <v>1000000</v>
      </c>
      <c r="L97" s="20">
        <f>IFERROR(__xludf.DUMMYFUNCTION("""COMPUTED_VALUE"""),2500000.0)</f>
        <v>2500000</v>
      </c>
      <c r="M97" s="20">
        <f>IFERROR(__xludf.DUMMYFUNCTION("""COMPUTED_VALUE"""),500000.0)</f>
        <v>500000</v>
      </c>
      <c r="N97" s="20">
        <f>IFERROR(__xludf.DUMMYFUNCTION("""COMPUTED_VALUE"""),7000000.0)</f>
        <v>7000000</v>
      </c>
      <c r="O97" s="20">
        <f>IFERROR(__xludf.DUMMYFUNCTION("""COMPUTED_VALUE"""),8000000.0)</f>
        <v>8000000</v>
      </c>
      <c r="P97" s="20">
        <f>IFERROR(__xludf.DUMMYFUNCTION("""COMPUTED_VALUE"""),1.0E7)</f>
        <v>10000000</v>
      </c>
      <c r="Q97" s="20">
        <f>IFERROR(__xludf.DUMMYFUNCTION("""COMPUTED_VALUE"""),1500000.0)</f>
        <v>1500000</v>
      </c>
      <c r="R97" s="20">
        <f>IFERROR(__xludf.DUMMYFUNCTION("""COMPUTED_VALUE"""),2.5E7)</f>
        <v>25000000</v>
      </c>
      <c r="S97" s="20">
        <f>IFERROR(__xludf.DUMMYFUNCTION("""COMPUTED_VALUE"""),3.0E7)</f>
        <v>30000000</v>
      </c>
      <c r="T97" s="17"/>
      <c r="U97" s="20">
        <f>IFERROR(__xludf.DUMMYFUNCTION("""COMPUTED_VALUE"""),1.25E7)</f>
        <v>12500000</v>
      </c>
      <c r="V97" s="20">
        <f>IFERROR(__xludf.DUMMYFUNCTION("""COMPUTED_VALUE"""),2000000.0)</f>
        <v>2000000</v>
      </c>
      <c r="W97" s="20">
        <f>IFERROR(__xludf.DUMMYFUNCTION("""COMPUTED_VALUE"""),1500000.0)</f>
        <v>1500000</v>
      </c>
      <c r="X97" s="20">
        <f>IFERROR(__xludf.DUMMYFUNCTION("""COMPUTED_VALUE"""),1.0000009E7)</f>
        <v>10000009</v>
      </c>
      <c r="Y97" s="17"/>
    </row>
    <row r="98">
      <c r="A98" s="17">
        <f>IFERROR(__xludf.DUMMYFUNCTION("""COMPUTED_VALUE"""),95.0)</f>
        <v>95</v>
      </c>
      <c r="B98" s="18" t="str">
        <f>IFERROR(__xludf.DUMMYFUNCTION("""COMPUTED_VALUE"""),"carlenedoraa")</f>
        <v>carlenedoraa</v>
      </c>
      <c r="C98" s="23">
        <f>IFERROR(__xludf.DUMMYFUNCTION("""COMPUTED_VALUE"""),100000.0)</f>
        <v>100000</v>
      </c>
      <c r="D98" s="17" t="str">
        <f>IFERROR(__xludf.DUMMYFUNCTION("""COMPUTED_VALUE"""),"Micro")</f>
        <v>Micro</v>
      </c>
      <c r="E98" s="18" t="str">
        <f>IFERROR(__xludf.DUMMYFUNCTION("""COMPUTED_VALUE"""),"carlenedoraa")</f>
        <v>carlenedoraa</v>
      </c>
      <c r="F98" s="23">
        <f>IFERROR(__xludf.DUMMYFUNCTION("""COMPUTED_VALUE"""),409000.0)</f>
        <v>409000</v>
      </c>
      <c r="G98" s="17" t="str">
        <f>IFERROR(__xludf.DUMMYFUNCTION("""COMPUTED_VALUE"""),"Mid")</f>
        <v>Mid</v>
      </c>
      <c r="H98" s="17" t="str">
        <f>IFERROR(__xludf.DUMMYFUNCTION("""COMPUTED_VALUE"""),"Batang")</f>
        <v>Batang</v>
      </c>
      <c r="I98" s="17" t="str">
        <f>IFERROR(__xludf.DUMMYFUNCTION("""COMPUTED_VALUE"""),"- Homeliving
- Family
- Mom &amp; Kids")</f>
        <v>- Homeliving
- Family
- Mom &amp; Kids</v>
      </c>
      <c r="J98" s="17"/>
      <c r="K98" s="20">
        <f>IFERROR(__xludf.DUMMYFUNCTION("""COMPUTED_VALUE"""),1000000.0)</f>
        <v>1000000</v>
      </c>
      <c r="L98" s="17"/>
      <c r="M98" s="17"/>
      <c r="N98" s="20">
        <f>IFERROR(__xludf.DUMMYFUNCTION("""COMPUTED_VALUE"""),3000000.0)</f>
        <v>3000000</v>
      </c>
      <c r="O98" s="17"/>
      <c r="P98" s="20">
        <f>IFERROR(__xludf.DUMMYFUNCTION("""COMPUTED_VALUE"""),2000000.0)</f>
        <v>2000000</v>
      </c>
      <c r="Q98" s="17"/>
      <c r="R98" s="20">
        <f>IFERROR(__xludf.DUMMYFUNCTION("""COMPUTED_VALUE"""),3000000.0)</f>
        <v>3000000</v>
      </c>
      <c r="S98" s="20">
        <f>IFERROR(__xludf.DUMMYFUNCTION("""COMPUTED_VALUE"""),5000000.0)</f>
        <v>5000000</v>
      </c>
      <c r="T98" s="17"/>
      <c r="U98" s="17"/>
      <c r="V98" s="17"/>
      <c r="W98" s="17"/>
      <c r="X98" s="17"/>
      <c r="Y98" s="17"/>
    </row>
    <row r="99">
      <c r="A99" s="17">
        <f>IFERROR(__xludf.DUMMYFUNCTION("""COMPUTED_VALUE"""),96.0)</f>
        <v>96</v>
      </c>
      <c r="B99" s="18" t="str">
        <f>IFERROR(__xludf.DUMMYFUNCTION("""COMPUTED_VALUE"""),"ayunghadid")</f>
        <v>ayunghadid</v>
      </c>
      <c r="C99" s="23">
        <f>IFERROR(__xludf.DUMMYFUNCTION("""COMPUTED_VALUE"""),238000.0)</f>
        <v>238000</v>
      </c>
      <c r="D99" s="17" t="str">
        <f>IFERROR(__xludf.DUMMYFUNCTION("""COMPUTED_VALUE"""),"Mid")</f>
        <v>Mid</v>
      </c>
      <c r="E99" s="18" t="str">
        <f>IFERROR(__xludf.DUMMYFUNCTION("""COMPUTED_VALUE"""),"fachrulhadid")</f>
        <v>fachrulhadid</v>
      </c>
      <c r="F99" s="26">
        <f>IFERROR(__xludf.DUMMYFUNCTION("""COMPUTED_VALUE"""),2700000.0)</f>
        <v>2700000</v>
      </c>
      <c r="G99" s="17" t="str">
        <f>IFERROR(__xludf.DUMMYFUNCTION("""COMPUTED_VALUE"""),"Mega")</f>
        <v>Mega</v>
      </c>
      <c r="H99" s="17" t="str">
        <f>IFERROR(__xludf.DUMMYFUNCTION("""COMPUTED_VALUE"""),"Jakarta")</f>
        <v>Jakarta</v>
      </c>
      <c r="I99" s="17" t="str">
        <f>IFERROR(__xludf.DUMMYFUNCTION("""COMPUTED_VALUE"""),"- Lifestyle Male
- Comedy")</f>
        <v>- Lifestyle Male
- Comedy</v>
      </c>
      <c r="J99" s="17"/>
      <c r="K99" s="20">
        <f>IFERROR(__xludf.DUMMYFUNCTION("""COMPUTED_VALUE"""),5000000.0)</f>
        <v>5000000</v>
      </c>
      <c r="L99" s="20">
        <f>IFERROR(__xludf.DUMMYFUNCTION("""COMPUTED_VALUE"""),1.3E7)</f>
        <v>13000000</v>
      </c>
      <c r="M99" s="20" t="str">
        <f>IFERROR(__xludf.DUMMYFUNCTION("""COMPUTED_VALUE"""),"Rp1,000,000 (Story)
Rp2,000,000 (Session)")</f>
        <v>Rp1,000,000 (Story)
Rp2,000,000 (Session)</v>
      </c>
      <c r="N99" s="20">
        <f>IFERROR(__xludf.DUMMYFUNCTION("""COMPUTED_VALUE"""),9000000.0)</f>
        <v>9000000</v>
      </c>
      <c r="O99" s="20">
        <f>IFERROR(__xludf.DUMMYFUNCTION("""COMPUTED_VALUE"""),2.5E7)</f>
        <v>25000000</v>
      </c>
      <c r="P99" s="20">
        <f>IFERROR(__xludf.DUMMYFUNCTION("""COMPUTED_VALUE"""),1.8E7)</f>
        <v>18000000</v>
      </c>
      <c r="Q99" s="21" t="str">
        <f>IFERROR(__xludf.DUMMYFUNCTION("""COMPUTED_VALUE"""),"FREE")</f>
        <v>FREE</v>
      </c>
      <c r="R99" s="20">
        <f>IFERROR(__xludf.DUMMYFUNCTION("""COMPUTED_VALUE"""),3.5E7)</f>
        <v>35000000</v>
      </c>
      <c r="S99" s="17"/>
      <c r="T99" s="20">
        <f>IFERROR(__xludf.DUMMYFUNCTION("""COMPUTED_VALUE"""),3.5E7)</f>
        <v>35000000</v>
      </c>
      <c r="U99" s="21">
        <f>IFERROR(__xludf.DUMMYFUNCTION("""COMPUTED_VALUE"""),1.0)</f>
        <v>1</v>
      </c>
      <c r="V99" s="21">
        <f>IFERROR(__xludf.DUMMYFUNCTION("""COMPUTED_VALUE"""),0.3)</f>
        <v>0.3</v>
      </c>
      <c r="W99" s="21">
        <f>IFERROR(__xludf.DUMMYFUNCTION("""COMPUTED_VALUE"""),0.3)</f>
        <v>0.3</v>
      </c>
      <c r="X99" s="20">
        <f>IFERROR(__xludf.DUMMYFUNCTION("""COMPUTED_VALUE"""),1.5E7)</f>
        <v>15000000</v>
      </c>
      <c r="Y99" s="17"/>
    </row>
    <row r="100">
      <c r="A100" s="17">
        <f>IFERROR(__xludf.DUMMYFUNCTION("""COMPUTED_VALUE"""),97.0)</f>
        <v>97</v>
      </c>
      <c r="B100" s="18" t="str">
        <f>IFERROR(__xludf.DUMMYFUNCTION("""COMPUTED_VALUE"""),"febignwn")</f>
        <v>febignwn</v>
      </c>
      <c r="C100" s="23">
        <f>IFERROR(__xludf.DUMMYFUNCTION("""COMPUTED_VALUE"""),60000.0)</f>
        <v>60000</v>
      </c>
      <c r="D100" s="17" t="str">
        <f>IFERROR(__xludf.DUMMYFUNCTION("""COMPUTED_VALUE"""),"Micro")</f>
        <v>Micro</v>
      </c>
      <c r="E100" s="18" t="str">
        <f>IFERROR(__xludf.DUMMYFUNCTION("""COMPUTED_VALUE"""),"febignwn")</f>
        <v>febignwn</v>
      </c>
      <c r="F100" s="23">
        <f>IFERROR(__xludf.DUMMYFUNCTION("""COMPUTED_VALUE"""),249000.0)</f>
        <v>249000</v>
      </c>
      <c r="G100" s="17" t="str">
        <f>IFERROR(__xludf.DUMMYFUNCTION("""COMPUTED_VALUE"""),"Mid")</f>
        <v>Mid</v>
      </c>
      <c r="H100" s="17" t="str">
        <f>IFERROR(__xludf.DUMMYFUNCTION("""COMPUTED_VALUE"""),"Jakarta")</f>
        <v>Jakarta</v>
      </c>
      <c r="I100" s="17" t="str">
        <f>IFERROR(__xludf.DUMMYFUNCTION("""COMPUTED_VALUE"""),"- FnB
- Place Review")</f>
        <v>- FnB
- Place Review</v>
      </c>
      <c r="J100" s="20">
        <f>IFERROR(__xludf.DUMMYFUNCTION("""COMPUTED_VALUE"""),850000.0)</f>
        <v>850000</v>
      </c>
      <c r="K100" s="20">
        <f>IFERROR(__xludf.DUMMYFUNCTION("""COMPUTED_VALUE"""),450000.0)</f>
        <v>450000</v>
      </c>
      <c r="L100" s="20">
        <f>IFERROR(__xludf.DUMMYFUNCTION("""COMPUTED_VALUE"""),800000.0)</f>
        <v>800000</v>
      </c>
      <c r="M100" s="20" t="str">
        <f>IFERROR(__xludf.DUMMYFUNCTION("""COMPUTED_VALUE"""),"FREE")</f>
        <v>FREE</v>
      </c>
      <c r="N100" s="20">
        <f>IFERROR(__xludf.DUMMYFUNCTION("""COMPUTED_VALUE"""),600000.0)</f>
        <v>600000</v>
      </c>
      <c r="O100" s="20">
        <f>IFERROR(__xludf.DUMMYFUNCTION("""COMPUTED_VALUE"""),900000.0)</f>
        <v>900000</v>
      </c>
      <c r="P100" s="20">
        <f>IFERROR(__xludf.DUMMYFUNCTION("""COMPUTED_VALUE"""),2300000.0)</f>
        <v>2300000</v>
      </c>
      <c r="Q100" s="20" t="str">
        <f>IFERROR(__xludf.DUMMYFUNCTION("""COMPUTED_VALUE"""),"FREE")</f>
        <v>FREE</v>
      </c>
      <c r="R100" s="17"/>
      <c r="S100" s="20">
        <f>IFERROR(__xludf.DUMMYFUNCTION("""COMPUTED_VALUE"""),2800000.0)</f>
        <v>2800000</v>
      </c>
      <c r="T100" s="17"/>
      <c r="U100" s="20">
        <f>IFERROR(__xludf.DUMMYFUNCTION("""COMPUTED_VALUE"""),500000.0)</f>
        <v>500000</v>
      </c>
      <c r="V100" s="17"/>
      <c r="W100" s="20" t="str">
        <f>IFERROR(__xludf.DUMMYFUNCTION("""COMPUTED_VALUE"""),"FREE")</f>
        <v>FREE</v>
      </c>
      <c r="X100" s="20">
        <f>IFERROR(__xludf.DUMMYFUNCTION("""COMPUTED_VALUE"""),500000.0)</f>
        <v>500000</v>
      </c>
      <c r="Y100" s="17"/>
    </row>
    <row r="101">
      <c r="A101" s="17">
        <f>IFERROR(__xludf.DUMMYFUNCTION("""COMPUTED_VALUE"""),98.0)</f>
        <v>98</v>
      </c>
      <c r="B101" s="18" t="str">
        <f>IFERROR(__xludf.DUMMYFUNCTION("""COMPUTED_VALUE"""),"caesadhanisa")</f>
        <v>caesadhanisa</v>
      </c>
      <c r="C101" s="23">
        <f>IFERROR(__xludf.DUMMYFUNCTION("""COMPUTED_VALUE"""),34900.0)</f>
        <v>34900</v>
      </c>
      <c r="D101" s="17" t="str">
        <f>IFERROR(__xludf.DUMMYFUNCTION("""COMPUTED_VALUE"""),"Micro")</f>
        <v>Micro</v>
      </c>
      <c r="E101" s="18" t="str">
        <f>IFERROR(__xludf.DUMMYFUNCTION("""COMPUTED_VALUE"""),"caesadhanisa")</f>
        <v>caesadhanisa</v>
      </c>
      <c r="F101" s="23">
        <f>IFERROR(__xludf.DUMMYFUNCTION("""COMPUTED_VALUE"""),141000.0)</f>
        <v>141000</v>
      </c>
      <c r="G101" s="17" t="str">
        <f>IFERROR(__xludf.DUMMYFUNCTION("""COMPUTED_VALUE"""),"Mid")</f>
        <v>Mid</v>
      </c>
      <c r="H101" s="17" t="str">
        <f>IFERROR(__xludf.DUMMYFUNCTION("""COMPUTED_VALUE"""),"Jakarta")</f>
        <v>Jakarta</v>
      </c>
      <c r="I101" s="17" t="str">
        <f>IFERROR(__xludf.DUMMYFUNCTION("""COMPUTED_VALUE"""),"- Place review,
- Family
- Mom and kids")</f>
        <v>- Place review,
- Family
- Mom and kids</v>
      </c>
      <c r="J101" s="17"/>
      <c r="K101" s="20">
        <f>IFERROR(__xludf.DUMMYFUNCTION("""COMPUTED_VALUE"""),2000000.0)</f>
        <v>2000000</v>
      </c>
      <c r="L101" s="20">
        <f>IFERROR(__xludf.DUMMYFUNCTION("""COMPUTED_VALUE"""),3500000.0)</f>
        <v>3500000</v>
      </c>
      <c r="M101" s="20">
        <f>IFERROR(__xludf.DUMMYFUNCTION("""COMPUTED_VALUE"""),500000.0)</f>
        <v>500000</v>
      </c>
      <c r="N101" s="20">
        <f>IFERROR(__xludf.DUMMYFUNCTION("""COMPUTED_VALUE"""),2500000.0)</f>
        <v>2500000</v>
      </c>
      <c r="O101" s="17"/>
      <c r="P101" s="20">
        <f>IFERROR(__xludf.DUMMYFUNCTION("""COMPUTED_VALUE"""),4000000.0)</f>
        <v>4000000</v>
      </c>
      <c r="Q101" s="20" t="str">
        <f>IFERROR(__xludf.DUMMYFUNCTION("""COMPUTED_VALUE"""),"FREE")</f>
        <v>FREE</v>
      </c>
      <c r="R101" s="20">
        <f>IFERROR(__xludf.DUMMYFUNCTION("""COMPUTED_VALUE"""),6000000.0)</f>
        <v>6000000</v>
      </c>
      <c r="S101" s="17"/>
      <c r="T101" s="17"/>
      <c r="U101" s="20">
        <f>IFERROR(__xludf.DUMMYFUNCTION("""COMPUTED_VALUE"""),5000000.0)</f>
        <v>5000000</v>
      </c>
      <c r="V101" s="20" t="str">
        <f>IFERROR(__xludf.DUMMYFUNCTION("""COMPUTED_VALUE"""),"FREE")</f>
        <v>FREE</v>
      </c>
      <c r="W101" s="20" t="str">
        <f>IFERROR(__xludf.DUMMYFUNCTION("""COMPUTED_VALUE"""),"FREE")</f>
        <v>FREE</v>
      </c>
      <c r="X101" s="20">
        <f>IFERROR(__xludf.DUMMYFUNCTION("""COMPUTED_VALUE"""),2000000.0)</f>
        <v>2000000</v>
      </c>
      <c r="Y101" s="17"/>
    </row>
    <row r="102">
      <c r="A102" s="17">
        <f>IFERROR(__xludf.DUMMYFUNCTION("""COMPUTED_VALUE"""),99.0)</f>
        <v>99</v>
      </c>
      <c r="B102" s="18" t="str">
        <f>IFERROR(__xludf.DUMMYFUNCTION("""COMPUTED_VALUE"""),"galyasgeulis")</f>
        <v>galyasgeulis</v>
      </c>
      <c r="C102" s="25">
        <f>IFERROR(__xludf.DUMMYFUNCTION("""COMPUTED_VALUE"""),1300000.0)</f>
        <v>1300000</v>
      </c>
      <c r="D102" s="17" t="str">
        <f>IFERROR(__xludf.DUMMYFUNCTION("""COMPUTED_VALUE"""),"Mega")</f>
        <v>Mega</v>
      </c>
      <c r="E102" s="18" t="str">
        <f>IFERROR(__xludf.DUMMYFUNCTION("""COMPUTED_VALUE"""),"galyasgeulis")</f>
        <v>galyasgeulis</v>
      </c>
      <c r="F102" s="26">
        <f>IFERROR(__xludf.DUMMYFUNCTION("""COMPUTED_VALUE"""),3300000.0)</f>
        <v>3300000</v>
      </c>
      <c r="G102" s="17" t="str">
        <f>IFERROR(__xludf.DUMMYFUNCTION("""COMPUTED_VALUE"""),"Mega")</f>
        <v>Mega</v>
      </c>
      <c r="H102" s="17" t="str">
        <f>IFERROR(__xludf.DUMMYFUNCTION("""COMPUTED_VALUE"""),"Karawang")</f>
        <v>Karawang</v>
      </c>
      <c r="I102" s="17" t="str">
        <f>IFERROR(__xludf.DUMMYFUNCTION("""COMPUTED_VALUE"""),"- Lifestyle Female
- Family
- Mom &amp; Kids")</f>
        <v>- Lifestyle Female
- Family
- Mom &amp; Kids</v>
      </c>
      <c r="J102" s="20">
        <f>IFERROR(__xludf.DUMMYFUNCTION("""COMPUTED_VALUE"""),3000000.0)</f>
        <v>3000000</v>
      </c>
      <c r="K102" s="20">
        <f>IFERROR(__xludf.DUMMYFUNCTION("""COMPUTED_VALUE"""),6000000.0)</f>
        <v>6000000</v>
      </c>
      <c r="L102" s="17"/>
      <c r="M102" s="20" t="str">
        <f>IFERROR(__xludf.DUMMYFUNCTION("""COMPUTED_VALUE"""),"FREE")</f>
        <v>FREE</v>
      </c>
      <c r="N102" s="20">
        <f>IFERROR(__xludf.DUMMYFUNCTION("""COMPUTED_VALUE"""),7000000.0)</f>
        <v>7000000</v>
      </c>
      <c r="O102" s="17"/>
      <c r="P102" s="20">
        <f>IFERROR(__xludf.DUMMYFUNCTION("""COMPUTED_VALUE"""),1.0E7)</f>
        <v>10000000</v>
      </c>
      <c r="Q102" s="20">
        <f>IFERROR(__xludf.DUMMYFUNCTION("""COMPUTED_VALUE"""),2500000.0)</f>
        <v>2500000</v>
      </c>
      <c r="R102" s="20">
        <f>IFERROR(__xludf.DUMMYFUNCTION("""COMPUTED_VALUE"""),1.5E7)</f>
        <v>15000000</v>
      </c>
      <c r="S102" s="20">
        <f>IFERROR(__xludf.DUMMYFUNCTION("""COMPUTED_VALUE"""),2.0E7)</f>
        <v>20000000</v>
      </c>
      <c r="T102" s="20">
        <f>IFERROR(__xludf.DUMMYFUNCTION("""COMPUTED_VALUE"""),2.0E7)</f>
        <v>20000000</v>
      </c>
      <c r="U102" s="20">
        <f>IFERROR(__xludf.DUMMYFUNCTION("""COMPUTED_VALUE"""),3.0E7)</f>
        <v>30000000</v>
      </c>
      <c r="V102" s="20" t="str">
        <f>IFERROR(__xludf.DUMMYFUNCTION("""COMPUTED_VALUE"""),"FREE")</f>
        <v>FREE</v>
      </c>
      <c r="W102" s="20">
        <f>IFERROR(__xludf.DUMMYFUNCTION("""COMPUTED_VALUE"""),2500000.0)</f>
        <v>2500000</v>
      </c>
      <c r="X102" s="20">
        <f>IFERROR(__xludf.DUMMYFUNCTION("""COMPUTED_VALUE"""),2500000.0)</f>
        <v>2500000</v>
      </c>
      <c r="Y102" s="17"/>
    </row>
    <row r="103">
      <c r="A103" s="17">
        <f>IFERROR(__xludf.DUMMYFUNCTION("""COMPUTED_VALUE"""),100.0)</f>
        <v>100</v>
      </c>
      <c r="B103" s="18" t="str">
        <f>IFERROR(__xludf.DUMMYFUNCTION("""COMPUTED_VALUE"""),"icalfariss")</f>
        <v>icalfariss</v>
      </c>
      <c r="C103" s="23">
        <f>IFERROR(__xludf.DUMMYFUNCTION("""COMPUTED_VALUE"""),14000.0)</f>
        <v>14000</v>
      </c>
      <c r="D103" s="17" t="str">
        <f>IFERROR(__xludf.DUMMYFUNCTION("""COMPUTED_VALUE"""),"Micro")</f>
        <v>Micro</v>
      </c>
      <c r="E103" s="18" t="str">
        <f>IFERROR(__xludf.DUMMYFUNCTION("""COMPUTED_VALUE"""),"icalfariss")</f>
        <v>icalfariss</v>
      </c>
      <c r="F103" s="23">
        <f>IFERROR(__xludf.DUMMYFUNCTION("""COMPUTED_VALUE"""),261500.0)</f>
        <v>261500</v>
      </c>
      <c r="G103" s="17" t="str">
        <f>IFERROR(__xludf.DUMMYFUNCTION("""COMPUTED_VALUE"""),"Mid")</f>
        <v>Mid</v>
      </c>
      <c r="H103" s="17" t="str">
        <f>IFERROR(__xludf.DUMMYFUNCTION("""COMPUTED_VALUE"""),"Jakarta")</f>
        <v>Jakarta</v>
      </c>
      <c r="I103" s="17" t="str">
        <f>IFERROR(__xludf.DUMMYFUNCTION("""COMPUTED_VALUE"""),"Place Review")</f>
        <v>Place Review</v>
      </c>
      <c r="J103" s="17"/>
      <c r="K103" s="17"/>
      <c r="L103" s="20">
        <f>IFERROR(__xludf.DUMMYFUNCTION("""COMPUTED_VALUE"""),500000.0)</f>
        <v>500000</v>
      </c>
      <c r="M103" s="17"/>
      <c r="N103" s="17"/>
      <c r="O103" s="17"/>
      <c r="P103" s="20">
        <f>IFERROR(__xludf.DUMMYFUNCTION("""COMPUTED_VALUE"""),1500000.0)</f>
        <v>1500000</v>
      </c>
      <c r="Q103" s="17"/>
      <c r="R103" s="20">
        <f>IFERROR(__xludf.DUMMYFUNCTION("""COMPUTED_VALUE"""),3500000.0)</f>
        <v>3500000</v>
      </c>
      <c r="S103" s="20">
        <f>IFERROR(__xludf.DUMMYFUNCTION("""COMPUTED_VALUE"""),4000000.0)</f>
        <v>4000000</v>
      </c>
      <c r="T103" s="17"/>
      <c r="U103" s="20">
        <f>IFERROR(__xludf.DUMMYFUNCTION("""COMPUTED_VALUE"""),3500000.0)</f>
        <v>3500000</v>
      </c>
      <c r="V103" s="17"/>
      <c r="W103" s="20">
        <f>IFERROR(__xludf.DUMMYFUNCTION("""COMPUTED_VALUE"""),500000.0)</f>
        <v>500000</v>
      </c>
      <c r="X103" s="20">
        <f>IFERROR(__xludf.DUMMYFUNCTION("""COMPUTED_VALUE"""),1000000.0)</f>
        <v>1000000</v>
      </c>
      <c r="Y103" s="17"/>
    </row>
    <row r="104">
      <c r="A104" s="17">
        <f>IFERROR(__xludf.DUMMYFUNCTION("""COMPUTED_VALUE"""),101.0)</f>
        <v>101</v>
      </c>
      <c r="B104" s="18" t="str">
        <f>IFERROR(__xludf.DUMMYFUNCTION("""COMPUTED_VALUE"""),"octaviantifransisca")</f>
        <v>octaviantifransisca</v>
      </c>
      <c r="C104" s="23">
        <f>IFERROR(__xludf.DUMMYFUNCTION("""COMPUTED_VALUE"""),43000.0)</f>
        <v>43000</v>
      </c>
      <c r="D104" s="17" t="str">
        <f>IFERROR(__xludf.DUMMYFUNCTION("""COMPUTED_VALUE"""),"Micro")</f>
        <v>Micro</v>
      </c>
      <c r="E104" s="18" t="str">
        <f>IFERROR(__xludf.DUMMYFUNCTION("""COMPUTED_VALUE"""),"octaviantifransisca")</f>
        <v>octaviantifransisca</v>
      </c>
      <c r="F104" s="23">
        <f>IFERROR(__xludf.DUMMYFUNCTION("""COMPUTED_VALUE"""),147100.0)</f>
        <v>147100</v>
      </c>
      <c r="G104" s="17" t="str">
        <f>IFERROR(__xludf.DUMMYFUNCTION("""COMPUTED_VALUE"""),"Mid")</f>
        <v>Mid</v>
      </c>
      <c r="H104" s="17" t="str">
        <f>IFERROR(__xludf.DUMMYFUNCTION("""COMPUTED_VALUE"""),"BSD, Tangerang")</f>
        <v>BSD, Tangerang</v>
      </c>
      <c r="I104" s="17" t="str">
        <f>IFERROR(__xludf.DUMMYFUNCTION("""COMPUTED_VALUE"""),"Place Review")</f>
        <v>Place Review</v>
      </c>
      <c r="J104" s="17"/>
      <c r="K104" s="20">
        <f>IFERROR(__xludf.DUMMYFUNCTION("""COMPUTED_VALUE"""),350000.0)</f>
        <v>350000</v>
      </c>
      <c r="L104" s="17"/>
      <c r="M104" s="17"/>
      <c r="N104" s="17"/>
      <c r="O104" s="20">
        <f>IFERROR(__xludf.DUMMYFUNCTION("""COMPUTED_VALUE"""),1000000.0)</f>
        <v>1000000</v>
      </c>
      <c r="P104" s="20">
        <f>IFERROR(__xludf.DUMMYFUNCTION("""COMPUTED_VALUE"""),1500000.0)</f>
        <v>1500000</v>
      </c>
      <c r="Q104" s="17"/>
      <c r="R104" s="20">
        <f>IFERROR(__xludf.DUMMYFUNCTION("""COMPUTED_VALUE"""),3000000.0)</f>
        <v>3000000</v>
      </c>
      <c r="S104" s="20">
        <f>IFERROR(__xludf.DUMMYFUNCTION("""COMPUTED_VALUE"""),4000000.0)</f>
        <v>4000000</v>
      </c>
      <c r="T104" s="17"/>
      <c r="U104" s="17"/>
      <c r="V104" s="17"/>
      <c r="W104" s="17"/>
      <c r="X104" s="20">
        <f>IFERROR(__xludf.DUMMYFUNCTION("""COMPUTED_VALUE"""),1000000.0)</f>
        <v>1000000</v>
      </c>
      <c r="Y104" s="17"/>
    </row>
    <row r="105">
      <c r="A105" s="17">
        <f>IFERROR(__xludf.DUMMYFUNCTION("""COMPUTED_VALUE"""),102.0)</f>
        <v>102</v>
      </c>
      <c r="B105" s="18" t="str">
        <f>IFERROR(__xludf.DUMMYFUNCTION("""COMPUTED_VALUE"""),"jalanbarengdarla")</f>
        <v>jalanbarengdarla</v>
      </c>
      <c r="C105" s="23">
        <f>IFERROR(__xludf.DUMMYFUNCTION("""COMPUTED_VALUE"""),52000.0)</f>
        <v>52000</v>
      </c>
      <c r="D105" s="17" t="str">
        <f>IFERROR(__xludf.DUMMYFUNCTION("""COMPUTED_VALUE"""),"Micro")</f>
        <v>Micro</v>
      </c>
      <c r="E105" s="18" t="str">
        <f>IFERROR(__xludf.DUMMYFUNCTION("""COMPUTED_VALUE"""),"jalanbarengdarla")</f>
        <v>jalanbarengdarla</v>
      </c>
      <c r="F105" s="23">
        <f>IFERROR(__xludf.DUMMYFUNCTION("""COMPUTED_VALUE"""),153600.0)</f>
        <v>153600</v>
      </c>
      <c r="G105" s="17" t="str">
        <f>IFERROR(__xludf.DUMMYFUNCTION("""COMPUTED_VALUE"""),"Mid")</f>
        <v>Mid</v>
      </c>
      <c r="H105" s="17" t="str">
        <f>IFERROR(__xludf.DUMMYFUNCTION("""COMPUTED_VALUE"""),"Bekasi")</f>
        <v>Bekasi</v>
      </c>
      <c r="I105" s="17" t="str">
        <f>IFERROR(__xludf.DUMMYFUNCTION("""COMPUTED_VALUE"""),"Place Review")</f>
        <v>Place Review</v>
      </c>
      <c r="J105" s="17"/>
      <c r="K105" s="17"/>
      <c r="L105" s="17"/>
      <c r="M105" s="17"/>
      <c r="N105" s="17"/>
      <c r="O105" s="17"/>
      <c r="P105" s="20" t="str">
        <f>IFERROR(__xludf.DUMMYFUNCTION("""COMPUTED_VALUE"""),"Reels + TikTok (Mirror) + Visit: Rp1,500,000
Free 1 IG Story, tag &amp; collab IG")</f>
        <v>Reels + TikTok (Mirror) + Visit: Rp1,500,000
Free 1 IG Story, tag &amp; collab IG</v>
      </c>
      <c r="Q105" s="17"/>
      <c r="R105" s="17"/>
      <c r="S105" s="17"/>
      <c r="T105" s="17"/>
      <c r="U105" s="20">
        <f>IFERROR(__xludf.DUMMYFUNCTION("""COMPUTED_VALUE"""),300000.0)</f>
        <v>300000</v>
      </c>
      <c r="V105" s="17"/>
      <c r="W105" s="17"/>
      <c r="X105" s="20" t="str">
        <f>IFERROR(__xludf.DUMMYFUNCTION("""COMPUTED_VALUE"""),"Free Bekasi &amp; Jaktim")</f>
        <v>Free Bekasi &amp; Jaktim</v>
      </c>
      <c r="Y105" s="17"/>
    </row>
    <row r="106">
      <c r="A106" s="17">
        <f>IFERROR(__xludf.DUMMYFUNCTION("""COMPUTED_VALUE"""),103.0)</f>
        <v>103</v>
      </c>
      <c r="B106" s="18" t="str">
        <f>IFERROR(__xludf.DUMMYFUNCTION("""COMPUTED_VALUE"""),"shazhaniaa")</f>
        <v>shazhaniaa</v>
      </c>
      <c r="C106" s="19">
        <f>IFERROR(__xludf.DUMMYFUNCTION("""COMPUTED_VALUE"""),1000000.0)</f>
        <v>1000000</v>
      </c>
      <c r="D106" s="17" t="str">
        <f>IFERROR(__xludf.DUMMYFUNCTION("""COMPUTED_VALUE"""),"Macro")</f>
        <v>Macro</v>
      </c>
      <c r="E106" s="18" t="str">
        <f>IFERROR(__xludf.DUMMYFUNCTION("""COMPUTED_VALUE"""),"_shaz")</f>
        <v>_shaz</v>
      </c>
      <c r="F106" s="19">
        <f>IFERROR(__xludf.DUMMYFUNCTION("""COMPUTED_VALUE"""),1000000.0)</f>
        <v>1000000</v>
      </c>
      <c r="G106" s="17" t="str">
        <f>IFERROR(__xludf.DUMMYFUNCTION("""COMPUTED_VALUE"""),"Macro")</f>
        <v>Macro</v>
      </c>
      <c r="H106" s="17" t="str">
        <f>IFERROR(__xludf.DUMMYFUNCTION("""COMPUTED_VALUE"""),"Jakarta")</f>
        <v>Jakarta</v>
      </c>
      <c r="I106" s="17" t="str">
        <f>IFERROR(__xludf.DUMMYFUNCTION("""COMPUTED_VALUE"""),"- Lifestyle Female
- Beauty
- Pasutri
- Family")</f>
        <v>- Lifestyle Female
- Beauty
- Pasutri
- Family</v>
      </c>
      <c r="J106" s="17"/>
      <c r="K106" s="20">
        <f>IFERROR(__xludf.DUMMYFUNCTION("""COMPUTED_VALUE"""),1.0E7)</f>
        <v>10000000</v>
      </c>
      <c r="L106" s="20">
        <f>IFERROR(__xludf.DUMMYFUNCTION("""COMPUTED_VALUE"""),2.1E7)</f>
        <v>21000000</v>
      </c>
      <c r="M106" s="20" t="str">
        <f>IFERROR(__xludf.DUMMYFUNCTION("""COMPUTED_VALUE"""),"FREE")</f>
        <v>FREE</v>
      </c>
      <c r="N106" s="20">
        <f>IFERROR(__xludf.DUMMYFUNCTION("""COMPUTED_VALUE"""),2.7E7)</f>
        <v>27000000</v>
      </c>
      <c r="O106" s="20">
        <f>IFERROR(__xludf.DUMMYFUNCTION("""COMPUTED_VALUE"""),5000000.0)</f>
        <v>5000000</v>
      </c>
      <c r="P106" s="20" t="str">
        <f>IFERROR(__xludf.DUMMYFUNCTION("""COMPUTED_VALUE"""),"Rp36,000,000
Rp38,000,000 (professional cam)")</f>
        <v>Rp36,000,000
Rp38,000,000 (professional cam)</v>
      </c>
      <c r="Q106" s="20">
        <f>IFERROR(__xludf.DUMMYFUNCTION("""COMPUTED_VALUE"""),8000000.0)</f>
        <v>8000000</v>
      </c>
      <c r="R106" s="20">
        <f>IFERROR(__xludf.DUMMYFUNCTION("""COMPUTED_VALUE"""),3.0E7)</f>
        <v>30000000</v>
      </c>
      <c r="S106" s="20">
        <f>IFERROR(__xludf.DUMMYFUNCTION("""COMPUTED_VALUE"""),5.0E7)</f>
        <v>50000000</v>
      </c>
      <c r="T106" s="20">
        <f>IFERROR(__xludf.DUMMYFUNCTION("""COMPUTED_VALUE"""),3.0E7)</f>
        <v>30000000</v>
      </c>
      <c r="U106" s="21">
        <f>IFERROR(__xludf.DUMMYFUNCTION("""COMPUTED_VALUE"""),0.5)</f>
        <v>0.5</v>
      </c>
      <c r="V106" s="21">
        <f>IFERROR(__xludf.DUMMYFUNCTION("""COMPUTED_VALUE"""),0.35)</f>
        <v>0.35</v>
      </c>
      <c r="W106" s="17"/>
      <c r="X106" s="20" t="str">
        <f>IFERROR(__xludf.DUMMYFUNCTION("""COMPUTED_VALUE"""),"Rp10,000,000 (Jakarta)
Rp12,000,000 (outside Jakarta)
2 hours max")</f>
        <v>Rp10,000,000 (Jakarta)
Rp12,000,000 (outside Jakarta)
2 hours max</v>
      </c>
      <c r="Y106" s="17"/>
    </row>
    <row r="107">
      <c r="A107" s="17">
        <f>IFERROR(__xludf.DUMMYFUNCTION("""COMPUTED_VALUE"""),104.0)</f>
        <v>104</v>
      </c>
      <c r="B107" s="18" t="str">
        <f>IFERROR(__xludf.DUMMYFUNCTION("""COMPUTED_VALUE"""),"dapur_mamika30")</f>
        <v>dapur_mamika30</v>
      </c>
      <c r="C107" s="23">
        <f>IFERROR(__xludf.DUMMYFUNCTION("""COMPUTED_VALUE"""),833000.0)</f>
        <v>833000</v>
      </c>
      <c r="D107" s="17" t="str">
        <f>IFERROR(__xludf.DUMMYFUNCTION("""COMPUTED_VALUE"""),"Macro")</f>
        <v>Macro</v>
      </c>
      <c r="E107" s="18" t="str">
        <f>IFERROR(__xludf.DUMMYFUNCTION("""COMPUTED_VALUE"""),"dapurmamika_")</f>
        <v>dapurmamika_</v>
      </c>
      <c r="F107" s="19">
        <f>IFERROR(__xludf.DUMMYFUNCTION("""COMPUTED_VALUE"""),1900000.0)</f>
        <v>1900000</v>
      </c>
      <c r="G107" s="17" t="str">
        <f>IFERROR(__xludf.DUMMYFUNCTION("""COMPUTED_VALUE"""),"Mega")</f>
        <v>Mega</v>
      </c>
      <c r="H107" s="17"/>
      <c r="I107" s="17" t="str">
        <f>IFERROR(__xludf.DUMMYFUNCTION("""COMPUTED_VALUE"""),"Cooking")</f>
        <v>Cooking</v>
      </c>
      <c r="J107" s="17"/>
      <c r="K107" s="20">
        <f>IFERROR(__xludf.DUMMYFUNCTION("""COMPUTED_VALUE"""),3000000.0)</f>
        <v>3000000</v>
      </c>
      <c r="L107" s="20">
        <f>IFERROR(__xludf.DUMMYFUNCTION("""COMPUTED_VALUE"""),4000000.0)</f>
        <v>4000000</v>
      </c>
      <c r="M107" s="20" t="str">
        <f>IFERROR(__xludf.DUMMYFUNCTION("""COMPUTED_VALUE"""),"FREE")</f>
        <v>FREE</v>
      </c>
      <c r="N107" s="20">
        <f>IFERROR(__xludf.DUMMYFUNCTION("""COMPUTED_VALUE"""),4000000.0)</f>
        <v>4000000</v>
      </c>
      <c r="O107" s="20">
        <f>IFERROR(__xludf.DUMMYFUNCTION("""COMPUTED_VALUE"""),4700000.0)</f>
        <v>4700000</v>
      </c>
      <c r="P107" s="20">
        <f>IFERROR(__xludf.DUMMYFUNCTION("""COMPUTED_VALUE"""),5000000.0)</f>
        <v>5000000</v>
      </c>
      <c r="Q107" s="17"/>
      <c r="R107" s="20">
        <f>IFERROR(__xludf.DUMMYFUNCTION("""COMPUTED_VALUE"""),5000000.0)</f>
        <v>5000000</v>
      </c>
      <c r="S107" s="20">
        <f>IFERROR(__xludf.DUMMYFUNCTION("""COMPUTED_VALUE"""),1500000.0)</f>
        <v>1500000</v>
      </c>
      <c r="T107" s="20">
        <f>IFERROR(__xludf.DUMMYFUNCTION("""COMPUTED_VALUE"""),3500000.0)</f>
        <v>3500000</v>
      </c>
      <c r="U107" s="21">
        <f>IFERROR(__xludf.DUMMYFUNCTION("""COMPUTED_VALUE"""),1.0)</f>
        <v>1</v>
      </c>
      <c r="V107" s="17"/>
      <c r="W107" s="20">
        <f>IFERROR(__xludf.DUMMYFUNCTION("""COMPUTED_VALUE"""),500000.0)</f>
        <v>500000</v>
      </c>
      <c r="X107" s="17"/>
      <c r="Y107" s="17"/>
    </row>
    <row r="108">
      <c r="A108" s="17">
        <f>IFERROR(__xludf.DUMMYFUNCTION("""COMPUTED_VALUE"""),105.0)</f>
        <v>105</v>
      </c>
      <c r="B108" s="17" t="str">
        <f>IFERROR(__xludf.DUMMYFUNCTION("""COMPUTED_VALUE"""),"TikTok Only")</f>
        <v>TikTok Only</v>
      </c>
      <c r="C108" s="17"/>
      <c r="D108" s="17"/>
      <c r="E108" s="18" t="str">
        <f>IFERROR(__xludf.DUMMYFUNCTION("""COMPUTED_VALUE"""),"anaknya_mas_joko")</f>
        <v>anaknya_mas_joko</v>
      </c>
      <c r="F108" s="23">
        <f>IFERROR(__xludf.DUMMYFUNCTION("""COMPUTED_VALUE"""),862900.0)</f>
        <v>862900</v>
      </c>
      <c r="G108" s="17" t="str">
        <f>IFERROR(__xludf.DUMMYFUNCTION("""COMPUTED_VALUE"""),"Macro")</f>
        <v>Macro</v>
      </c>
      <c r="H108" s="17" t="str">
        <f>IFERROR(__xludf.DUMMYFUNCTION("""COMPUTED_VALUE"""),"Jakarta Selatan")</f>
        <v>Jakarta Selatan</v>
      </c>
      <c r="I108" s="17" t="str">
        <f>IFERROR(__xludf.DUMMYFUNCTION("""COMPUTED_VALUE"""),"Comedy")</f>
        <v>Comedy</v>
      </c>
      <c r="J108" s="17"/>
      <c r="K108" s="17"/>
      <c r="L108" s="17"/>
      <c r="M108" s="17"/>
      <c r="N108" s="17"/>
      <c r="O108" s="17"/>
      <c r="P108" s="17"/>
      <c r="Q108" s="17"/>
      <c r="R108" s="20">
        <f>IFERROR(__xludf.DUMMYFUNCTION("""COMPUTED_VALUE"""),6000000.0)</f>
        <v>6000000</v>
      </c>
      <c r="S108" s="17"/>
      <c r="T108" s="17"/>
      <c r="U108" s="17"/>
      <c r="V108" s="17"/>
      <c r="W108" s="17"/>
      <c r="X108" s="17"/>
      <c r="Y108" s="17"/>
    </row>
    <row r="109">
      <c r="A109" s="17">
        <f>IFERROR(__xludf.DUMMYFUNCTION("""COMPUTED_VALUE"""),106.0)</f>
        <v>106</v>
      </c>
      <c r="B109" s="18" t="str">
        <f>IFERROR(__xludf.DUMMYFUNCTION("""COMPUTED_VALUE"""),"alwifachry")</f>
        <v>alwifachry</v>
      </c>
      <c r="C109" s="19">
        <f>IFERROR(__xludf.DUMMYFUNCTION("""COMPUTED_VALUE"""),2400000.0)</f>
        <v>2400000</v>
      </c>
      <c r="D109" s="17" t="str">
        <f>IFERROR(__xludf.DUMMYFUNCTION("""COMPUTED_VALUE"""),"Mega")</f>
        <v>Mega</v>
      </c>
      <c r="E109" s="18" t="str">
        <f>IFERROR(__xludf.DUMMYFUNCTION("""COMPUTED_VALUE"""),"alwifahry")</f>
        <v>alwifahry</v>
      </c>
      <c r="F109" s="19">
        <f>IFERROR(__xludf.DUMMYFUNCTION("""COMPUTED_VALUE"""),1.36E7)</f>
        <v>13600000</v>
      </c>
      <c r="G109" s="17" t="str">
        <f>IFERROR(__xludf.DUMMYFUNCTION("""COMPUTED_VALUE"""),"Mega")</f>
        <v>Mega</v>
      </c>
      <c r="H109" s="17" t="str">
        <f>IFERROR(__xludf.DUMMYFUNCTION("""COMPUTED_VALUE"""),"Bandung")</f>
        <v>Bandung</v>
      </c>
      <c r="I109" s="17" t="str">
        <f>IFERROR(__xludf.DUMMYFUNCTION("""COMPUTED_VALUE"""),"- Lifestlye Male
- Comedy")</f>
        <v>- Lifestlye Male
- Comedy</v>
      </c>
      <c r="J109" s="20">
        <f>IFERROR(__xludf.DUMMYFUNCTION("""COMPUTED_VALUE"""),1000000.0)</f>
        <v>1000000</v>
      </c>
      <c r="K109" s="20">
        <f>IFERROR(__xludf.DUMMYFUNCTION("""COMPUTED_VALUE"""),5000000.0)</f>
        <v>5000000</v>
      </c>
      <c r="L109" s="20">
        <f>IFERROR(__xludf.DUMMYFUNCTION("""COMPUTED_VALUE"""),7000000.0)</f>
        <v>7000000</v>
      </c>
      <c r="M109" s="20" t="str">
        <f>IFERROR(__xludf.DUMMYFUNCTION("""COMPUTED_VALUE"""),"FREE")</f>
        <v>FREE</v>
      </c>
      <c r="N109" s="20">
        <f>IFERROR(__xludf.DUMMYFUNCTION("""COMPUTED_VALUE"""),2.0E7)</f>
        <v>20000000</v>
      </c>
      <c r="O109" s="20">
        <f>IFERROR(__xludf.DUMMYFUNCTION("""COMPUTED_VALUE"""),3.5E7)</f>
        <v>35000000</v>
      </c>
      <c r="P109" s="20">
        <f>IFERROR(__xludf.DUMMYFUNCTION("""COMPUTED_VALUE"""),4.5E7)</f>
        <v>45000000</v>
      </c>
      <c r="Q109" s="21">
        <f>IFERROR(__xludf.DUMMYFUNCTION("""COMPUTED_VALUE"""),0.1)</f>
        <v>0.1</v>
      </c>
      <c r="R109" s="20">
        <f>IFERROR(__xludf.DUMMYFUNCTION("""COMPUTED_VALUE"""),5.5E7)</f>
        <v>55000000</v>
      </c>
      <c r="S109" s="20">
        <f>IFERROR(__xludf.DUMMYFUNCTION("""COMPUTED_VALUE"""),8.5E7)</f>
        <v>85000000</v>
      </c>
      <c r="T109" s="17"/>
      <c r="U109" s="21">
        <f>IFERROR(__xludf.DUMMYFUNCTION("""COMPUTED_VALUE"""),0.5)</f>
        <v>0.5</v>
      </c>
      <c r="V109" s="20">
        <f>IFERROR(__xludf.DUMMYFUNCTION("""COMPUTED_VALUE"""),3000000.0)</f>
        <v>3000000</v>
      </c>
      <c r="W109" s="17"/>
      <c r="X109" s="20" t="str">
        <f>IFERROR(__xludf.DUMMYFUNCTION("""COMPUTED_VALUE"""),"Rp40,000,000 (Bandung)")</f>
        <v>Rp40,000,000 (Bandung)</v>
      </c>
      <c r="Y109" s="17"/>
    </row>
    <row r="110">
      <c r="A110" s="17">
        <f>IFERROR(__xludf.DUMMYFUNCTION("""COMPUTED_VALUE"""),107.0)</f>
        <v>107</v>
      </c>
      <c r="B110" s="18" t="str">
        <f>IFERROR(__xludf.DUMMYFUNCTION("""COMPUTED_VALUE"""),"rereanggara")</f>
        <v>rereanggara</v>
      </c>
      <c r="C110" s="23">
        <f>IFERROR(__xludf.DUMMYFUNCTION("""COMPUTED_VALUE"""),53000.0)</f>
        <v>53000</v>
      </c>
      <c r="D110" s="17" t="str">
        <f>IFERROR(__xludf.DUMMYFUNCTION("""COMPUTED_VALUE"""),"Micro")</f>
        <v>Micro</v>
      </c>
      <c r="E110" s="18" t="str">
        <f>IFERROR(__xludf.DUMMYFUNCTION("""COMPUTED_VALUE"""),"rereanggara")</f>
        <v>rereanggara</v>
      </c>
      <c r="F110" s="23">
        <f>IFERROR(__xludf.DUMMYFUNCTION("""COMPUTED_VALUE"""),824500.0)</f>
        <v>824500</v>
      </c>
      <c r="G110" s="17" t="str">
        <f>IFERROR(__xludf.DUMMYFUNCTION("""COMPUTED_VALUE"""),"Macro")</f>
        <v>Macro</v>
      </c>
      <c r="H110" s="17" t="str">
        <f>IFERROR(__xludf.DUMMYFUNCTION("""COMPUTED_VALUE"""),"Jakarta Selatan")</f>
        <v>Jakarta Selatan</v>
      </c>
      <c r="I110" s="17" t="str">
        <f>IFERROR(__xludf.DUMMYFUNCTION("""COMPUTED_VALUE"""),"- Lifestlye Male
- Comedy")</f>
        <v>- Lifestlye Male
- Comedy</v>
      </c>
      <c r="J110" s="17"/>
      <c r="K110" s="20">
        <f>IFERROR(__xludf.DUMMYFUNCTION("""COMPUTED_VALUE"""),4500000.0)</f>
        <v>4500000</v>
      </c>
      <c r="L110" s="20" t="str">
        <f>IFERROR(__xludf.DUMMYFUNCTION("""COMPUTED_VALUE"""),"Rp4,500,000/slide")</f>
        <v>Rp4,500,000/slide</v>
      </c>
      <c r="M110" s="20">
        <f>IFERROR(__xludf.DUMMYFUNCTION("""COMPUTED_VALUE"""),500000.0)</f>
        <v>500000</v>
      </c>
      <c r="N110" s="20">
        <f>IFERROR(__xludf.DUMMYFUNCTION("""COMPUTED_VALUE"""),4750000.0)</f>
        <v>4750000</v>
      </c>
      <c r="O110" s="20">
        <f>IFERROR(__xludf.DUMMYFUNCTION("""COMPUTED_VALUE"""),9500000.0)</f>
        <v>9500000</v>
      </c>
      <c r="P110" s="20">
        <f>IFERROR(__xludf.DUMMYFUNCTION("""COMPUTED_VALUE"""),9750000.0)</f>
        <v>9750000</v>
      </c>
      <c r="Q110" s="20">
        <f>IFERROR(__xludf.DUMMYFUNCTION("""COMPUTED_VALUE"""),1000000.0)</f>
        <v>1000000</v>
      </c>
      <c r="R110" s="20">
        <f>IFERROR(__xludf.DUMMYFUNCTION("""COMPUTED_VALUE"""),1.275E7)</f>
        <v>12750000</v>
      </c>
      <c r="S110" s="20">
        <f>IFERROR(__xludf.DUMMYFUNCTION("""COMPUTED_VALUE"""),4750000.0)</f>
        <v>4750000</v>
      </c>
      <c r="T110" s="20">
        <f>IFERROR(__xludf.DUMMYFUNCTION("""COMPUTED_VALUE"""),3500000.0)</f>
        <v>3500000</v>
      </c>
      <c r="U110" s="21">
        <f>IFERROR(__xludf.DUMMYFUNCTION("""COMPUTED_VALUE"""),0.5)</f>
        <v>0.5</v>
      </c>
      <c r="V110" s="20">
        <f>IFERROR(__xludf.DUMMYFUNCTION("""COMPUTED_VALUE"""),500000.0)</f>
        <v>500000</v>
      </c>
      <c r="W110" s="20">
        <f>IFERROR(__xludf.DUMMYFUNCTION("""COMPUTED_VALUE"""),500000.0)</f>
        <v>500000</v>
      </c>
      <c r="X110" s="20">
        <f>IFERROR(__xludf.DUMMYFUNCTION("""COMPUTED_VALUE"""),1000000.0)</f>
        <v>1000000</v>
      </c>
      <c r="Y110" s="17"/>
    </row>
    <row r="111">
      <c r="A111" s="17">
        <f>IFERROR(__xludf.DUMMYFUNCTION("""COMPUTED_VALUE"""),108.0)</f>
        <v>108</v>
      </c>
      <c r="B111" s="18" t="str">
        <f>IFERROR(__xludf.DUMMYFUNCTION("""COMPUTED_VALUE"""),"firamaringka")</f>
        <v>firamaringka</v>
      </c>
      <c r="C111" s="23">
        <f>IFERROR(__xludf.DUMMYFUNCTION("""COMPUTED_VALUE"""),98400.0)</f>
        <v>98400</v>
      </c>
      <c r="D111" s="17" t="str">
        <f>IFERROR(__xludf.DUMMYFUNCTION("""COMPUTED_VALUE"""),"Micro")</f>
        <v>Micro</v>
      </c>
      <c r="E111" s="18" t="str">
        <f>IFERROR(__xludf.DUMMYFUNCTION("""COMPUTED_VALUE"""),"firamaringka")</f>
        <v>firamaringka</v>
      </c>
      <c r="F111" s="23">
        <f>IFERROR(__xludf.DUMMYFUNCTION("""COMPUTED_VALUE"""),230600.0)</f>
        <v>230600</v>
      </c>
      <c r="G111" s="17" t="str">
        <f>IFERROR(__xludf.DUMMYFUNCTION("""COMPUTED_VALUE"""),"Mid")</f>
        <v>Mid</v>
      </c>
      <c r="H111" s="17" t="str">
        <f>IFERROR(__xludf.DUMMYFUNCTION("""COMPUTED_VALUE"""),"Tangerang")</f>
        <v>Tangerang</v>
      </c>
      <c r="I111" s="17" t="str">
        <f>IFERROR(__xludf.DUMMYFUNCTION("""COMPUTED_VALUE"""),"Comedy")</f>
        <v>Comedy</v>
      </c>
      <c r="J111" s="17"/>
      <c r="K111" s="20">
        <f>IFERROR(__xludf.DUMMYFUNCTION("""COMPUTED_VALUE"""),3000000.0)</f>
        <v>3000000</v>
      </c>
      <c r="L111" s="20">
        <f>IFERROR(__xludf.DUMMYFUNCTION("""COMPUTED_VALUE"""),5000000.0)</f>
        <v>5000000</v>
      </c>
      <c r="M111" s="20">
        <f>IFERROR(__xludf.DUMMYFUNCTION("""COMPUTED_VALUE"""),1500000.0)</f>
        <v>1500000</v>
      </c>
      <c r="N111" s="20">
        <f>IFERROR(__xludf.DUMMYFUNCTION("""COMPUTED_VALUE"""),8000000.0)</f>
        <v>8000000</v>
      </c>
      <c r="O111" s="20">
        <f>IFERROR(__xludf.DUMMYFUNCTION("""COMPUTED_VALUE"""),1.6E7)</f>
        <v>16000000</v>
      </c>
      <c r="P111" s="20">
        <f>IFERROR(__xludf.DUMMYFUNCTION("""COMPUTED_VALUE"""),2.0E7)</f>
        <v>20000000</v>
      </c>
      <c r="Q111" s="20">
        <f>IFERROR(__xludf.DUMMYFUNCTION("""COMPUTED_VALUE"""),2500000.0)</f>
        <v>2500000</v>
      </c>
      <c r="R111" s="20">
        <f>IFERROR(__xludf.DUMMYFUNCTION("""COMPUTED_VALUE"""),2.5E7)</f>
        <v>25000000</v>
      </c>
      <c r="S111" s="20">
        <f>IFERROR(__xludf.DUMMYFUNCTION("""COMPUTED_VALUE"""),1.1E7)</f>
        <v>11000000</v>
      </c>
      <c r="T111" s="17"/>
      <c r="U111" s="20">
        <f>IFERROR(__xludf.DUMMYFUNCTION("""COMPUTED_VALUE"""),1.3E7)</f>
        <v>13000000</v>
      </c>
      <c r="V111" s="20">
        <f>IFERROR(__xludf.DUMMYFUNCTION("""COMPUTED_VALUE"""),3000000.0)</f>
        <v>3000000</v>
      </c>
      <c r="W111" s="20">
        <f>IFERROR(__xludf.DUMMYFUNCTION("""COMPUTED_VALUE"""),3000000.0)</f>
        <v>3000000</v>
      </c>
      <c r="X111" s="20">
        <f>IFERROR(__xludf.DUMMYFUNCTION("""COMPUTED_VALUE"""),1.0E7)</f>
        <v>10000000</v>
      </c>
      <c r="Y111" s="17"/>
    </row>
    <row r="112">
      <c r="A112" s="17">
        <f>IFERROR(__xludf.DUMMYFUNCTION("""COMPUTED_VALUE"""),109.0)</f>
        <v>109</v>
      </c>
      <c r="B112" s="18" t="str">
        <f>IFERROR(__xludf.DUMMYFUNCTION("""COMPUTED_VALUE"""),"jessicaklppr")</f>
        <v>jessicaklppr</v>
      </c>
      <c r="C112" s="23">
        <f>IFERROR(__xludf.DUMMYFUNCTION("""COMPUTED_VALUE"""),101000.0)</f>
        <v>101000</v>
      </c>
      <c r="D112" s="17" t="str">
        <f>IFERROR(__xludf.DUMMYFUNCTION("""COMPUTED_VALUE"""),"Mid")</f>
        <v>Mid</v>
      </c>
      <c r="E112" s="18" t="str">
        <f>IFERROR(__xludf.DUMMYFUNCTION("""COMPUTED_VALUE"""),"jejekaliya")</f>
        <v>jejekaliya</v>
      </c>
      <c r="F112" s="23">
        <f>IFERROR(__xludf.DUMMYFUNCTION("""COMPUTED_VALUE"""),12200.0)</f>
        <v>12200</v>
      </c>
      <c r="G112" s="17" t="str">
        <f>IFERROR(__xludf.DUMMYFUNCTION("""COMPUTED_VALUE"""),"Micro")</f>
        <v>Micro</v>
      </c>
      <c r="H112" s="17" t="str">
        <f>IFERROR(__xludf.DUMMYFUNCTION("""COMPUTED_VALUE"""),"Tangerang")</f>
        <v>Tangerang</v>
      </c>
      <c r="I112" s="17" t="str">
        <f>IFERROR(__xludf.DUMMYFUNCTION("""COMPUTED_VALUE"""),"-  Lifestyle Female")</f>
        <v>-  Lifestyle Female</v>
      </c>
      <c r="J112" s="17"/>
      <c r="K112" s="20">
        <f>IFERROR(__xludf.DUMMYFUNCTION("""COMPUTED_VALUE"""),350000.0)</f>
        <v>350000</v>
      </c>
      <c r="L112" s="20">
        <f>IFERROR(__xludf.DUMMYFUNCTION("""COMPUTED_VALUE"""),750000.0)</f>
        <v>750000</v>
      </c>
      <c r="M112" s="17"/>
      <c r="N112" s="20">
        <f>IFERROR(__xludf.DUMMYFUNCTION("""COMPUTED_VALUE"""),3000000.0)</f>
        <v>3000000</v>
      </c>
      <c r="O112" s="20">
        <f>IFERROR(__xludf.DUMMYFUNCTION("""COMPUTED_VALUE"""),3500000.0)</f>
        <v>3500000</v>
      </c>
      <c r="P112" s="20">
        <f>IFERROR(__xludf.DUMMYFUNCTION("""COMPUTED_VALUE"""),3500000.0)</f>
        <v>3500000</v>
      </c>
      <c r="Q112" s="17"/>
      <c r="R112" s="20">
        <f>IFERROR(__xludf.DUMMYFUNCTION("""COMPUTED_VALUE"""),500000.0)</f>
        <v>500000</v>
      </c>
      <c r="S112" s="17"/>
      <c r="T112" s="17"/>
      <c r="U112" s="17"/>
      <c r="V112" s="17"/>
      <c r="W112" s="17"/>
      <c r="X112" s="20">
        <f>IFERROR(__xludf.DUMMYFUNCTION("""COMPUTED_VALUE"""),1500000.0)</f>
        <v>1500000</v>
      </c>
      <c r="Y112" s="17"/>
    </row>
    <row r="113">
      <c r="A113" s="17">
        <f>IFERROR(__xludf.DUMMYFUNCTION("""COMPUTED_VALUE"""),110.0)</f>
        <v>110</v>
      </c>
      <c r="B113" s="18" t="str">
        <f>IFERROR(__xludf.DUMMYFUNCTION("""COMPUTED_VALUE"""),"apiipp")</f>
        <v>apiipp</v>
      </c>
      <c r="C113" s="19">
        <f>IFERROR(__xludf.DUMMYFUNCTION("""COMPUTED_VALUE"""),1900000.0)</f>
        <v>1900000</v>
      </c>
      <c r="D113" s="17" t="str">
        <f>IFERROR(__xludf.DUMMYFUNCTION("""COMPUTED_VALUE"""),"Mega")</f>
        <v>Mega</v>
      </c>
      <c r="E113" s="18" t="str">
        <f>IFERROR(__xludf.DUMMYFUNCTION("""COMPUTED_VALUE"""),"apiipp1294")</f>
        <v>apiipp1294</v>
      </c>
      <c r="F113" s="19">
        <f>IFERROR(__xludf.DUMMYFUNCTION("""COMPUTED_VALUE"""),1300000.0)</f>
        <v>1300000</v>
      </c>
      <c r="G113" s="17" t="str">
        <f>IFERROR(__xludf.DUMMYFUNCTION("""COMPUTED_VALUE"""),"Mega")</f>
        <v>Mega</v>
      </c>
      <c r="H113" s="17" t="str">
        <f>IFERROR(__xludf.DUMMYFUNCTION("""COMPUTED_VALUE"""),"Jakarta")</f>
        <v>Jakarta</v>
      </c>
      <c r="I113" s="17" t="str">
        <f>IFERROR(__xludf.DUMMYFUNCTION("""COMPUTED_VALUE"""),"- Lifestlye Male
- Gaming
- Family")</f>
        <v>- Lifestlye Male
- Gaming
- Family</v>
      </c>
      <c r="J113" s="17"/>
      <c r="K113" s="20">
        <f>IFERROR(__xludf.DUMMYFUNCTION("""COMPUTED_VALUE"""),5000000.0)</f>
        <v>5000000</v>
      </c>
      <c r="L113" s="20">
        <f>IFERROR(__xludf.DUMMYFUNCTION("""COMPUTED_VALUE"""),9000000.0)</f>
        <v>9000000</v>
      </c>
      <c r="M113" s="17"/>
      <c r="N113" s="20">
        <f>IFERROR(__xludf.DUMMYFUNCTION("""COMPUTED_VALUE"""),1.2E7)</f>
        <v>12000000</v>
      </c>
      <c r="O113" s="17"/>
      <c r="P113" s="20">
        <f>IFERROR(__xludf.DUMMYFUNCTION("""COMPUTED_VALUE"""),2.5E7)</f>
        <v>25000000</v>
      </c>
      <c r="Q113" s="20" t="str">
        <f>IFERROR(__xludf.DUMMYFUNCTION("""COMPUTED_VALUE"""),"FREE")</f>
        <v>FREE</v>
      </c>
      <c r="R113" s="20">
        <f>IFERROR(__xludf.DUMMYFUNCTION("""COMPUTED_VALUE"""),1.5E7)</f>
        <v>15000000</v>
      </c>
      <c r="S113" s="20">
        <f>IFERROR(__xludf.DUMMYFUNCTION("""COMPUTED_VALUE"""),3.0E7)</f>
        <v>30000000</v>
      </c>
      <c r="T113" s="17"/>
      <c r="U113" s="21">
        <f>IFERROR(__xludf.DUMMYFUNCTION("""COMPUTED_VALUE"""),1.0)</f>
        <v>1</v>
      </c>
      <c r="V113" s="21">
        <f>IFERROR(__xludf.DUMMYFUNCTION("""COMPUTED_VALUE"""),0.3)</f>
        <v>0.3</v>
      </c>
      <c r="W113" s="17"/>
      <c r="X113" s="17"/>
      <c r="Y113" s="17"/>
    </row>
    <row r="114">
      <c r="A114" s="17">
        <f>IFERROR(__xludf.DUMMYFUNCTION("""COMPUTED_VALUE"""),111.0)</f>
        <v>111</v>
      </c>
      <c r="B114" s="18" t="str">
        <f>IFERROR(__xludf.DUMMYFUNCTION("""COMPUTED_VALUE"""),"michelealex")</f>
        <v>michelealex</v>
      </c>
      <c r="C114" s="19">
        <f>IFERROR(__xludf.DUMMYFUNCTION("""COMPUTED_VALUE"""),1600000.0)</f>
        <v>1600000</v>
      </c>
      <c r="D114" s="17" t="str">
        <f>IFERROR(__xludf.DUMMYFUNCTION("""COMPUTED_VALUE"""),"Mega")</f>
        <v>Mega</v>
      </c>
      <c r="E114" s="18" t="str">
        <f>IFERROR(__xludf.DUMMYFUNCTION("""COMPUTED_VALUE"""),"cheekykiddo")</f>
        <v>cheekykiddo</v>
      </c>
      <c r="F114" s="19">
        <f>IFERROR(__xludf.DUMMYFUNCTION("""COMPUTED_VALUE"""),5900000.0)</f>
        <v>5900000</v>
      </c>
      <c r="G114" s="17" t="str">
        <f>IFERROR(__xludf.DUMMYFUNCTION("""COMPUTED_VALUE"""),"Mega")</f>
        <v>Mega</v>
      </c>
      <c r="H114" s="17" t="str">
        <f>IFERROR(__xludf.DUMMYFUNCTION("""COMPUTED_VALUE"""),"BSD")</f>
        <v>BSD</v>
      </c>
      <c r="I114" s="17" t="str">
        <f>IFERROR(__xludf.DUMMYFUNCTION("""COMPUTED_VALUE"""),"Cooking")</f>
        <v>Cooking</v>
      </c>
      <c r="J114" s="17"/>
      <c r="K114" s="20">
        <f>IFERROR(__xludf.DUMMYFUNCTION("""COMPUTED_VALUE"""),2000000.0)</f>
        <v>2000000</v>
      </c>
      <c r="L114" s="20">
        <f>IFERROR(__xludf.DUMMYFUNCTION("""COMPUTED_VALUE"""),6000000.0)</f>
        <v>6000000</v>
      </c>
      <c r="M114" s="17"/>
      <c r="N114" s="20">
        <f>IFERROR(__xludf.DUMMYFUNCTION("""COMPUTED_VALUE"""),3.0E7)</f>
        <v>30000000</v>
      </c>
      <c r="O114" s="20">
        <f>IFERROR(__xludf.DUMMYFUNCTION("""COMPUTED_VALUE"""),3.2E7)</f>
        <v>32000000</v>
      </c>
      <c r="P114" s="20">
        <f>IFERROR(__xludf.DUMMYFUNCTION("""COMPUTED_VALUE"""),4.0E7)</f>
        <v>40000000</v>
      </c>
      <c r="Q114" s="17"/>
      <c r="R114" s="20">
        <f>IFERROR(__xludf.DUMMYFUNCTION("""COMPUTED_VALUE"""),4.0E7)</f>
        <v>40000000</v>
      </c>
      <c r="S114" s="20">
        <f>IFERROR(__xludf.DUMMYFUNCTION("""COMPUTED_VALUE"""),5.0E7)</f>
        <v>50000000</v>
      </c>
      <c r="T114" s="17"/>
      <c r="U114" s="17"/>
      <c r="V114" s="17"/>
      <c r="W114" s="17"/>
      <c r="X114" s="20">
        <f>IFERROR(__xludf.DUMMYFUNCTION("""COMPUTED_VALUE"""),600000.0)</f>
        <v>600000</v>
      </c>
      <c r="Y114" s="17"/>
    </row>
    <row r="115">
      <c r="A115" s="17">
        <f>IFERROR(__xludf.DUMMYFUNCTION("""COMPUTED_VALUE"""),112.0)</f>
        <v>112</v>
      </c>
      <c r="B115" s="18" t="str">
        <f>IFERROR(__xludf.DUMMYFUNCTION("""COMPUTED_VALUE"""),"bagas_dribble")</f>
        <v>bagas_dribble</v>
      </c>
      <c r="C115" s="23">
        <f>IFERROR(__xludf.DUMMYFUNCTION("""COMPUTED_VALUE"""),374000.0)</f>
        <v>374000</v>
      </c>
      <c r="D115" s="17" t="str">
        <f>IFERROR(__xludf.DUMMYFUNCTION("""COMPUTED_VALUE"""),"Mid")</f>
        <v>Mid</v>
      </c>
      <c r="E115" s="18" t="str">
        <f>IFERROR(__xludf.DUMMYFUNCTION("""COMPUTED_VALUE"""),"s4y4_im0t")</f>
        <v>s4y4_im0t</v>
      </c>
      <c r="F115" s="19">
        <f>IFERROR(__xludf.DUMMYFUNCTION("""COMPUTED_VALUE"""),1900000.0)</f>
        <v>1900000</v>
      </c>
      <c r="G115" s="17" t="str">
        <f>IFERROR(__xludf.DUMMYFUNCTION("""COMPUTED_VALUE"""),"Mega")</f>
        <v>Mega</v>
      </c>
      <c r="H115" s="17" t="str">
        <f>IFERROR(__xludf.DUMMYFUNCTION("""COMPUTED_VALUE"""),"Jakarta Selatan")</f>
        <v>Jakarta Selatan</v>
      </c>
      <c r="I115" s="17" t="str">
        <f>IFERROR(__xludf.DUMMYFUNCTION("""COMPUTED_VALUE"""),"- Lifestyle Male
- Comedy")</f>
        <v>- Lifestyle Male
- Comedy</v>
      </c>
      <c r="J115" s="20">
        <f>IFERROR(__xludf.DUMMYFUNCTION("""COMPUTED_VALUE"""),2000000.0)</f>
        <v>2000000</v>
      </c>
      <c r="K115" s="20">
        <f>IFERROR(__xludf.DUMMYFUNCTION("""COMPUTED_VALUE"""),8500000.0)</f>
        <v>8500000</v>
      </c>
      <c r="L115" s="20">
        <f>IFERROR(__xludf.DUMMYFUNCTION("""COMPUTED_VALUE"""),2.2E7)</f>
        <v>22000000</v>
      </c>
      <c r="M115" s="20">
        <f>IFERROR(__xludf.DUMMYFUNCTION("""COMPUTED_VALUE"""),2000000.0)</f>
        <v>2000000</v>
      </c>
      <c r="N115" s="20">
        <f>IFERROR(__xludf.DUMMYFUNCTION("""COMPUTED_VALUE"""),2.8E7)</f>
        <v>28000000</v>
      </c>
      <c r="O115" s="20">
        <f>IFERROR(__xludf.DUMMYFUNCTION("""COMPUTED_VALUE"""),2.8E7)</f>
        <v>28000000</v>
      </c>
      <c r="P115" s="20">
        <f>IFERROR(__xludf.DUMMYFUNCTION("""COMPUTED_VALUE"""),3.5E7)</f>
        <v>35000000</v>
      </c>
      <c r="Q115" s="17"/>
      <c r="R115" s="20">
        <f>IFERROR(__xludf.DUMMYFUNCTION("""COMPUTED_VALUE"""),3.8E7)</f>
        <v>38000000</v>
      </c>
      <c r="S115" s="20">
        <f>IFERROR(__xludf.DUMMYFUNCTION("""COMPUTED_VALUE"""),6.5E7)</f>
        <v>65000000</v>
      </c>
      <c r="T115" s="20">
        <f>IFERROR(__xludf.DUMMYFUNCTION("""COMPUTED_VALUE"""),1.8E7)</f>
        <v>18000000</v>
      </c>
      <c r="U115" s="21">
        <f>IFERROR(__xludf.DUMMYFUNCTION("""COMPUTED_VALUE"""),0.5)</f>
        <v>0.5</v>
      </c>
      <c r="V115" s="20">
        <f>IFERROR(__xludf.DUMMYFUNCTION("""COMPUTED_VALUE"""),7000000.0)</f>
        <v>7000000</v>
      </c>
      <c r="W115" s="20">
        <f>IFERROR(__xludf.DUMMYFUNCTION("""COMPUTED_VALUE"""),7000000.0)</f>
        <v>7000000</v>
      </c>
      <c r="X115" s="21">
        <f>IFERROR(__xludf.DUMMYFUNCTION("""COMPUTED_VALUE"""),0.3)</f>
        <v>0.3</v>
      </c>
      <c r="Y115" s="17"/>
    </row>
    <row r="116">
      <c r="A116" s="17">
        <f>IFERROR(__xludf.DUMMYFUNCTION("""COMPUTED_VALUE"""),113.0)</f>
        <v>113</v>
      </c>
      <c r="B116" s="18" t="str">
        <f>IFERROR(__xludf.DUMMYFUNCTION("""COMPUTED_VALUE"""),"fandidk")</f>
        <v>fandidk</v>
      </c>
      <c r="C116" s="23">
        <f>IFERROR(__xludf.DUMMYFUNCTION("""COMPUTED_VALUE"""),267000.0)</f>
        <v>267000</v>
      </c>
      <c r="D116" s="17" t="str">
        <f>IFERROR(__xludf.DUMMYFUNCTION("""COMPUTED_VALUE"""),"Mid")</f>
        <v>Mid</v>
      </c>
      <c r="E116" s="18" t="str">
        <f>IFERROR(__xludf.DUMMYFUNCTION("""COMPUTED_VALUE"""),"fandidk6")</f>
        <v>fandidk6</v>
      </c>
      <c r="F116" s="23">
        <f>IFERROR(__xludf.DUMMYFUNCTION("""COMPUTED_VALUE"""),110400.0)</f>
        <v>110400</v>
      </c>
      <c r="G116" s="17" t="str">
        <f>IFERROR(__xludf.DUMMYFUNCTION("""COMPUTED_VALUE"""),"Mid")</f>
        <v>Mid</v>
      </c>
      <c r="H116" s="17" t="str">
        <f>IFERROR(__xludf.DUMMYFUNCTION("""COMPUTED_VALUE"""),"Bandung &amp; Jakarta")</f>
        <v>Bandung &amp; Jakarta</v>
      </c>
      <c r="I116" s="17" t="str">
        <f>IFERROR(__xludf.DUMMYFUNCTION("""COMPUTED_VALUE"""),"Gaming")</f>
        <v>Gaming</v>
      </c>
      <c r="J116" s="17"/>
      <c r="K116" s="20">
        <f>IFERROR(__xludf.DUMMYFUNCTION("""COMPUTED_VALUE"""),3500000.0)</f>
        <v>3500000</v>
      </c>
      <c r="L116" s="20">
        <f>IFERROR(__xludf.DUMMYFUNCTION("""COMPUTED_VALUE"""),4000000.0)</f>
        <v>4000000</v>
      </c>
      <c r="M116" s="20" t="str">
        <f>IFERROR(__xludf.DUMMYFUNCTION("""COMPUTED_VALUE"""),"FREE")</f>
        <v>FREE</v>
      </c>
      <c r="N116" s="20">
        <f>IFERROR(__xludf.DUMMYFUNCTION("""COMPUTED_VALUE"""),5000000.0)</f>
        <v>5000000</v>
      </c>
      <c r="O116" s="20">
        <f>IFERROR(__xludf.DUMMYFUNCTION("""COMPUTED_VALUE"""),6000000.0)</f>
        <v>6000000</v>
      </c>
      <c r="P116" s="20">
        <f>IFERROR(__xludf.DUMMYFUNCTION("""COMPUTED_VALUE"""),7000000.0)</f>
        <v>7000000</v>
      </c>
      <c r="Q116" s="20" t="str">
        <f>IFERROR(__xludf.DUMMYFUNCTION("""COMPUTED_VALUE"""),"FREE")</f>
        <v>FREE</v>
      </c>
      <c r="R116" s="20">
        <f>IFERROR(__xludf.DUMMYFUNCTION("""COMPUTED_VALUE"""),7000000.0)</f>
        <v>7000000</v>
      </c>
      <c r="S116" s="20">
        <f>IFERROR(__xludf.DUMMYFUNCTION("""COMPUTED_VALUE"""),1.0E7)</f>
        <v>10000000</v>
      </c>
      <c r="T116" s="20">
        <f>IFERROR(__xludf.DUMMYFUNCTION("""COMPUTED_VALUE"""),1.0E7)</f>
        <v>10000000</v>
      </c>
      <c r="U116" s="21">
        <f>IFERROR(__xludf.DUMMYFUNCTION("""COMPUTED_VALUE"""),1.0)</f>
        <v>1</v>
      </c>
      <c r="V116" s="20">
        <f>IFERROR(__xludf.DUMMYFUNCTION("""COMPUTED_VALUE"""),2000000.0)</f>
        <v>2000000</v>
      </c>
      <c r="W116" s="20" t="str">
        <f>IFERROR(__xludf.DUMMYFUNCTION("""COMPUTED_VALUE"""),"Rp1,000,000/item")</f>
        <v>Rp1,000,000/item</v>
      </c>
      <c r="X116" s="20">
        <f>IFERROR(__xludf.DUMMYFUNCTION("""COMPUTED_VALUE"""),1.0E7)</f>
        <v>10000000</v>
      </c>
      <c r="Y116" s="17"/>
    </row>
    <row r="117">
      <c r="A117" s="17">
        <f>IFERROR(__xludf.DUMMYFUNCTION("""COMPUTED_VALUE"""),114.0)</f>
        <v>114</v>
      </c>
      <c r="B117" s="18" t="str">
        <f>IFERROR(__xludf.DUMMYFUNCTION("""COMPUTED_VALUE"""),"kairirds")</f>
        <v>kairirds</v>
      </c>
      <c r="C117" s="19">
        <f>IFERROR(__xludf.DUMMYFUNCTION("""COMPUTED_VALUE"""),1600000.0)</f>
        <v>1600000</v>
      </c>
      <c r="D117" s="17" t="str">
        <f>IFERROR(__xludf.DUMMYFUNCTION("""COMPUTED_VALUE"""),"Mega")</f>
        <v>Mega</v>
      </c>
      <c r="E117" s="18" t="str">
        <f>IFERROR(__xludf.DUMMYFUNCTION("""COMPUTED_VALUE"""),"kairirisolmayo")</f>
        <v>kairirisolmayo</v>
      </c>
      <c r="F117" s="19">
        <f>IFERROR(__xludf.DUMMYFUNCTION("""COMPUTED_VALUE"""),1700000.0)</f>
        <v>1700000</v>
      </c>
      <c r="G117" s="17" t="str">
        <f>IFERROR(__xludf.DUMMYFUNCTION("""COMPUTED_VALUE"""),"Mega")</f>
        <v>Mega</v>
      </c>
      <c r="H117" s="17" t="str">
        <f>IFERROR(__xludf.DUMMYFUNCTION("""COMPUTED_VALUE"""),"Jakarta")</f>
        <v>Jakarta</v>
      </c>
      <c r="I117" s="17" t="str">
        <f>IFERROR(__xludf.DUMMYFUNCTION("""COMPUTED_VALUE"""),"Gaming")</f>
        <v>Gaming</v>
      </c>
      <c r="J117" s="17"/>
      <c r="K117" s="20">
        <f>IFERROR(__xludf.DUMMYFUNCTION("""COMPUTED_VALUE"""),1.75E7)</f>
        <v>17500000</v>
      </c>
      <c r="L117" s="20">
        <f>IFERROR(__xludf.DUMMYFUNCTION("""COMPUTED_VALUE"""),6.0E7)</f>
        <v>60000000</v>
      </c>
      <c r="M117" s="20">
        <f>IFERROR(__xludf.DUMMYFUNCTION("""COMPUTED_VALUE"""),2500000.0)</f>
        <v>2500000</v>
      </c>
      <c r="N117" s="20">
        <f>IFERROR(__xludf.DUMMYFUNCTION("""COMPUTED_VALUE"""),3.0E7)</f>
        <v>30000000</v>
      </c>
      <c r="O117" s="20">
        <f>IFERROR(__xludf.DUMMYFUNCTION("""COMPUTED_VALUE"""),3.5E7)</f>
        <v>35000000</v>
      </c>
      <c r="P117" s="20">
        <f>IFERROR(__xludf.DUMMYFUNCTION("""COMPUTED_VALUE"""),3.2E7)</f>
        <v>32000000</v>
      </c>
      <c r="Q117" s="20">
        <f>IFERROR(__xludf.DUMMYFUNCTION("""COMPUTED_VALUE"""),2000000.0)</f>
        <v>2000000</v>
      </c>
      <c r="R117" s="20">
        <f>IFERROR(__xludf.DUMMYFUNCTION("""COMPUTED_VALUE"""),2.0E7)</f>
        <v>20000000</v>
      </c>
      <c r="S117" s="20">
        <f>IFERROR(__xludf.DUMMYFUNCTION("""COMPUTED_VALUE"""),5.2E7)</f>
        <v>52000000</v>
      </c>
      <c r="T117" s="20">
        <f>IFERROR(__xludf.DUMMYFUNCTION("""COMPUTED_VALUE"""),3.6E7)</f>
        <v>36000000</v>
      </c>
      <c r="U117" s="20">
        <f>IFERROR(__xludf.DUMMYFUNCTION("""COMPUTED_VALUE"""),6000000.0)</f>
        <v>6000000</v>
      </c>
      <c r="V117" s="20">
        <f>IFERROR(__xludf.DUMMYFUNCTION("""COMPUTED_VALUE"""),9600000.0)</f>
        <v>9600000</v>
      </c>
      <c r="W117" s="20">
        <f>IFERROR(__xludf.DUMMYFUNCTION("""COMPUTED_VALUE"""),5000000.0)</f>
        <v>5000000</v>
      </c>
      <c r="X117" s="20">
        <f>IFERROR(__xludf.DUMMYFUNCTION("""COMPUTED_VALUE"""),3.5E7)</f>
        <v>35000000</v>
      </c>
      <c r="Y117" s="17"/>
    </row>
    <row r="118">
      <c r="A118" s="17">
        <f>IFERROR(__xludf.DUMMYFUNCTION("""COMPUTED_VALUE"""),115.0)</f>
        <v>115</v>
      </c>
      <c r="B118" s="18" t="str">
        <f>IFERROR(__xludf.DUMMYFUNCTION("""COMPUTED_VALUE"""),"luthfihalimawan")</f>
        <v>luthfihalimawan</v>
      </c>
      <c r="C118" s="23">
        <f>IFERROR(__xludf.DUMMYFUNCTION("""COMPUTED_VALUE"""),813000.0)</f>
        <v>813000</v>
      </c>
      <c r="D118" s="17" t="str">
        <f>IFERROR(__xludf.DUMMYFUNCTION("""COMPUTED_VALUE"""),"Macro")</f>
        <v>Macro</v>
      </c>
      <c r="E118" s="18" t="str">
        <f>IFERROR(__xludf.DUMMYFUNCTION("""COMPUTED_VALUE"""),"luthfihalimawan42")</f>
        <v>luthfihalimawan42</v>
      </c>
      <c r="F118" s="23">
        <f>IFERROR(__xludf.DUMMYFUNCTION("""COMPUTED_VALUE"""),142800.0)</f>
        <v>142800</v>
      </c>
      <c r="G118" s="17" t="str">
        <f>IFERROR(__xludf.DUMMYFUNCTION("""COMPUTED_VALUE"""),"Mid")</f>
        <v>Mid</v>
      </c>
      <c r="H118" s="17" t="str">
        <f>IFERROR(__xludf.DUMMYFUNCTION("""COMPUTED_VALUE"""),"Jakarta")</f>
        <v>Jakarta</v>
      </c>
      <c r="I118" s="17" t="str">
        <f>IFERROR(__xludf.DUMMYFUNCTION("""COMPUTED_VALUE"""),"Gaming")</f>
        <v>Gaming</v>
      </c>
      <c r="J118" s="17"/>
      <c r="K118" s="20">
        <f>IFERROR(__xludf.DUMMYFUNCTION("""COMPUTED_VALUE"""),1.15E7)</f>
        <v>11500000</v>
      </c>
      <c r="L118" s="17"/>
      <c r="M118" s="17"/>
      <c r="N118" s="20">
        <f>IFERROR(__xludf.DUMMYFUNCTION("""COMPUTED_VALUE"""),2.0E7)</f>
        <v>20000000</v>
      </c>
      <c r="O118" s="17"/>
      <c r="P118" s="20">
        <f>IFERROR(__xludf.DUMMYFUNCTION("""COMPUTED_VALUE"""),2.6E7)</f>
        <v>26000000</v>
      </c>
      <c r="Q118" s="17"/>
      <c r="R118" s="20">
        <f>IFERROR(__xludf.DUMMYFUNCTION("""COMPUTED_VALUE"""),2.4E7)</f>
        <v>24000000</v>
      </c>
      <c r="S118" s="17"/>
      <c r="T118" s="17"/>
      <c r="U118" s="17"/>
      <c r="V118" s="17"/>
      <c r="W118" s="17"/>
      <c r="X118" s="17"/>
      <c r="Y118" s="17"/>
    </row>
    <row r="119">
      <c r="A119" s="17">
        <f>IFERROR(__xludf.DUMMYFUNCTION("""COMPUTED_VALUE"""),116.0)</f>
        <v>116</v>
      </c>
      <c r="B119" s="18" t="str">
        <f>IFERROR(__xludf.DUMMYFUNCTION("""COMPUTED_VALUE"""),"fachrulhadid")</f>
        <v>fachrulhadid</v>
      </c>
      <c r="C119" s="23">
        <f>IFERROR(__xludf.DUMMYFUNCTION("""COMPUTED_VALUE"""),770000.0)</f>
        <v>770000</v>
      </c>
      <c r="D119" s="17" t="str">
        <f>IFERROR(__xludf.DUMMYFUNCTION("""COMPUTED_VALUE"""),"Macro")</f>
        <v>Macro</v>
      </c>
      <c r="E119" s="18" t="str">
        <f>IFERROR(__xludf.DUMMYFUNCTION("""COMPUTED_VALUE"""),"fachrulhadid")</f>
        <v>fachrulhadid</v>
      </c>
      <c r="F119" s="26">
        <f>IFERROR(__xludf.DUMMYFUNCTION("""COMPUTED_VALUE"""),2700000.0)</f>
        <v>2700000</v>
      </c>
      <c r="G119" s="17" t="str">
        <f>IFERROR(__xludf.DUMMYFUNCTION("""COMPUTED_VALUE"""),"Mega")</f>
        <v>Mega</v>
      </c>
      <c r="H119" s="17" t="str">
        <f>IFERROR(__xludf.DUMMYFUNCTION("""COMPUTED_VALUE"""),"Jakarta")</f>
        <v>Jakarta</v>
      </c>
      <c r="I119" s="17" t="str">
        <f>IFERROR(__xludf.DUMMYFUNCTION("""COMPUTED_VALUE"""),"- Lifestyle Male
- Comedy")</f>
        <v>- Lifestyle Male
- Comedy</v>
      </c>
      <c r="J119" s="17"/>
      <c r="K119" s="20">
        <f>IFERROR(__xludf.DUMMYFUNCTION("""COMPUTED_VALUE"""),9000000.0)</f>
        <v>9000000</v>
      </c>
      <c r="L119" s="20">
        <f>IFERROR(__xludf.DUMMYFUNCTION("""COMPUTED_VALUE"""),2.5E7)</f>
        <v>25000000</v>
      </c>
      <c r="M119" s="20" t="str">
        <f>IFERROR(__xludf.DUMMYFUNCTION("""COMPUTED_VALUE"""),"Rp1,000,000 (Story)
Rp3,000,000 (Session)")</f>
        <v>Rp1,000,000 (Story)
Rp3,000,000 (Session)</v>
      </c>
      <c r="N119" s="20">
        <f>IFERROR(__xludf.DUMMYFUNCTION("""COMPUTED_VALUE"""),1.5E7)</f>
        <v>15000000</v>
      </c>
      <c r="O119" s="20">
        <f>IFERROR(__xludf.DUMMYFUNCTION("""COMPUTED_VALUE"""),3.5E7)</f>
        <v>35000000</v>
      </c>
      <c r="P119" s="20">
        <f>IFERROR(__xludf.DUMMYFUNCTION("""COMPUTED_VALUE"""),2.5E7)</f>
        <v>25000000</v>
      </c>
      <c r="Q119" s="21">
        <f>IFERROR(__xludf.DUMMYFUNCTION("""COMPUTED_VALUE"""),0.5)</f>
        <v>0.5</v>
      </c>
      <c r="R119" s="20">
        <f>IFERROR(__xludf.DUMMYFUNCTION("""COMPUTED_VALUE"""),3.5E7)</f>
        <v>35000000</v>
      </c>
      <c r="S119" s="20">
        <f>IFERROR(__xludf.DUMMYFUNCTION("""COMPUTED_VALUE"""),2.5E7)</f>
        <v>25000000</v>
      </c>
      <c r="T119" s="20">
        <f>IFERROR(__xludf.DUMMYFUNCTION("""COMPUTED_VALUE"""),3.5E7)</f>
        <v>35000000</v>
      </c>
      <c r="U119" s="21">
        <f>IFERROR(__xludf.DUMMYFUNCTION("""COMPUTED_VALUE"""),1.0)</f>
        <v>1</v>
      </c>
      <c r="V119" s="21">
        <f>IFERROR(__xludf.DUMMYFUNCTION("""COMPUTED_VALUE"""),0.3)</f>
        <v>0.3</v>
      </c>
      <c r="W119" s="21">
        <f>IFERROR(__xludf.DUMMYFUNCTION("""COMPUTED_VALUE"""),0.3)</f>
        <v>0.3</v>
      </c>
      <c r="X119" s="20">
        <f>IFERROR(__xludf.DUMMYFUNCTION("""COMPUTED_VALUE"""),1.5E7)</f>
        <v>15000000</v>
      </c>
      <c r="Y119" s="17"/>
    </row>
    <row r="120">
      <c r="A120" s="17">
        <f>IFERROR(__xludf.DUMMYFUNCTION("""COMPUTED_VALUE"""),117.0)</f>
        <v>117</v>
      </c>
      <c r="B120" s="17" t="str">
        <f>IFERROR(__xludf.DUMMYFUNCTION("""COMPUTED_VALUE"""),"TikTok Only")</f>
        <v>TikTok Only</v>
      </c>
      <c r="C120" s="17"/>
      <c r="D120" s="17" t="str">
        <f>IFERROR(__xludf.DUMMYFUNCTION("""COMPUTED_VALUE"""),"Nano")</f>
        <v>Nano</v>
      </c>
      <c r="E120" s="24" t="str">
        <f>IFERROR(__xludf.DUMMYFUNCTION("""COMPUTED_VALUE"""),"rifaneyy0")</f>
        <v>rifaneyy0</v>
      </c>
      <c r="F120" s="19">
        <f>IFERROR(__xludf.DUMMYFUNCTION("""COMPUTED_VALUE"""),3500000.0)</f>
        <v>3500000</v>
      </c>
      <c r="G120" s="17" t="str">
        <f>IFERROR(__xludf.DUMMYFUNCTION("""COMPUTED_VALUE"""),"Mega")</f>
        <v>Mega</v>
      </c>
      <c r="H120" s="17" t="str">
        <f>IFERROR(__xludf.DUMMYFUNCTION("""COMPUTED_VALUE"""),"Jakarta")</f>
        <v>Jakarta</v>
      </c>
      <c r="I120" s="17" t="str">
        <f>IFERROR(__xludf.DUMMYFUNCTION("""COMPUTED_VALUE"""),"- Comedy ")</f>
        <v>- Comedy </v>
      </c>
      <c r="J120" s="17"/>
      <c r="K120" s="20">
        <f>IFERROR(__xludf.DUMMYFUNCTION("""COMPUTED_VALUE"""),6000000.0)</f>
        <v>6000000</v>
      </c>
      <c r="L120" s="17"/>
      <c r="M120" s="17"/>
      <c r="N120" s="17"/>
      <c r="O120" s="17"/>
      <c r="P120" s="17"/>
      <c r="Q120" s="21">
        <f>IFERROR(__xludf.DUMMYFUNCTION("""COMPUTED_VALUE"""),0.3)</f>
        <v>0.3</v>
      </c>
      <c r="R120" s="20" t="str">
        <f>IFERROR(__xludf.DUMMYFUNCTION("""COMPUTED_VALUE"""),"Rp35,000,000
Visit: Rp40,000,000")</f>
        <v>Rp35,000,000
Visit: Rp40,000,000</v>
      </c>
      <c r="S120" s="20" t="str">
        <f>IFERROR(__xludf.DUMMYFUNCTION("""COMPUTED_VALUE"""),"Mirroring IG Reels @fachrulhadid_
Rp45,000,000
")</f>
        <v>Mirroring IG Reels @fachrulhadid_
Rp45,000,000
</v>
      </c>
      <c r="T120" s="20">
        <f>IFERROR(__xludf.DUMMYFUNCTION("""COMPUTED_VALUE"""),3.0E7)</f>
        <v>30000000</v>
      </c>
      <c r="U120" s="21">
        <f>IFERROR(__xludf.DUMMYFUNCTION("""COMPUTED_VALUE"""),1.0)</f>
        <v>1</v>
      </c>
      <c r="V120" s="21">
        <f>IFERROR(__xludf.DUMMYFUNCTION("""COMPUTED_VALUE"""),0.3)</f>
        <v>0.3</v>
      </c>
      <c r="W120" s="17"/>
      <c r="X120" s="20">
        <f>IFERROR(__xludf.DUMMYFUNCTION("""COMPUTED_VALUE"""),2.8E7)</f>
        <v>28000000</v>
      </c>
      <c r="Y120" s="17"/>
    </row>
    <row r="121">
      <c r="A121" s="17">
        <f>IFERROR(__xludf.DUMMYFUNCTION("""COMPUTED_VALUE"""),118.0)</f>
        <v>118</v>
      </c>
      <c r="B121" s="18" t="str">
        <f>IFERROR(__xludf.DUMMYFUNCTION("""COMPUTED_VALUE"""),"angga")</f>
        <v>angga</v>
      </c>
      <c r="C121" s="19">
        <f>IFERROR(__xludf.DUMMYFUNCTION("""COMPUTED_VALUE"""),1.14E7)</f>
        <v>11400000</v>
      </c>
      <c r="D121" s="17" t="str">
        <f>IFERROR(__xludf.DUMMYFUNCTION("""COMPUTED_VALUE"""),"Mega")</f>
        <v>Mega</v>
      </c>
      <c r="E121" s="24" t="str">
        <f>IFERROR(__xludf.DUMMYFUNCTION("""COMPUTED_VALUE"""),"angga.yunanda")</f>
        <v>angga.yunanda</v>
      </c>
      <c r="F121" s="19">
        <f>IFERROR(__xludf.DUMMYFUNCTION("""COMPUTED_VALUE"""),1800000.0)</f>
        <v>1800000</v>
      </c>
      <c r="G121" s="17" t="str">
        <f>IFERROR(__xludf.DUMMYFUNCTION("""COMPUTED_VALUE"""),"Mega")</f>
        <v>Mega</v>
      </c>
      <c r="H121" s="17" t="str">
        <f>IFERROR(__xludf.DUMMYFUNCTION("""COMPUTED_VALUE"""),"Jakarta")</f>
        <v>Jakarta</v>
      </c>
      <c r="I121" s="17" t="str">
        <f>IFERROR(__xludf.DUMMYFUNCTION("""COMPUTED_VALUE"""),"- Actor/Actress")</f>
        <v>- Actor/Actress</v>
      </c>
      <c r="J121" s="17"/>
      <c r="K121" s="20">
        <f>IFERROR(__xludf.DUMMYFUNCTION("""COMPUTED_VALUE"""),3.5E7)</f>
        <v>35000000</v>
      </c>
      <c r="L121" s="20">
        <f>IFERROR(__xludf.DUMMYFUNCTION("""COMPUTED_VALUE"""),5.0E7)</f>
        <v>50000000</v>
      </c>
      <c r="M121" s="20">
        <f>IFERROR(__xludf.DUMMYFUNCTION("""COMPUTED_VALUE"""),5000000.0)</f>
        <v>5000000</v>
      </c>
      <c r="N121" s="20">
        <f>IFERROR(__xludf.DUMMYFUNCTION("""COMPUTED_VALUE"""),6.0E7)</f>
        <v>60000000</v>
      </c>
      <c r="O121" s="20">
        <f>IFERROR(__xludf.DUMMYFUNCTION("""COMPUTED_VALUE"""),8.5E7)</f>
        <v>85000000</v>
      </c>
      <c r="P121" s="20">
        <f>IFERROR(__xludf.DUMMYFUNCTION("""COMPUTED_VALUE"""),7.5E7)</f>
        <v>75000000</v>
      </c>
      <c r="Q121" s="20">
        <f>IFERROR(__xludf.DUMMYFUNCTION("""COMPUTED_VALUE"""),1.5E7)</f>
        <v>15000000</v>
      </c>
      <c r="R121" s="20">
        <f>IFERROR(__xludf.DUMMYFUNCTION("""COMPUTED_VALUE"""),7.0E7)</f>
        <v>70000000</v>
      </c>
      <c r="S121" s="20">
        <f>IFERROR(__xludf.DUMMYFUNCTION("""COMPUTED_VALUE"""),1.0E8)</f>
        <v>100000000</v>
      </c>
      <c r="T121" s="20">
        <f>IFERROR(__xludf.DUMMYFUNCTION("""COMPUTED_VALUE"""),8.0E7)</f>
        <v>80000000</v>
      </c>
      <c r="U121" s="20">
        <f>IFERROR(__xludf.DUMMYFUNCTION("""COMPUTED_VALUE"""),1.5E7)</f>
        <v>15000000</v>
      </c>
      <c r="V121" s="20">
        <f>IFERROR(__xludf.DUMMYFUNCTION("""COMPUTED_VALUE"""),1.0E7)</f>
        <v>10000000</v>
      </c>
      <c r="W121" s="20">
        <f>IFERROR(__xludf.DUMMYFUNCTION("""COMPUTED_VALUE"""),3000000.0)</f>
        <v>3000000</v>
      </c>
      <c r="X121" s="20">
        <f>IFERROR(__xludf.DUMMYFUNCTION("""COMPUTED_VALUE"""),8.0E7)</f>
        <v>80000000</v>
      </c>
      <c r="Y121" s="17"/>
    </row>
    <row r="122">
      <c r="A122" s="17">
        <f>IFERROR(__xludf.DUMMYFUNCTION("""COMPUTED_VALUE"""),119.0)</f>
        <v>119</v>
      </c>
      <c r="B122" s="18" t="str">
        <f>IFERROR(__xludf.DUMMYFUNCTION("""COMPUTED_VALUE"""),"dindacresheilla")</f>
        <v>dindacresheilla</v>
      </c>
      <c r="C122" s="23">
        <f>IFERROR(__xludf.DUMMYFUNCTION("""COMPUTED_VALUE"""),205000.0)</f>
        <v>205000</v>
      </c>
      <c r="D122" s="17" t="str">
        <f>IFERROR(__xludf.DUMMYFUNCTION("""COMPUTED_VALUE"""),"Mid")</f>
        <v>Mid</v>
      </c>
      <c r="E122" s="24" t="str">
        <f>IFERROR(__xludf.DUMMYFUNCTION("""COMPUTED_VALUE"""),"dindacresheilla")</f>
        <v>dindacresheilla</v>
      </c>
      <c r="F122" s="23">
        <f>IFERROR(__xludf.DUMMYFUNCTION("""COMPUTED_VALUE"""),10600.0)</f>
        <v>10600</v>
      </c>
      <c r="G122" s="17" t="str">
        <f>IFERROR(__xludf.DUMMYFUNCTION("""COMPUTED_VALUE"""),"Micro")</f>
        <v>Micro</v>
      </c>
      <c r="H122" s="17" t="str">
        <f>IFERROR(__xludf.DUMMYFUNCTION("""COMPUTED_VALUE"""),"Jakarta")</f>
        <v>Jakarta</v>
      </c>
      <c r="I122" s="17" t="str">
        <f>IFERROR(__xludf.DUMMYFUNCTION("""COMPUTED_VALUE"""),"- Actor/Actress")</f>
        <v>- Actor/Actress</v>
      </c>
      <c r="J122" s="17"/>
      <c r="K122" s="20">
        <f>IFERROR(__xludf.DUMMYFUNCTION("""COMPUTED_VALUE"""),7000000.0)</f>
        <v>7000000</v>
      </c>
      <c r="L122" s="20">
        <f>IFERROR(__xludf.DUMMYFUNCTION("""COMPUTED_VALUE"""),1.0E7)</f>
        <v>10000000</v>
      </c>
      <c r="M122" s="20">
        <f>IFERROR(__xludf.DUMMYFUNCTION("""COMPUTED_VALUE"""),2000000.0)</f>
        <v>2000000</v>
      </c>
      <c r="N122" s="20">
        <f>IFERROR(__xludf.DUMMYFUNCTION("""COMPUTED_VALUE"""),1.0E7)</f>
        <v>10000000</v>
      </c>
      <c r="O122" s="20">
        <f>IFERROR(__xludf.DUMMYFUNCTION("""COMPUTED_VALUE"""),1.5E7)</f>
        <v>15000000</v>
      </c>
      <c r="P122" s="20">
        <f>IFERROR(__xludf.DUMMYFUNCTION("""COMPUTED_VALUE"""),2.5E7)</f>
        <v>25000000</v>
      </c>
      <c r="Q122" s="20">
        <f>IFERROR(__xludf.DUMMYFUNCTION("""COMPUTED_VALUE"""),2500000.0)</f>
        <v>2500000</v>
      </c>
      <c r="R122" s="20">
        <f>IFERROR(__xludf.DUMMYFUNCTION("""COMPUTED_VALUE"""),8000000.0)</f>
        <v>8000000</v>
      </c>
      <c r="S122" s="20">
        <f>IFERROR(__xludf.DUMMYFUNCTION("""COMPUTED_VALUE"""),3.0E7)</f>
        <v>30000000</v>
      </c>
      <c r="T122" s="20">
        <f>IFERROR(__xludf.DUMMYFUNCTION("""COMPUTED_VALUE"""),1.5E7)</f>
        <v>15000000</v>
      </c>
      <c r="U122" s="20">
        <f>IFERROR(__xludf.DUMMYFUNCTION("""COMPUTED_VALUE"""),2500000.0)</f>
        <v>2500000</v>
      </c>
      <c r="V122" s="20">
        <f>IFERROR(__xludf.DUMMYFUNCTION("""COMPUTED_VALUE"""),2500000.0)</f>
        <v>2500000</v>
      </c>
      <c r="W122" s="20">
        <f>IFERROR(__xludf.DUMMYFUNCTION("""COMPUTED_VALUE"""),1000000.0)</f>
        <v>1000000</v>
      </c>
      <c r="X122" s="20">
        <f>IFERROR(__xludf.DUMMYFUNCTION("""COMPUTED_VALUE"""),2.5E7)</f>
        <v>25000000</v>
      </c>
      <c r="Y122" s="17"/>
    </row>
    <row r="123">
      <c r="A123" s="17">
        <f>IFERROR(__xludf.DUMMYFUNCTION("""COMPUTED_VALUE"""),120.0)</f>
        <v>120</v>
      </c>
      <c r="B123" s="18" t="str">
        <f>IFERROR(__xludf.DUMMYFUNCTION("""COMPUTED_VALUE"""),"esthernataliaa")</f>
        <v>esthernataliaa</v>
      </c>
      <c r="C123" s="23">
        <f>IFERROR(__xludf.DUMMYFUNCTION("""COMPUTED_VALUE"""),124000.0)</f>
        <v>124000</v>
      </c>
      <c r="D123" s="17" t="str">
        <f>IFERROR(__xludf.DUMMYFUNCTION("""COMPUTED_VALUE"""),"Mid")</f>
        <v>Mid</v>
      </c>
      <c r="E123" s="24" t="str">
        <f>IFERROR(__xludf.DUMMYFUNCTION("""COMPUTED_VALUE"""),"estherlubis")</f>
        <v>estherlubis</v>
      </c>
      <c r="F123" s="23">
        <f>IFERROR(__xludf.DUMMYFUNCTION("""COMPUTED_VALUE"""),972800.0)</f>
        <v>972800</v>
      </c>
      <c r="G123" s="17" t="str">
        <f>IFERROR(__xludf.DUMMYFUNCTION("""COMPUTED_VALUE"""),"Macro")</f>
        <v>Macro</v>
      </c>
      <c r="H123" s="17" t="str">
        <f>IFERROR(__xludf.DUMMYFUNCTION("""COMPUTED_VALUE"""),"Jakarta")</f>
        <v>Jakarta</v>
      </c>
      <c r="I123" s="17" t="str">
        <f>IFERROR(__xludf.DUMMYFUNCTION("""COMPUTED_VALUE"""),"- Education")</f>
        <v>- Education</v>
      </c>
      <c r="J123" s="17"/>
      <c r="K123" s="20">
        <f>IFERROR(__xludf.DUMMYFUNCTION("""COMPUTED_VALUE"""),1000000.0)</f>
        <v>1000000</v>
      </c>
      <c r="L123" s="20">
        <f>IFERROR(__xludf.DUMMYFUNCTION("""COMPUTED_VALUE"""),3000000.0)</f>
        <v>3000000</v>
      </c>
      <c r="M123" s="20" t="str">
        <f>IFERROR(__xludf.DUMMYFUNCTION("""COMPUTED_VALUE"""),"FREE")</f>
        <v>FREE</v>
      </c>
      <c r="N123" s="20">
        <f>IFERROR(__xludf.DUMMYFUNCTION("""COMPUTED_VALUE"""),3000000.0)</f>
        <v>3000000</v>
      </c>
      <c r="O123" s="20">
        <f>IFERROR(__xludf.DUMMYFUNCTION("""COMPUTED_VALUE"""),4500000.0)</f>
        <v>4500000</v>
      </c>
      <c r="P123" s="20">
        <f>IFERROR(__xludf.DUMMYFUNCTION("""COMPUTED_VALUE"""),7000000.0)</f>
        <v>7000000</v>
      </c>
      <c r="Q123" s="20">
        <f>IFERROR(__xludf.DUMMYFUNCTION("""COMPUTED_VALUE"""),1000000.0)</f>
        <v>1000000</v>
      </c>
      <c r="R123" s="20">
        <f>IFERROR(__xludf.DUMMYFUNCTION("""COMPUTED_VALUE"""),1.0E7)</f>
        <v>10000000</v>
      </c>
      <c r="S123" s="17"/>
      <c r="T123" s="20">
        <f>IFERROR(__xludf.DUMMYFUNCTION("""COMPUTED_VALUE"""),8000000.0)</f>
        <v>8000000</v>
      </c>
      <c r="U123" s="21">
        <f>IFERROR(__xludf.DUMMYFUNCTION("""COMPUTED_VALUE"""),0.5)</f>
        <v>0.5</v>
      </c>
      <c r="V123" s="17"/>
      <c r="W123" s="17"/>
      <c r="X123" s="20">
        <f>IFERROR(__xludf.DUMMYFUNCTION("""COMPUTED_VALUE"""),7000000.0)</f>
        <v>7000000</v>
      </c>
      <c r="Y123" s="17"/>
    </row>
    <row r="124">
      <c r="A124" s="17">
        <f>IFERROR(__xludf.DUMMYFUNCTION("""COMPUTED_VALUE"""),121.0)</f>
        <v>121</v>
      </c>
      <c r="B124" s="18" t="str">
        <f>IFERROR(__xludf.DUMMYFUNCTION("""COMPUTED_VALUE"""),"renaldfadli")</f>
        <v>renaldfadli</v>
      </c>
      <c r="C124" s="19">
        <f>IFERROR(__xludf.DUMMYFUNCTION("""COMPUTED_VALUE"""),1900000.0)</f>
        <v>1900000</v>
      </c>
      <c r="D124" s="17" t="str">
        <f>IFERROR(__xludf.DUMMYFUNCTION("""COMPUTED_VALUE"""),"Mega")</f>
        <v>Mega</v>
      </c>
      <c r="E124" s="24" t="str">
        <f>IFERROR(__xludf.DUMMYFUNCTION("""COMPUTED_VALUE"""),"mahasiswagendut")</f>
        <v>mahasiswagendut</v>
      </c>
      <c r="F124" s="19">
        <f>IFERROR(__xludf.DUMMYFUNCTION("""COMPUTED_VALUE"""),3300000.0)</f>
        <v>3300000</v>
      </c>
      <c r="G124" s="17" t="str">
        <f>IFERROR(__xludf.DUMMYFUNCTION("""COMPUTED_VALUE"""),"Mega")</f>
        <v>Mega</v>
      </c>
      <c r="H124" s="17" t="str">
        <f>IFERROR(__xludf.DUMMYFUNCTION("""COMPUTED_VALUE"""),"Jakarta")</f>
        <v>Jakarta</v>
      </c>
      <c r="I124" s="17" t="str">
        <f>IFERROR(__xludf.DUMMYFUNCTION("""COMPUTED_VALUE"""),"- FnB
- Lifestyle Male
- Entrepreneur")</f>
        <v>- FnB
- Lifestyle Male
- Entrepreneur</v>
      </c>
      <c r="J124" s="17"/>
      <c r="K124" s="17"/>
      <c r="L124" s="20">
        <f>IFERROR(__xludf.DUMMYFUNCTION("""COMPUTED_VALUE"""),8000000.0)</f>
        <v>8000000</v>
      </c>
      <c r="M124" s="17"/>
      <c r="N124" s="17"/>
      <c r="O124" s="20">
        <f>IFERROR(__xludf.DUMMYFUNCTION("""COMPUTED_VALUE"""),1.2E7)</f>
        <v>12000000</v>
      </c>
      <c r="P124" s="20">
        <f>IFERROR(__xludf.DUMMYFUNCTION("""COMPUTED_VALUE"""),1.5E7)</f>
        <v>15000000</v>
      </c>
      <c r="Q124" s="17"/>
      <c r="R124" s="20">
        <f>IFERROR(__xludf.DUMMYFUNCTION("""COMPUTED_VALUE"""),1.7E7)</f>
        <v>17000000</v>
      </c>
      <c r="S124" s="20">
        <f>IFERROR(__xludf.DUMMYFUNCTION("""COMPUTED_VALUE"""),2.6E7)</f>
        <v>26000000</v>
      </c>
      <c r="T124" s="17"/>
      <c r="U124" s="20">
        <f>IFERROR(__xludf.DUMMYFUNCTION("""COMPUTED_VALUE"""),1.0E7)</f>
        <v>10000000</v>
      </c>
      <c r="V124" s="20">
        <f>IFERROR(__xludf.DUMMYFUNCTION("""COMPUTED_VALUE"""),1000000.0)</f>
        <v>1000000</v>
      </c>
      <c r="W124" s="17"/>
      <c r="X124" s="20">
        <f>IFERROR(__xludf.DUMMYFUNCTION("""COMPUTED_VALUE"""),4000000.0)</f>
        <v>4000000</v>
      </c>
      <c r="Y124" s="17"/>
    </row>
    <row r="125">
      <c r="A125" s="17">
        <f>IFERROR(__xludf.DUMMYFUNCTION("""COMPUTED_VALUE"""),122.0)</f>
        <v>122</v>
      </c>
      <c r="B125" s="18" t="str">
        <f>IFERROR(__xludf.DUMMYFUNCTION("""COMPUTED_VALUE"""),"anak.kuliner")</f>
        <v>anak.kuliner</v>
      </c>
      <c r="C125" s="23">
        <f>IFERROR(__xludf.DUMMYFUNCTION("""COMPUTED_VALUE"""),716000.0)</f>
        <v>716000</v>
      </c>
      <c r="D125" s="17" t="str">
        <f>IFERROR(__xludf.DUMMYFUNCTION("""COMPUTED_VALUE"""),"Macro")</f>
        <v>Macro</v>
      </c>
      <c r="E125" s="24" t="str">
        <f>IFERROR(__xludf.DUMMYFUNCTION("""COMPUTED_VALUE"""),"anakkuliner")</f>
        <v>anakkuliner</v>
      </c>
      <c r="F125" s="23">
        <f>IFERROR(__xludf.DUMMYFUNCTION("""COMPUTED_VALUE"""),518100.0)</f>
        <v>518100</v>
      </c>
      <c r="G125" s="17" t="str">
        <f>IFERROR(__xludf.DUMMYFUNCTION("""COMPUTED_VALUE"""),"Macro")</f>
        <v>Macro</v>
      </c>
      <c r="H125" s="17" t="str">
        <f>IFERROR(__xludf.DUMMYFUNCTION("""COMPUTED_VALUE"""),"Tangerang")</f>
        <v>Tangerang</v>
      </c>
      <c r="I125" s="17" t="str">
        <f>IFERROR(__xludf.DUMMYFUNCTION("""COMPUTED_VALUE"""),"- FnB
- Place Review")</f>
        <v>- FnB
- Place Review</v>
      </c>
      <c r="J125" s="17"/>
      <c r="K125" s="17"/>
      <c r="L125" s="17"/>
      <c r="M125" s="17"/>
      <c r="N125" s="17"/>
      <c r="O125" s="17"/>
      <c r="P125" s="20">
        <f>IFERROR(__xludf.DUMMYFUNCTION("""COMPUTED_VALUE"""),1.8E7)</f>
        <v>18000000</v>
      </c>
      <c r="Q125" s="17"/>
      <c r="R125" s="20">
        <f>IFERROR(__xludf.DUMMYFUNCTION("""COMPUTED_VALUE"""),1.8E7)</f>
        <v>18000000</v>
      </c>
      <c r="S125" s="20">
        <f>IFERROR(__xludf.DUMMYFUNCTION("""COMPUTED_VALUE"""),1000000.0)</f>
        <v>1000000</v>
      </c>
      <c r="T125" s="17"/>
      <c r="U125" s="17"/>
      <c r="V125" s="17"/>
      <c r="W125" s="17"/>
      <c r="X125" s="17"/>
      <c r="Y125" s="17"/>
    </row>
    <row r="126">
      <c r="A126" s="17">
        <f>IFERROR(__xludf.DUMMYFUNCTION("""COMPUTED_VALUE"""),123.0)</f>
        <v>123</v>
      </c>
      <c r="B126" s="18" t="str">
        <f>IFERROR(__xludf.DUMMYFUNCTION("""COMPUTED_VALUE"""),"geraldvincentt")</f>
        <v>geraldvincentt</v>
      </c>
      <c r="C126" s="19">
        <f>IFERROR(__xludf.DUMMYFUNCTION("""COMPUTED_VALUE"""),1000000.0)</f>
        <v>1000000</v>
      </c>
      <c r="D126" s="17" t="str">
        <f>IFERROR(__xludf.DUMMYFUNCTION("""COMPUTED_VALUE"""),"Macro")</f>
        <v>Macro</v>
      </c>
      <c r="E126" s="24" t="str">
        <f>IFERROR(__xludf.DUMMYFUNCTION("""COMPUTED_VALUE"""),"geraldvincentt")</f>
        <v>geraldvincentt</v>
      </c>
      <c r="F126" s="19">
        <f>IFERROR(__xludf.DUMMYFUNCTION("""COMPUTED_VALUE"""),8100000.0)</f>
        <v>8100000</v>
      </c>
      <c r="G126" s="17" t="str">
        <f>IFERROR(__xludf.DUMMYFUNCTION("""COMPUTED_VALUE"""),"Mega")</f>
        <v>Mega</v>
      </c>
      <c r="H126" s="17" t="str">
        <f>IFERROR(__xludf.DUMMYFUNCTION("""COMPUTED_VALUE"""),"Jakarta")</f>
        <v>Jakarta</v>
      </c>
      <c r="I126" s="17" t="str">
        <f>IFERROR(__xludf.DUMMYFUNCTION("""COMPUTED_VALUE"""),"Education")</f>
        <v>Education</v>
      </c>
      <c r="J126" s="17"/>
      <c r="K126" s="20">
        <f>IFERROR(__xludf.DUMMYFUNCTION("""COMPUTED_VALUE"""),7000000.0)</f>
        <v>7000000</v>
      </c>
      <c r="L126" s="17"/>
      <c r="M126" s="17"/>
      <c r="N126" s="20">
        <f>IFERROR(__xludf.DUMMYFUNCTION("""COMPUTED_VALUE"""),8500000.0)</f>
        <v>8500000</v>
      </c>
      <c r="O126" s="20">
        <f>IFERROR(__xludf.DUMMYFUNCTION("""COMPUTED_VALUE"""),9500000.0)</f>
        <v>9500000</v>
      </c>
      <c r="P126" s="20">
        <f>IFERROR(__xludf.DUMMYFUNCTION("""COMPUTED_VALUE"""),2.0E7)</f>
        <v>20000000</v>
      </c>
      <c r="Q126" s="20">
        <f>IFERROR(__xludf.DUMMYFUNCTION("""COMPUTED_VALUE"""),5000000.0)</f>
        <v>5000000</v>
      </c>
      <c r="R126" s="20">
        <f>IFERROR(__xludf.DUMMYFUNCTION("""COMPUTED_VALUE"""),2.25E7)</f>
        <v>22500000</v>
      </c>
      <c r="S126" s="17"/>
      <c r="T126" s="20">
        <f>IFERROR(__xludf.DUMMYFUNCTION("""COMPUTED_VALUE"""),2.5E7)</f>
        <v>25000000</v>
      </c>
      <c r="U126" s="17"/>
      <c r="V126" s="17"/>
      <c r="W126" s="17"/>
      <c r="X126" s="17"/>
      <c r="Y126" s="17"/>
    </row>
    <row r="127">
      <c r="A127" s="17">
        <f>IFERROR(__xludf.DUMMYFUNCTION("""COMPUTED_VALUE"""),124.0)</f>
        <v>124</v>
      </c>
      <c r="B127" s="18" t="str">
        <f>IFERROR(__xludf.DUMMYFUNCTION("""COMPUTED_VALUE"""),"raymondchins")</f>
        <v>raymondchins</v>
      </c>
      <c r="C127" s="19">
        <f>IFERROR(__xludf.DUMMYFUNCTION("""COMPUTED_VALUE"""),1000000.0)</f>
        <v>1000000</v>
      </c>
      <c r="D127" s="17" t="str">
        <f>IFERROR(__xludf.DUMMYFUNCTION("""COMPUTED_VALUE"""),"Macro")</f>
        <v>Macro</v>
      </c>
      <c r="E127" s="24" t="str">
        <f>IFERROR(__xludf.DUMMYFUNCTION("""COMPUTED_VALUE"""),"raymondchins")</f>
        <v>raymondchins</v>
      </c>
      <c r="F127" s="19">
        <f>IFERROR(__xludf.DUMMYFUNCTION("""COMPUTED_VALUE"""),2200000.0)</f>
        <v>2200000</v>
      </c>
      <c r="G127" s="17" t="str">
        <f>IFERROR(__xludf.DUMMYFUNCTION("""COMPUTED_VALUE"""),"Mega")</f>
        <v>Mega</v>
      </c>
      <c r="H127" s="17" t="str">
        <f>IFERROR(__xludf.DUMMYFUNCTION("""COMPUTED_VALUE"""),"Jakarta")</f>
        <v>Jakarta</v>
      </c>
      <c r="I127" s="17" t="str">
        <f>IFERROR(__xludf.DUMMYFUNCTION("""COMPUTED_VALUE"""),"Education")</f>
        <v>Education</v>
      </c>
      <c r="J127" s="17"/>
      <c r="K127" s="20">
        <f>IFERROR(__xludf.DUMMYFUNCTION("""COMPUTED_VALUE"""),1.2E7)</f>
        <v>12000000</v>
      </c>
      <c r="L127" s="20">
        <f>IFERROR(__xludf.DUMMYFUNCTION("""COMPUTED_VALUE"""),3.5E7)</f>
        <v>35000000</v>
      </c>
      <c r="M127" s="17"/>
      <c r="N127" s="20">
        <f>IFERROR(__xludf.DUMMYFUNCTION("""COMPUTED_VALUE"""),5.0E7)</f>
        <v>50000000</v>
      </c>
      <c r="O127" s="20">
        <f>IFERROR(__xludf.DUMMYFUNCTION("""COMPUTED_VALUE"""),6.0E7)</f>
        <v>60000000</v>
      </c>
      <c r="P127" s="20">
        <f>IFERROR(__xludf.DUMMYFUNCTION("""COMPUTED_VALUE"""),5.5E7)</f>
        <v>55000000</v>
      </c>
      <c r="Q127" s="20">
        <f>IFERROR(__xludf.DUMMYFUNCTION("""COMPUTED_VALUE"""),2.75E7)</f>
        <v>27500000</v>
      </c>
      <c r="R127" s="20">
        <f>IFERROR(__xludf.DUMMYFUNCTION("""COMPUTED_VALUE"""),4.0E7)</f>
        <v>40000000</v>
      </c>
      <c r="S127" s="20">
        <f>IFERROR(__xludf.DUMMYFUNCTION("""COMPUTED_VALUE"""),2.75E7)</f>
        <v>27500000</v>
      </c>
      <c r="T127" s="17"/>
      <c r="U127" s="17"/>
      <c r="V127" s="17"/>
      <c r="W127" s="20">
        <f>IFERROR(__xludf.DUMMYFUNCTION("""COMPUTED_VALUE"""),1.5E7)</f>
        <v>15000000</v>
      </c>
      <c r="X127" s="20">
        <f>IFERROR(__xludf.DUMMYFUNCTION("""COMPUTED_VALUE"""),5.5E7)</f>
        <v>55000000</v>
      </c>
      <c r="Y127" s="17"/>
    </row>
    <row r="128">
      <c r="A128" s="17">
        <f>IFERROR(__xludf.DUMMYFUNCTION("""COMPUTED_VALUE"""),125.0)</f>
        <v>125</v>
      </c>
      <c r="B128" s="18" t="str">
        <f>IFERROR(__xludf.DUMMYFUNCTION("""COMPUTED_VALUE"""),"tutorialhidub")</f>
        <v>tutorialhidub</v>
      </c>
      <c r="C128" s="23">
        <f>IFERROR(__xludf.DUMMYFUNCTION("""COMPUTED_VALUE"""),416000.0)</f>
        <v>416000</v>
      </c>
      <c r="D128" s="17" t="str">
        <f>IFERROR(__xludf.DUMMYFUNCTION("""COMPUTED_VALUE"""),"Mid")</f>
        <v>Mid</v>
      </c>
      <c r="E128" s="24" t="str">
        <f>IFERROR(__xludf.DUMMYFUNCTION("""COMPUTED_VALUE"""),"aulianuzl")</f>
        <v>aulianuzl</v>
      </c>
      <c r="F128" s="19">
        <f>IFERROR(__xludf.DUMMYFUNCTION("""COMPUTED_VALUE"""),1200000.0)</f>
        <v>1200000</v>
      </c>
      <c r="G128" s="17" t="str">
        <f>IFERROR(__xludf.DUMMYFUNCTION("""COMPUTED_VALUE"""),"Mega")</f>
        <v>Mega</v>
      </c>
      <c r="H128" s="17" t="str">
        <f>IFERROR(__xludf.DUMMYFUNCTION("""COMPUTED_VALUE"""),"Jakarta")</f>
        <v>Jakarta</v>
      </c>
      <c r="I128" s="17" t="str">
        <f>IFERROR(__xludf.DUMMYFUNCTION("""COMPUTED_VALUE"""),"- Lifestyle Female
- Comedy")</f>
        <v>- Lifestyle Female
- Comedy</v>
      </c>
      <c r="J128" s="17"/>
      <c r="K128" s="20">
        <f>IFERROR(__xludf.DUMMYFUNCTION("""COMPUTED_VALUE"""),5000000.0)</f>
        <v>5000000</v>
      </c>
      <c r="L128" s="20">
        <f>IFERROR(__xludf.DUMMYFUNCTION("""COMPUTED_VALUE"""),2.0E7)</f>
        <v>20000000</v>
      </c>
      <c r="M128" s="20">
        <f>IFERROR(__xludf.DUMMYFUNCTION("""COMPUTED_VALUE"""),3000000.0)</f>
        <v>3000000</v>
      </c>
      <c r="N128" s="20">
        <f>IFERROR(__xludf.DUMMYFUNCTION("""COMPUTED_VALUE"""),1.5E7)</f>
        <v>15000000</v>
      </c>
      <c r="O128" s="17"/>
      <c r="P128" s="20">
        <f>IFERROR(__xludf.DUMMYFUNCTION("""COMPUTED_VALUE"""),2.1E7)</f>
        <v>21000000</v>
      </c>
      <c r="Q128" s="20">
        <f>IFERROR(__xludf.DUMMYFUNCTION("""COMPUTED_VALUE"""),1.0E7)</f>
        <v>10000000</v>
      </c>
      <c r="R128" s="20">
        <f>IFERROR(__xludf.DUMMYFUNCTION("""COMPUTED_VALUE"""),3.5E7)</f>
        <v>35000000</v>
      </c>
      <c r="S128" s="20">
        <f>IFERROR(__xludf.DUMMYFUNCTION("""COMPUTED_VALUE"""),2.1E7)</f>
        <v>21000000</v>
      </c>
      <c r="T128" s="20">
        <f>IFERROR(__xludf.DUMMYFUNCTION("""COMPUTED_VALUE"""),3.0E7)</f>
        <v>30000000</v>
      </c>
      <c r="U128" s="17"/>
      <c r="V128" s="17" t="str">
        <f>IFERROR(__xludf.DUMMYFUNCTION("""COMPUTED_VALUE"""),"FREE")</f>
        <v>FREE</v>
      </c>
      <c r="W128" s="20">
        <f>IFERROR(__xludf.DUMMYFUNCTION("""COMPUTED_VALUE"""),3000000.0)</f>
        <v>3000000</v>
      </c>
      <c r="X128" s="20">
        <f>IFERROR(__xludf.DUMMYFUNCTION("""COMPUTED_VALUE"""),1.0E7)</f>
        <v>10000000</v>
      </c>
      <c r="Y128" s="17"/>
    </row>
    <row r="129">
      <c r="A129" s="17">
        <f>IFERROR(__xludf.DUMMYFUNCTION("""COMPUTED_VALUE"""),126.0)</f>
        <v>126</v>
      </c>
      <c r="B129" s="18" t="str">
        <f>IFERROR(__xludf.DUMMYFUNCTION("""COMPUTED_VALUE"""),"ayuwisya")</f>
        <v>ayuwisya</v>
      </c>
      <c r="C129" s="23">
        <f>IFERROR(__xludf.DUMMYFUNCTION("""COMPUTED_VALUE"""),497000.0)</f>
        <v>497000</v>
      </c>
      <c r="D129" s="17" t="str">
        <f>IFERROR(__xludf.DUMMYFUNCTION("""COMPUTED_VALUE"""),"Mid")</f>
        <v>Mid</v>
      </c>
      <c r="E129" s="24" t="str">
        <f>IFERROR(__xludf.DUMMYFUNCTION("""COMPUTED_VALUE"""),"ayuwisya666")</f>
        <v>ayuwisya666</v>
      </c>
      <c r="F129" s="19">
        <f>IFERROR(__xludf.DUMMYFUNCTION("""COMPUTED_VALUE"""),3700000.0)</f>
        <v>3700000</v>
      </c>
      <c r="G129" s="17" t="str">
        <f>IFERROR(__xludf.DUMMYFUNCTION("""COMPUTED_VALUE"""),"Mega")</f>
        <v>Mega</v>
      </c>
      <c r="H129" s="17" t="str">
        <f>IFERROR(__xludf.DUMMYFUNCTION("""COMPUTED_VALUE"""),"Jakarta")</f>
        <v>Jakarta</v>
      </c>
      <c r="I129" s="17" t="str">
        <f>IFERROR(__xludf.DUMMYFUNCTION("""COMPUTED_VALUE"""),"FnB")</f>
        <v>FnB</v>
      </c>
      <c r="J129" s="17"/>
      <c r="K129" s="20">
        <f>IFERROR(__xludf.DUMMYFUNCTION("""COMPUTED_VALUE"""),2000000.0)</f>
        <v>2000000</v>
      </c>
      <c r="L129" s="20" t="str">
        <f>IFERROR(__xludf.DUMMYFUNCTION("""COMPUTED_VALUE"""),"Rp6,000,000 (Inc. Tap Link)")</f>
        <v>Rp6,000,000 (Inc. Tap Link)</v>
      </c>
      <c r="M129" s="20">
        <f>IFERROR(__xludf.DUMMYFUNCTION("""COMPUTED_VALUE"""),1000000.0)</f>
        <v>1000000</v>
      </c>
      <c r="N129" s="20">
        <f>IFERROR(__xludf.DUMMYFUNCTION("""COMPUTED_VALUE"""),5000000.0)</f>
        <v>5000000</v>
      </c>
      <c r="O129" s="17"/>
      <c r="P129" s="20">
        <f>IFERROR(__xludf.DUMMYFUNCTION("""COMPUTED_VALUE"""),1.1E7)</f>
        <v>11000000</v>
      </c>
      <c r="Q129" s="20">
        <f>IFERROR(__xludf.DUMMYFUNCTION("""COMPUTED_VALUE"""),2000000.0)</f>
        <v>2000000</v>
      </c>
      <c r="R129" s="20">
        <f>IFERROR(__xludf.DUMMYFUNCTION("""COMPUTED_VALUE"""),1.3E7)</f>
        <v>13000000</v>
      </c>
      <c r="S129" s="20">
        <f>IFERROR(__xludf.DUMMYFUNCTION("""COMPUTED_VALUE"""),2.2E7)</f>
        <v>22000000</v>
      </c>
      <c r="T129" s="17"/>
      <c r="U129" s="20">
        <f>IFERROR(__xludf.DUMMYFUNCTION("""COMPUTED_VALUE"""),5000000.0)</f>
        <v>5000000</v>
      </c>
      <c r="V129" s="20">
        <f>IFERROR(__xludf.DUMMYFUNCTION("""COMPUTED_VALUE"""),2000000.0)</f>
        <v>2000000</v>
      </c>
      <c r="W129" s="20">
        <f>IFERROR(__xludf.DUMMYFUNCTION("""COMPUTED_VALUE"""),1000000.0)</f>
        <v>1000000</v>
      </c>
      <c r="X129" s="17"/>
      <c r="Y129" s="17"/>
    </row>
    <row r="130">
      <c r="A130" s="17">
        <f>IFERROR(__xludf.DUMMYFUNCTION("""COMPUTED_VALUE"""),127.0)</f>
        <v>127</v>
      </c>
      <c r="B130" s="18" t="str">
        <f>IFERROR(__xludf.DUMMYFUNCTION("""COMPUTED_VALUE"""),"meyandjoe_")</f>
        <v>meyandjoe_</v>
      </c>
      <c r="C130" s="23">
        <f>IFERROR(__xludf.DUMMYFUNCTION("""COMPUTED_VALUE"""),116000.0)</f>
        <v>116000</v>
      </c>
      <c r="D130" s="17" t="str">
        <f>IFERROR(__xludf.DUMMYFUNCTION("""COMPUTED_VALUE"""),"Mid")</f>
        <v>Mid</v>
      </c>
      <c r="E130" s="24" t="str">
        <f>IFERROR(__xludf.DUMMYFUNCTION("""COMPUTED_VALUE"""),"meyandjoe")</f>
        <v>meyandjoe</v>
      </c>
      <c r="F130" s="23">
        <f>IFERROR(__xludf.DUMMYFUNCTION("""COMPUTED_VALUE"""),449900.0)</f>
        <v>449900</v>
      </c>
      <c r="G130" s="17" t="str">
        <f>IFERROR(__xludf.DUMMYFUNCTION("""COMPUTED_VALUE"""),"Mid")</f>
        <v>Mid</v>
      </c>
      <c r="H130" s="17" t="str">
        <f>IFERROR(__xludf.DUMMYFUNCTION("""COMPUTED_VALUE"""),"Tangerang")</f>
        <v>Tangerang</v>
      </c>
      <c r="I130" s="17" t="str">
        <f>IFERROR(__xludf.DUMMYFUNCTION("""COMPUTED_VALUE"""),"- Lifestyle Female")</f>
        <v>- Lifestyle Female</v>
      </c>
      <c r="J130" s="17"/>
      <c r="K130" s="20" t="str">
        <f>IFERROR(__xludf.DUMMYFUNCTION("""COMPUTED_VALUE"""),"Rp200,000 (Mey only)
Rp300,000 (Mey &amp; Joe)")</f>
        <v>Rp200,000 (Mey only)
Rp300,000 (Mey &amp; Joe)</v>
      </c>
      <c r="L130" s="20" t="str">
        <f>IFERROR(__xludf.DUMMYFUNCTION("""COMPUTED_VALUE"""),"Rp100,000 (Mey only)
Rp200,000 (Mey &amp; Joe)")</f>
        <v>Rp100,000 (Mey only)
Rp200,000 (Mey &amp; Joe)</v>
      </c>
      <c r="M130" s="20">
        <f>IFERROR(__xludf.DUMMYFUNCTION("""COMPUTED_VALUE"""),50000.0)</f>
        <v>50000</v>
      </c>
      <c r="N130" s="20">
        <f>IFERROR(__xludf.DUMMYFUNCTION("""COMPUTED_VALUE"""),600000.0)</f>
        <v>600000</v>
      </c>
      <c r="O130" s="20">
        <f>IFERROR(__xludf.DUMMYFUNCTION("""COMPUTED_VALUE"""),900000.0)</f>
        <v>900000</v>
      </c>
      <c r="P130" s="20" t="str">
        <f>IFERROR(__xludf.DUMMYFUNCTION("""COMPUTED_VALUE"""),"Rp1,600,000 (Mey only)
Rp2,500,000 (Mey &amp; Joe)")</f>
        <v>Rp1,600,000 (Mey only)
Rp2,500,000 (Mey &amp; Joe)</v>
      </c>
      <c r="Q130" s="20">
        <f>IFERROR(__xludf.DUMMYFUNCTION("""COMPUTED_VALUE"""),300000.0)</f>
        <v>300000</v>
      </c>
      <c r="R130" s="20" t="str">
        <f>IFERROR(__xludf.DUMMYFUNCTION("""COMPUTED_VALUE"""),"Rp1,600,000 (Mey only)
Rp2,500,000 (Mey &amp; Joe)")</f>
        <v>Rp1,600,000 (Mey only)
Rp2,500,000 (Mey &amp; Joe)</v>
      </c>
      <c r="S130" s="17"/>
      <c r="T130" s="17"/>
      <c r="U130" s="21">
        <f>IFERROR(__xludf.DUMMYFUNCTION("""COMPUTED_VALUE"""),1.0)</f>
        <v>1</v>
      </c>
      <c r="V130" s="20">
        <f>IFERROR(__xludf.DUMMYFUNCTION("""COMPUTED_VALUE"""),350000.0)</f>
        <v>350000</v>
      </c>
      <c r="W130" s="20" t="str">
        <f>IFERROR(__xludf.DUMMYFUNCTION("""COMPUTED_VALUE"""),"FREE")</f>
        <v>FREE</v>
      </c>
      <c r="X130" s="17"/>
      <c r="Y130" s="17"/>
    </row>
    <row r="131">
      <c r="A131" s="17">
        <f>IFERROR(__xludf.DUMMYFUNCTION("""COMPUTED_VALUE"""),128.0)</f>
        <v>128</v>
      </c>
      <c r="B131" s="18" t="str">
        <f>IFERROR(__xludf.DUMMYFUNCTION("""COMPUTED_VALUE"""),"bellatanesiaa")</f>
        <v>bellatanesiaa</v>
      </c>
      <c r="C131" s="23">
        <f>IFERROR(__xludf.DUMMYFUNCTION("""COMPUTED_VALUE"""),490000.0)</f>
        <v>490000</v>
      </c>
      <c r="D131" s="17" t="str">
        <f>IFERROR(__xludf.DUMMYFUNCTION("""COMPUTED_VALUE"""),"Mid")</f>
        <v>Mid</v>
      </c>
      <c r="E131" s="24" t="str">
        <f>IFERROR(__xludf.DUMMYFUNCTION("""COMPUTED_VALUE"""),"bellakukutanesia")</f>
        <v>bellakukutanesia</v>
      </c>
      <c r="F131" s="23">
        <f>IFERROR(__xludf.DUMMYFUNCTION("""COMPUTED_VALUE"""),648900.0)</f>
        <v>648900</v>
      </c>
      <c r="G131" s="17" t="str">
        <f>IFERROR(__xludf.DUMMYFUNCTION("""COMPUTED_VALUE"""),"Macro")</f>
        <v>Macro</v>
      </c>
      <c r="H131" s="17" t="str">
        <f>IFERROR(__xludf.DUMMYFUNCTION("""COMPUTED_VALUE"""),"Jakarta")</f>
        <v>Jakarta</v>
      </c>
      <c r="I131" s="17" t="str">
        <f>IFERROR(__xludf.DUMMYFUNCTION("""COMPUTED_VALUE"""),"FnB")</f>
        <v>FnB</v>
      </c>
      <c r="J131" s="17"/>
      <c r="K131" s="20">
        <f>IFERROR(__xludf.DUMMYFUNCTION("""COMPUTED_VALUE"""),4000000.0)</f>
        <v>4000000</v>
      </c>
      <c r="L131" s="17"/>
      <c r="M131" s="20">
        <f>IFERROR(__xludf.DUMMYFUNCTION("""COMPUTED_VALUE"""),1000000.0)</f>
        <v>1000000</v>
      </c>
      <c r="N131" s="20">
        <f>IFERROR(__xludf.DUMMYFUNCTION("""COMPUTED_VALUE"""),7000000.0)</f>
        <v>7000000</v>
      </c>
      <c r="O131" s="20">
        <f>IFERROR(__xludf.DUMMYFUNCTION("""COMPUTED_VALUE"""),9000000.0)</f>
        <v>9000000</v>
      </c>
      <c r="P131" s="20">
        <f>IFERROR(__xludf.DUMMYFUNCTION("""COMPUTED_VALUE"""),1.2E7)</f>
        <v>12000000</v>
      </c>
      <c r="Q131" s="17"/>
      <c r="R131" s="20">
        <f>IFERROR(__xludf.DUMMYFUNCTION("""COMPUTED_VALUE"""),8000000.0)</f>
        <v>8000000</v>
      </c>
      <c r="S131" s="17"/>
      <c r="T131" s="20">
        <f>IFERROR(__xludf.DUMMYFUNCTION("""COMPUTED_VALUE"""),7000000.0)</f>
        <v>7000000</v>
      </c>
      <c r="U131" s="17"/>
      <c r="V131" s="17"/>
      <c r="W131" s="17"/>
      <c r="X131" s="17"/>
      <c r="Y131" s="17"/>
    </row>
    <row r="132">
      <c r="A132" s="17">
        <f>IFERROR(__xludf.DUMMYFUNCTION("""COMPUTED_VALUE"""),129.0)</f>
        <v>129</v>
      </c>
      <c r="B132" s="18" t="str">
        <f>IFERROR(__xludf.DUMMYFUNCTION("""COMPUTED_VALUE"""),"farida.nurhan")</f>
        <v>farida.nurhan</v>
      </c>
      <c r="C132" s="19">
        <f>IFERROR(__xludf.DUMMYFUNCTION("""COMPUTED_VALUE"""),2800000.0)</f>
        <v>2800000</v>
      </c>
      <c r="D132" s="17" t="str">
        <f>IFERROR(__xludf.DUMMYFUNCTION("""COMPUTED_VALUE"""),"Mega")</f>
        <v>Mega</v>
      </c>
      <c r="E132" s="24" t="str">
        <f>IFERROR(__xludf.DUMMYFUNCTION("""COMPUTED_VALUE"""),"farida.nurhan")</f>
        <v>farida.nurhan</v>
      </c>
      <c r="F132" s="19">
        <f>IFERROR(__xludf.DUMMYFUNCTION("""COMPUTED_VALUE"""),4300000.0)</f>
        <v>4300000</v>
      </c>
      <c r="G132" s="17" t="str">
        <f>IFERROR(__xludf.DUMMYFUNCTION("""COMPUTED_VALUE"""),"Mega")</f>
        <v>Mega</v>
      </c>
      <c r="H132" s="17" t="str">
        <f>IFERROR(__xludf.DUMMYFUNCTION("""COMPUTED_VALUE"""),"Jakarta")</f>
        <v>Jakarta</v>
      </c>
      <c r="I132" s="17" t="str">
        <f>IFERROR(__xludf.DUMMYFUNCTION("""COMPUTED_VALUE"""),"FnB")</f>
        <v>FnB</v>
      </c>
      <c r="J132" s="17"/>
      <c r="K132" s="20">
        <f>IFERROR(__xludf.DUMMYFUNCTION("""COMPUTED_VALUE"""),8000000.0)</f>
        <v>8000000</v>
      </c>
      <c r="L132" s="17"/>
      <c r="M132" s="17"/>
      <c r="N132" s="20">
        <f>IFERROR(__xludf.DUMMYFUNCTION("""COMPUTED_VALUE"""),1.5E7)</f>
        <v>15000000</v>
      </c>
      <c r="O132" s="20">
        <f>IFERROR(__xludf.DUMMYFUNCTION("""COMPUTED_VALUE"""),2.5E7)</f>
        <v>25000000</v>
      </c>
      <c r="P132" s="20">
        <f>IFERROR(__xludf.DUMMYFUNCTION("""COMPUTED_VALUE"""),3.0E7)</f>
        <v>30000000</v>
      </c>
      <c r="Q132" s="20">
        <f>IFERROR(__xludf.DUMMYFUNCTION("""COMPUTED_VALUE"""),7500000.0)</f>
        <v>7500000</v>
      </c>
      <c r="R132" s="20">
        <f>IFERROR(__xludf.DUMMYFUNCTION("""COMPUTED_VALUE"""),3.5E7)</f>
        <v>35000000</v>
      </c>
      <c r="S132" s="17"/>
      <c r="T132" s="20">
        <f>IFERROR(__xludf.DUMMYFUNCTION("""COMPUTED_VALUE"""),3.5E7)</f>
        <v>35000000</v>
      </c>
      <c r="U132" s="20">
        <f>IFERROR(__xludf.DUMMYFUNCTION("""COMPUTED_VALUE"""),9000000.0)</f>
        <v>9000000</v>
      </c>
      <c r="V132" s="17"/>
      <c r="W132" s="17"/>
      <c r="X132" s="17"/>
      <c r="Y132" s="17"/>
    </row>
    <row r="133">
      <c r="A133" s="17">
        <f>IFERROR(__xludf.DUMMYFUNCTION("""COMPUTED_VALUE"""),130.0)</f>
        <v>130</v>
      </c>
      <c r="B133" s="18" t="str">
        <f>IFERROR(__xludf.DUMMYFUNCTION("""COMPUTED_VALUE"""),"idijafar")</f>
        <v>idijafar</v>
      </c>
      <c r="C133" s="23">
        <f>IFERROR(__xludf.DUMMYFUNCTION("""COMPUTED_VALUE"""),303000.0)</f>
        <v>303000</v>
      </c>
      <c r="D133" s="17" t="str">
        <f>IFERROR(__xludf.DUMMYFUNCTION("""COMPUTED_VALUE"""),"Mid")</f>
        <v>Mid</v>
      </c>
      <c r="E133" s="24" t="str">
        <f>IFERROR(__xludf.DUMMYFUNCTION("""COMPUTED_VALUE"""),"idijafar")</f>
        <v>idijafar</v>
      </c>
      <c r="F133" s="23">
        <f>IFERROR(__xludf.DUMMYFUNCTION("""COMPUTED_VALUE"""),466600.0)</f>
        <v>466600</v>
      </c>
      <c r="G133" s="17" t="str">
        <f>IFERROR(__xludf.DUMMYFUNCTION("""COMPUTED_VALUE"""),"Mid")</f>
        <v>Mid</v>
      </c>
      <c r="H133" s="17"/>
      <c r="I133" s="17" t="str">
        <f>IFERROR(__xludf.DUMMYFUNCTION("""COMPUTED_VALUE"""),"FnB")</f>
        <v>FnB</v>
      </c>
      <c r="J133" s="17"/>
      <c r="K133" s="20">
        <f>IFERROR(__xludf.DUMMYFUNCTION("""COMPUTED_VALUE"""),1200000.0)</f>
        <v>1200000</v>
      </c>
      <c r="L133" s="20">
        <f>IFERROR(__xludf.DUMMYFUNCTION("""COMPUTED_VALUE"""),1200000.0)</f>
        <v>1200000</v>
      </c>
      <c r="M133" s="20">
        <f>IFERROR(__xludf.DUMMYFUNCTION("""COMPUTED_VALUE"""),1000000.0)</f>
        <v>1000000</v>
      </c>
      <c r="N133" s="20">
        <f>IFERROR(__xludf.DUMMYFUNCTION("""COMPUTED_VALUE"""),3000000.0)</f>
        <v>3000000</v>
      </c>
      <c r="O133" s="20">
        <f>IFERROR(__xludf.DUMMYFUNCTION("""COMPUTED_VALUE"""),3000000.0)</f>
        <v>3000000</v>
      </c>
      <c r="P133" s="20">
        <f>IFERROR(__xludf.DUMMYFUNCTION("""COMPUTED_VALUE"""),4000000.0)</f>
        <v>4000000</v>
      </c>
      <c r="Q133" s="17" t="str">
        <f>IFERROR(__xludf.DUMMYFUNCTION("""COMPUTED_VALUE"""),"FREE")</f>
        <v>FREE</v>
      </c>
      <c r="R133" s="20">
        <f>IFERROR(__xludf.DUMMYFUNCTION("""COMPUTED_VALUE"""),4500000.0)</f>
        <v>4500000</v>
      </c>
      <c r="S133" s="20">
        <f>IFERROR(__xludf.DUMMYFUNCTION("""COMPUTED_VALUE"""),7000000.0)</f>
        <v>7000000</v>
      </c>
      <c r="T133" s="20">
        <f>IFERROR(__xludf.DUMMYFUNCTION("""COMPUTED_VALUE"""),1500000.0)</f>
        <v>1500000</v>
      </c>
      <c r="U133" s="20">
        <f>IFERROR(__xludf.DUMMYFUNCTION("""COMPUTED_VALUE"""),2000000.0)</f>
        <v>2000000</v>
      </c>
      <c r="V133" s="17" t="str">
        <f>IFERROR(__xludf.DUMMYFUNCTION("""COMPUTED_VALUE"""),"7D: FREE
30D: Rp500,000
1Y: Rp4,000,000")</f>
        <v>7D: FREE
30D: Rp500,000
1Y: Rp4,000,000</v>
      </c>
      <c r="W133" s="20">
        <f>IFERROR(__xludf.DUMMYFUNCTION("""COMPUTED_VALUE"""),500000.0)</f>
        <v>500000</v>
      </c>
      <c r="X133" s="20" t="str">
        <f>IFERROR(__xludf.DUMMYFUNCTION("""COMPUTED_VALUE"""),"Rp1,500,000 (Jakarta)
Rp2,000,000 (Bodetabek)")</f>
        <v>Rp1,500,000 (Jakarta)
Rp2,000,000 (Bodetabek)</v>
      </c>
      <c r="Y133" s="17"/>
    </row>
    <row r="134">
      <c r="A134" s="17">
        <f>IFERROR(__xludf.DUMMYFUNCTION("""COMPUTED_VALUE"""),131.0)</f>
        <v>131</v>
      </c>
      <c r="B134" s="18" t="str">
        <f>IFERROR(__xludf.DUMMYFUNCTION("""COMPUTED_VALUE"""),"utepsunarya")</f>
        <v>utepsunarya</v>
      </c>
      <c r="C134" s="23">
        <f>IFERROR(__xludf.DUMMYFUNCTION("""COMPUTED_VALUE"""),41500.0)</f>
        <v>41500</v>
      </c>
      <c r="D134" s="17" t="str">
        <f>IFERROR(__xludf.DUMMYFUNCTION("""COMPUTED_VALUE"""),"Micro")</f>
        <v>Micro</v>
      </c>
      <c r="E134" s="24" t="str">
        <f>IFERROR(__xludf.DUMMYFUNCTION("""COMPUTED_VALUE"""),"utepsunarya")</f>
        <v>utepsunarya</v>
      </c>
      <c r="F134" s="19">
        <f>IFERROR(__xludf.DUMMYFUNCTION("""COMPUTED_VALUE"""),1700000.0)</f>
        <v>1700000</v>
      </c>
      <c r="G134" s="17" t="str">
        <f>IFERROR(__xludf.DUMMYFUNCTION("""COMPUTED_VALUE"""),"Mega")</f>
        <v>Mega</v>
      </c>
      <c r="H134" s="17" t="str">
        <f>IFERROR(__xludf.DUMMYFUNCTION("""COMPUTED_VALUE"""),"Cianjur")</f>
        <v>Cianjur</v>
      </c>
      <c r="I134" s="17" t="str">
        <f>IFERROR(__xludf.DUMMYFUNCTION("""COMPUTED_VALUE"""),"Comedy")</f>
        <v>Comedy</v>
      </c>
      <c r="J134" s="17"/>
      <c r="K134" s="17"/>
      <c r="L134" s="17"/>
      <c r="M134" s="17"/>
      <c r="N134" s="17"/>
      <c r="O134" s="17"/>
      <c r="P134" s="17"/>
      <c r="Q134" s="17"/>
      <c r="R134" s="20">
        <f>IFERROR(__xludf.DUMMYFUNCTION("""COMPUTED_VALUE"""),2.0E7)</f>
        <v>20000000</v>
      </c>
      <c r="S134" s="20">
        <f>IFERROR(__xludf.DUMMYFUNCTION("""COMPUTED_VALUE"""),5000000.0)</f>
        <v>5000000</v>
      </c>
      <c r="T134" s="17"/>
      <c r="U134" s="20">
        <f>IFERROR(__xludf.DUMMYFUNCTION("""COMPUTED_VALUE"""),1.5E7)</f>
        <v>15000000</v>
      </c>
      <c r="V134" s="17"/>
      <c r="W134" s="17"/>
      <c r="X134" s="17"/>
      <c r="Y134" s="17"/>
    </row>
    <row r="135">
      <c r="A135" s="17">
        <f>IFERROR(__xludf.DUMMYFUNCTION("""COMPUTED_VALUE"""),132.0)</f>
        <v>132</v>
      </c>
      <c r="B135" s="18" t="str">
        <f>IFERROR(__xludf.DUMMYFUNCTION("""COMPUTED_VALUE"""),"emilmari0")</f>
        <v>emilmari0</v>
      </c>
      <c r="C135" s="23">
        <f>IFERROR(__xludf.DUMMYFUNCTION("""COMPUTED_VALUE"""),986000.0)</f>
        <v>986000</v>
      </c>
      <c r="D135" s="17" t="str">
        <f>IFERROR(__xludf.DUMMYFUNCTION("""COMPUTED_VALUE"""),"Macro")</f>
        <v>Macro</v>
      </c>
      <c r="E135" s="24" t="str">
        <f>IFERROR(__xludf.DUMMYFUNCTION("""COMPUTED_VALUE"""),"emilmario69")</f>
        <v>emilmario69</v>
      </c>
      <c r="F135" s="19">
        <f>IFERROR(__xludf.DUMMYFUNCTION("""COMPUTED_VALUE"""),7200000.0)</f>
        <v>7200000</v>
      </c>
      <c r="G135" s="17" t="str">
        <f>IFERROR(__xludf.DUMMYFUNCTION("""COMPUTED_VALUE"""),"Mega")</f>
        <v>Mega</v>
      </c>
      <c r="H135" s="17" t="str">
        <f>IFERROR(__xludf.DUMMYFUNCTION("""COMPUTED_VALUE"""),"Jakarta")</f>
        <v>Jakarta</v>
      </c>
      <c r="I135" s="17" t="str">
        <f>IFERROR(__xludf.DUMMYFUNCTION("""COMPUTED_VALUE"""),"- Lifestyle Male
- Comedy")</f>
        <v>- Lifestyle Male
- Comedy</v>
      </c>
      <c r="J135" s="17"/>
      <c r="K135" s="20">
        <f>IFERROR(__xludf.DUMMYFUNCTION("""COMPUTED_VALUE"""),1.6E7)</f>
        <v>16000000</v>
      </c>
      <c r="L135" s="20">
        <f>IFERROR(__xludf.DUMMYFUNCTION("""COMPUTED_VALUE"""),3.6E7)</f>
        <v>36000000</v>
      </c>
      <c r="M135" s="20">
        <f>IFERROR(__xludf.DUMMYFUNCTION("""COMPUTED_VALUE"""),1000000.0)</f>
        <v>1000000</v>
      </c>
      <c r="N135" s="20">
        <f>IFERROR(__xludf.DUMMYFUNCTION("""COMPUTED_VALUE"""),4.0E7)</f>
        <v>40000000</v>
      </c>
      <c r="O135" s="17"/>
      <c r="P135" s="20">
        <f>IFERROR(__xludf.DUMMYFUNCTION("""COMPUTED_VALUE"""),4.7E7)</f>
        <v>47000000</v>
      </c>
      <c r="Q135" s="17"/>
      <c r="R135" s="20">
        <f>IFERROR(__xludf.DUMMYFUNCTION("""COMPUTED_VALUE"""),6.5E7)</f>
        <v>65000000</v>
      </c>
      <c r="S135" s="20">
        <f>IFERROR(__xludf.DUMMYFUNCTION("""COMPUTED_VALUE"""),9.5E7)</f>
        <v>95000000</v>
      </c>
      <c r="T135" s="20">
        <f>IFERROR(__xludf.DUMMYFUNCTION("""COMPUTED_VALUE"""),3.5E7)</f>
        <v>35000000</v>
      </c>
      <c r="U135" s="21">
        <f>IFERROR(__xludf.DUMMYFUNCTION("""COMPUTED_VALUE"""),0.5)</f>
        <v>0.5</v>
      </c>
      <c r="V135" s="17" t="str">
        <f>IFERROR(__xludf.DUMMYFUNCTION("""COMPUTED_VALUE"""),"FREE 30d")</f>
        <v>FREE 30d</v>
      </c>
      <c r="W135" s="20">
        <f>IFERROR(__xludf.DUMMYFUNCTION("""COMPUTED_VALUE"""),8000000.0)</f>
        <v>8000000</v>
      </c>
      <c r="X135" s="20">
        <f>IFERROR(__xludf.DUMMYFUNCTION("""COMPUTED_VALUE"""),3.0E7)</f>
        <v>30000000</v>
      </c>
      <c r="Y135" s="17"/>
    </row>
    <row r="136">
      <c r="A136" s="17">
        <f>IFERROR(__xludf.DUMMYFUNCTION("""COMPUTED_VALUE"""),133.0)</f>
        <v>133</v>
      </c>
      <c r="B136" s="18" t="str">
        <f>IFERROR(__xludf.DUMMYFUNCTION("""COMPUTED_VALUE"""),"gilangsamiadji")</f>
        <v>gilangsamiadji</v>
      </c>
      <c r="C136" s="23">
        <f>IFERROR(__xludf.DUMMYFUNCTION("""COMPUTED_VALUE"""),384000.0)</f>
        <v>384000</v>
      </c>
      <c r="D136" s="17" t="str">
        <f>IFERROR(__xludf.DUMMYFUNCTION("""COMPUTED_VALUE"""),"Mid")</f>
        <v>Mid</v>
      </c>
      <c r="E136" s="24" t="str">
        <f>IFERROR(__xludf.DUMMYFUNCTION("""COMPUTED_VALUE"""),"gilangsamiadji")</f>
        <v>gilangsamiadji</v>
      </c>
      <c r="F136" s="19">
        <f>IFERROR(__xludf.DUMMYFUNCTION("""COMPUTED_VALUE"""),3300000.0)</f>
        <v>3300000</v>
      </c>
      <c r="G136" s="17" t="str">
        <f>IFERROR(__xludf.DUMMYFUNCTION("""COMPUTED_VALUE"""),"Mega")</f>
        <v>Mega</v>
      </c>
      <c r="H136" s="17" t="str">
        <f>IFERROR(__xludf.DUMMYFUNCTION("""COMPUTED_VALUE"""),"Jakarta")</f>
        <v>Jakarta</v>
      </c>
      <c r="I136" s="17" t="str">
        <f>IFERROR(__xludf.DUMMYFUNCTION("""COMPUTED_VALUE"""),"- Lifestyle Male
- Comedy")</f>
        <v>- Lifestyle Male
- Comedy</v>
      </c>
      <c r="J136" s="17"/>
      <c r="K136" s="20">
        <f>IFERROR(__xludf.DUMMYFUNCTION("""COMPUTED_VALUE"""),1.25E7)</f>
        <v>12500000</v>
      </c>
      <c r="L136" s="20">
        <f>IFERROR(__xludf.DUMMYFUNCTION("""COMPUTED_VALUE"""),2.55E7)</f>
        <v>25500000</v>
      </c>
      <c r="M136" s="20">
        <f>IFERROR(__xludf.DUMMYFUNCTION("""COMPUTED_VALUE"""),2000000.0)</f>
        <v>2000000</v>
      </c>
      <c r="N136" s="20">
        <f>IFERROR(__xludf.DUMMYFUNCTION("""COMPUTED_VALUE"""),3.2E7)</f>
        <v>32000000</v>
      </c>
      <c r="O136" s="17"/>
      <c r="P136" s="20">
        <f>IFERROR(__xludf.DUMMYFUNCTION("""COMPUTED_VALUE"""),3.0E7)</f>
        <v>30000000</v>
      </c>
      <c r="Q136" s="17"/>
      <c r="R136" s="20">
        <f>IFERROR(__xludf.DUMMYFUNCTION("""COMPUTED_VALUE"""),3.55E7)</f>
        <v>35500000</v>
      </c>
      <c r="S136" s="20">
        <f>IFERROR(__xludf.DUMMYFUNCTION("""COMPUTED_VALUE"""),6.0E7)</f>
        <v>60000000</v>
      </c>
      <c r="T136" s="20">
        <f>IFERROR(__xludf.DUMMYFUNCTION("""COMPUTED_VALUE"""),2.7E7)</f>
        <v>27000000</v>
      </c>
      <c r="U136" s="21">
        <f>IFERROR(__xludf.DUMMYFUNCTION("""COMPUTED_VALUE"""),0.5)</f>
        <v>0.5</v>
      </c>
      <c r="V136" s="17"/>
      <c r="W136" s="20">
        <f>IFERROR(__xludf.DUMMYFUNCTION("""COMPUTED_VALUE"""),5000000.0)</f>
        <v>5000000</v>
      </c>
      <c r="X136" s="20">
        <f>IFERROR(__xludf.DUMMYFUNCTION("""COMPUTED_VALUE"""),2.0E7)</f>
        <v>20000000</v>
      </c>
      <c r="Y136" s="17"/>
    </row>
    <row r="137">
      <c r="A137" s="17">
        <f>IFERROR(__xludf.DUMMYFUNCTION("""COMPUTED_VALUE"""),134.0)</f>
        <v>134</v>
      </c>
      <c r="B137" s="18" t="str">
        <f>IFERROR(__xludf.DUMMYFUNCTION("""COMPUTED_VALUE"""),"holaofadlan")</f>
        <v>holaofadlan</v>
      </c>
      <c r="C137" s="23">
        <f>IFERROR(__xludf.DUMMYFUNCTION("""COMPUTED_VALUE"""),703000.0)</f>
        <v>703000</v>
      </c>
      <c r="D137" s="17" t="str">
        <f>IFERROR(__xludf.DUMMYFUNCTION("""COMPUTED_VALUE"""),"Macro")</f>
        <v>Macro</v>
      </c>
      <c r="E137" s="24" t="str">
        <f>IFERROR(__xludf.DUMMYFUNCTION("""COMPUTED_VALUE"""),"fadlanholao")</f>
        <v>fadlanholao</v>
      </c>
      <c r="F137" s="19">
        <f>IFERROR(__xludf.DUMMYFUNCTION("""COMPUTED_VALUE"""),2300000.0)</f>
        <v>2300000</v>
      </c>
      <c r="G137" s="17" t="str">
        <f>IFERROR(__xludf.DUMMYFUNCTION("""COMPUTED_VALUE"""),"Mega")</f>
        <v>Mega</v>
      </c>
      <c r="H137" s="17" t="str">
        <f>IFERROR(__xludf.DUMMYFUNCTION("""COMPUTED_VALUE"""),"Jakarta")</f>
        <v>Jakarta</v>
      </c>
      <c r="I137" s="17" t="str">
        <f>IFERROR(__xludf.DUMMYFUNCTION("""COMPUTED_VALUE"""),"- Lifestyle Male
- Comedy")</f>
        <v>- Lifestyle Male
- Comedy</v>
      </c>
      <c r="J137" s="17"/>
      <c r="K137" s="20">
        <f>IFERROR(__xludf.DUMMYFUNCTION("""COMPUTED_VALUE"""),8000000.0)</f>
        <v>8000000</v>
      </c>
      <c r="L137" s="20">
        <f>IFERROR(__xludf.DUMMYFUNCTION("""COMPUTED_VALUE"""),1.85E7)</f>
        <v>18500000</v>
      </c>
      <c r="M137" s="20">
        <f>IFERROR(__xludf.DUMMYFUNCTION("""COMPUTED_VALUE"""),1000000.0)</f>
        <v>1000000</v>
      </c>
      <c r="N137" s="20">
        <f>IFERROR(__xludf.DUMMYFUNCTION("""COMPUTED_VALUE"""),2.0E7)</f>
        <v>20000000</v>
      </c>
      <c r="O137" s="17"/>
      <c r="P137" s="20">
        <f>IFERROR(__xludf.DUMMYFUNCTION("""COMPUTED_VALUE"""),2.3E7)</f>
        <v>23000000</v>
      </c>
      <c r="Q137" s="17"/>
      <c r="R137" s="20">
        <f>IFERROR(__xludf.DUMMYFUNCTION("""COMPUTED_VALUE"""),2.8E7)</f>
        <v>28000000</v>
      </c>
      <c r="S137" s="20">
        <f>IFERROR(__xludf.DUMMYFUNCTION("""COMPUTED_VALUE"""),4.5E7)</f>
        <v>45000000</v>
      </c>
      <c r="T137" s="20">
        <f>IFERROR(__xludf.DUMMYFUNCTION("""COMPUTED_VALUE"""),2.0E7)</f>
        <v>20000000</v>
      </c>
      <c r="U137" s="21">
        <f>IFERROR(__xludf.DUMMYFUNCTION("""COMPUTED_VALUE"""),0.5)</f>
        <v>0.5</v>
      </c>
      <c r="V137" s="17"/>
      <c r="W137" s="20">
        <f>IFERROR(__xludf.DUMMYFUNCTION("""COMPUTED_VALUE"""),5000000.0)</f>
        <v>5000000</v>
      </c>
      <c r="X137" s="20">
        <f>IFERROR(__xludf.DUMMYFUNCTION("""COMPUTED_VALUE"""),1.6E7)</f>
        <v>16000000</v>
      </c>
      <c r="Y137" s="17"/>
    </row>
    <row r="138">
      <c r="A138" s="17">
        <f>IFERROR(__xludf.DUMMYFUNCTION("""COMPUTED_VALUE"""),135.0)</f>
        <v>135</v>
      </c>
      <c r="B138" s="18" t="str">
        <f>IFERROR(__xludf.DUMMYFUNCTION("""COMPUTED_VALUE"""),"__ehan")</f>
        <v>__ehan</v>
      </c>
      <c r="C138" s="23">
        <f>IFERROR(__xludf.DUMMYFUNCTION("""COMPUTED_VALUE"""),337000.0)</f>
        <v>337000</v>
      </c>
      <c r="D138" s="17" t="str">
        <f>IFERROR(__xludf.DUMMYFUNCTION("""COMPUTED_VALUE"""),"Mid")</f>
        <v>Mid</v>
      </c>
      <c r="E138" s="24" t="str">
        <f>IFERROR(__xludf.DUMMYFUNCTION("""COMPUTED_VALUE"""),"__ehan")</f>
        <v>__ehan</v>
      </c>
      <c r="F138" s="19">
        <f>IFERROR(__xludf.DUMMYFUNCTION("""COMPUTED_VALUE"""),4800000.0)</f>
        <v>4800000</v>
      </c>
      <c r="G138" s="17" t="str">
        <f>IFERROR(__xludf.DUMMYFUNCTION("""COMPUTED_VALUE"""),"Mega")</f>
        <v>Mega</v>
      </c>
      <c r="H138" s="17" t="str">
        <f>IFERROR(__xludf.DUMMYFUNCTION("""COMPUTED_VALUE"""),"Jakarta")</f>
        <v>Jakarta</v>
      </c>
      <c r="I138" s="17" t="str">
        <f>IFERROR(__xludf.DUMMYFUNCTION("""COMPUTED_VALUE"""),"- Lifestyle Male
- Comedy")</f>
        <v>- Lifestyle Male
- Comedy</v>
      </c>
      <c r="J138" s="17"/>
      <c r="K138" s="20">
        <f>IFERROR(__xludf.DUMMYFUNCTION("""COMPUTED_VALUE"""),7000000.0)</f>
        <v>7000000</v>
      </c>
      <c r="L138" s="20">
        <f>IFERROR(__xludf.DUMMYFUNCTION("""COMPUTED_VALUE"""),1.7E7)</f>
        <v>17000000</v>
      </c>
      <c r="M138" s="20">
        <f>IFERROR(__xludf.DUMMYFUNCTION("""COMPUTED_VALUE"""),1000000.0)</f>
        <v>1000000</v>
      </c>
      <c r="N138" s="20">
        <f>IFERROR(__xludf.DUMMYFUNCTION("""COMPUTED_VALUE"""),8500000.0)</f>
        <v>8500000</v>
      </c>
      <c r="O138" s="20">
        <f>IFERROR(__xludf.DUMMYFUNCTION("""COMPUTED_VALUE"""),1.1E7)</f>
        <v>11000000</v>
      </c>
      <c r="P138" s="20">
        <f>IFERROR(__xludf.DUMMYFUNCTION("""COMPUTED_VALUE"""),2.2E7)</f>
        <v>22000000</v>
      </c>
      <c r="Q138" s="17"/>
      <c r="R138" s="20">
        <f>IFERROR(__xludf.DUMMYFUNCTION("""COMPUTED_VALUE"""),2.7E7)</f>
        <v>27000000</v>
      </c>
      <c r="S138" s="20">
        <f>IFERROR(__xludf.DUMMYFUNCTION("""COMPUTED_VALUE"""),4.2E7)</f>
        <v>42000000</v>
      </c>
      <c r="T138" s="20">
        <f>IFERROR(__xludf.DUMMYFUNCTION("""COMPUTED_VALUE"""),2.0E7)</f>
        <v>20000000</v>
      </c>
      <c r="U138" s="21">
        <f>IFERROR(__xludf.DUMMYFUNCTION("""COMPUTED_VALUE"""),0.5)</f>
        <v>0.5</v>
      </c>
      <c r="V138" s="17"/>
      <c r="W138" s="20">
        <f>IFERROR(__xludf.DUMMYFUNCTION("""COMPUTED_VALUE"""),4000000.0)</f>
        <v>4000000</v>
      </c>
      <c r="X138" s="20">
        <f>IFERROR(__xludf.DUMMYFUNCTION("""COMPUTED_VALUE"""),1.5E7)</f>
        <v>15000000</v>
      </c>
      <c r="Y138" s="17"/>
    </row>
    <row r="139">
      <c r="A139" s="17">
        <f>IFERROR(__xludf.DUMMYFUNCTION("""COMPUTED_VALUE"""),136.0)</f>
        <v>136</v>
      </c>
      <c r="B139" s="18" t="str">
        <f>IFERROR(__xludf.DUMMYFUNCTION("""COMPUTED_VALUE"""),"kaffanugroho")</f>
        <v>kaffanugroho</v>
      </c>
      <c r="C139" s="23">
        <f>IFERROR(__xludf.DUMMYFUNCTION("""COMPUTED_VALUE"""),101000.0)</f>
        <v>101000</v>
      </c>
      <c r="D139" s="17" t="str">
        <f>IFERROR(__xludf.DUMMYFUNCTION("""COMPUTED_VALUE"""),"Mid")</f>
        <v>Mid</v>
      </c>
      <c r="E139" s="24" t="str">
        <f>IFERROR(__xludf.DUMMYFUNCTION("""COMPUTED_VALUE"""),"pardonmypresence")</f>
        <v>pardonmypresence</v>
      </c>
      <c r="F139" s="19">
        <f>IFERROR(__xludf.DUMMYFUNCTION("""COMPUTED_VALUE"""),2100000.0)</f>
        <v>2100000</v>
      </c>
      <c r="G139" s="17" t="str">
        <f>IFERROR(__xludf.DUMMYFUNCTION("""COMPUTED_VALUE"""),"Mega")</f>
        <v>Mega</v>
      </c>
      <c r="H139" s="17" t="str">
        <f>IFERROR(__xludf.DUMMYFUNCTION("""COMPUTED_VALUE"""),"Jakarta")</f>
        <v>Jakarta</v>
      </c>
      <c r="I139" s="17" t="str">
        <f>IFERROR(__xludf.DUMMYFUNCTION("""COMPUTED_VALUE"""),"- Lifestyle Male
- Comedy")</f>
        <v>- Lifestyle Male
- Comedy</v>
      </c>
      <c r="J139" s="17"/>
      <c r="K139" s="20">
        <f>IFERROR(__xludf.DUMMYFUNCTION("""COMPUTED_VALUE"""),5500000.0)</f>
        <v>5500000</v>
      </c>
      <c r="L139" s="20">
        <f>IFERROR(__xludf.DUMMYFUNCTION("""COMPUTED_VALUE"""),1.3E7)</f>
        <v>13000000</v>
      </c>
      <c r="M139" s="20">
        <f>IFERROR(__xludf.DUMMYFUNCTION("""COMPUTED_VALUE"""),1000000.0)</f>
        <v>1000000</v>
      </c>
      <c r="N139" s="20">
        <f>IFERROR(__xludf.DUMMYFUNCTION("""COMPUTED_VALUE"""),1.4E7)</f>
        <v>14000000</v>
      </c>
      <c r="O139" s="17"/>
      <c r="P139" s="20">
        <f>IFERROR(__xludf.DUMMYFUNCTION("""COMPUTED_VALUE"""),1.85E7)</f>
        <v>18500000</v>
      </c>
      <c r="Q139" s="17"/>
      <c r="R139" s="20">
        <f>IFERROR(__xludf.DUMMYFUNCTION("""COMPUTED_VALUE"""),2.55E7)</f>
        <v>25500000</v>
      </c>
      <c r="S139" s="20">
        <f>IFERROR(__xludf.DUMMYFUNCTION("""COMPUTED_VALUE"""),3.0E7)</f>
        <v>30000000</v>
      </c>
      <c r="T139" s="20">
        <f>IFERROR(__xludf.DUMMYFUNCTION("""COMPUTED_VALUE"""),1.5E7)</f>
        <v>15000000</v>
      </c>
      <c r="U139" s="21">
        <f>IFERROR(__xludf.DUMMYFUNCTION("""COMPUTED_VALUE"""),0.5)</f>
        <v>0.5</v>
      </c>
      <c r="V139" s="17"/>
      <c r="W139" s="20">
        <f>IFERROR(__xludf.DUMMYFUNCTION("""COMPUTED_VALUE"""),3000000.0)</f>
        <v>3000000</v>
      </c>
      <c r="X139" s="20">
        <f>IFERROR(__xludf.DUMMYFUNCTION("""COMPUTED_VALUE"""),2.0E7)</f>
        <v>20000000</v>
      </c>
      <c r="Y139" s="17"/>
    </row>
    <row r="140">
      <c r="A140" s="17">
        <f>IFERROR(__xludf.DUMMYFUNCTION("""COMPUTED_VALUE"""),137.0)</f>
        <v>137</v>
      </c>
      <c r="B140" s="18" t="str">
        <f>IFERROR(__xludf.DUMMYFUNCTION("""COMPUTED_VALUE"""),"farhanrn__")</f>
        <v>farhanrn__</v>
      </c>
      <c r="C140" s="19">
        <f>IFERROR(__xludf.DUMMYFUNCTION("""COMPUTED_VALUE"""),1200000.0)</f>
        <v>1200000</v>
      </c>
      <c r="D140" s="17" t="str">
        <f>IFERROR(__xludf.DUMMYFUNCTION("""COMPUTED_VALUE"""),"Mega")</f>
        <v>Mega</v>
      </c>
      <c r="E140" s="24" t="str">
        <f>IFERROR(__xludf.DUMMYFUNCTION("""COMPUTED_VALUE"""),"farhanrn__")</f>
        <v>farhanrn__</v>
      </c>
      <c r="F140" s="19">
        <f>IFERROR(__xludf.DUMMYFUNCTION("""COMPUTED_VALUE"""),8000000.0)</f>
        <v>8000000</v>
      </c>
      <c r="G140" s="17" t="str">
        <f>IFERROR(__xludf.DUMMYFUNCTION("""COMPUTED_VALUE"""),"Mega")</f>
        <v>Mega</v>
      </c>
      <c r="H140" s="17" t="str">
        <f>IFERROR(__xludf.DUMMYFUNCTION("""COMPUTED_VALUE"""),"Jakarta")</f>
        <v>Jakarta</v>
      </c>
      <c r="I140" s="17" t="str">
        <f>IFERROR(__xludf.DUMMYFUNCTION("""COMPUTED_VALUE"""),"- Lifestyle Male
- Comedy")</f>
        <v>- Lifestyle Male
- Comedy</v>
      </c>
      <c r="J140" s="17"/>
      <c r="K140" s="20">
        <f>IFERROR(__xludf.DUMMYFUNCTION("""COMPUTED_VALUE"""),6500000.0)</f>
        <v>6500000</v>
      </c>
      <c r="L140" s="20">
        <f>IFERROR(__xludf.DUMMYFUNCTION("""COMPUTED_VALUE"""),1.55E7)</f>
        <v>15500000</v>
      </c>
      <c r="M140" s="20">
        <f>IFERROR(__xludf.DUMMYFUNCTION("""COMPUTED_VALUE"""),1000000.0)</f>
        <v>1000000</v>
      </c>
      <c r="N140" s="20">
        <f>IFERROR(__xludf.DUMMYFUNCTION("""COMPUTED_VALUE"""),2.3E7)</f>
        <v>23000000</v>
      </c>
      <c r="O140" s="17"/>
      <c r="P140" s="20">
        <f>IFERROR(__xludf.DUMMYFUNCTION("""COMPUTED_VALUE"""),2.6E7)</f>
        <v>26000000</v>
      </c>
      <c r="Q140" s="17"/>
      <c r="R140" s="20">
        <f>IFERROR(__xludf.DUMMYFUNCTION("""COMPUTED_VALUE"""),3.0E7)</f>
        <v>30000000</v>
      </c>
      <c r="S140" s="20">
        <f>IFERROR(__xludf.DUMMYFUNCTION("""COMPUTED_VALUE"""),5.0E7)</f>
        <v>50000000</v>
      </c>
      <c r="T140" s="20">
        <f>IFERROR(__xludf.DUMMYFUNCTION("""COMPUTED_VALUE"""),2.0E7)</f>
        <v>20000000</v>
      </c>
      <c r="U140" s="21">
        <f>IFERROR(__xludf.DUMMYFUNCTION("""COMPUTED_VALUE"""),0.5)</f>
        <v>0.5</v>
      </c>
      <c r="V140" s="17"/>
      <c r="W140" s="20">
        <f>IFERROR(__xludf.DUMMYFUNCTION("""COMPUTED_VALUE"""),5000000.0)</f>
        <v>5000000</v>
      </c>
      <c r="X140" s="20">
        <f>IFERROR(__xludf.DUMMYFUNCTION("""COMPUTED_VALUE"""),1.5E7)</f>
        <v>15000000</v>
      </c>
      <c r="Y140" s="17"/>
    </row>
    <row r="141">
      <c r="A141" s="17">
        <f>IFERROR(__xludf.DUMMYFUNCTION("""COMPUTED_VALUE"""),138.0)</f>
        <v>138</v>
      </c>
      <c r="B141" s="18" t="str">
        <f>IFERROR(__xludf.DUMMYFUNCTION("""COMPUTED_VALUE"""),"abipraya28")</f>
        <v>abipraya28</v>
      </c>
      <c r="C141" s="23">
        <f>IFERROR(__xludf.DUMMYFUNCTION("""COMPUTED_VALUE"""),712000.0)</f>
        <v>712000</v>
      </c>
      <c r="D141" s="17" t="str">
        <f>IFERROR(__xludf.DUMMYFUNCTION("""COMPUTED_VALUE"""),"Macro")</f>
        <v>Macro</v>
      </c>
      <c r="E141" s="24" t="str">
        <f>IFERROR(__xludf.DUMMYFUNCTION("""COMPUTED_VALUE"""),"reyyyz")</f>
        <v>reyyyz</v>
      </c>
      <c r="F141" s="23">
        <f>IFERROR(__xludf.DUMMYFUNCTION("""COMPUTED_VALUE"""),815000.0)</f>
        <v>815000</v>
      </c>
      <c r="G141" s="17" t="str">
        <f>IFERROR(__xludf.DUMMYFUNCTION("""COMPUTED_VALUE"""),"Macro")</f>
        <v>Macro</v>
      </c>
      <c r="H141" s="17" t="str">
        <f>IFERROR(__xludf.DUMMYFUNCTION("""COMPUTED_VALUE"""),"Jakarta")</f>
        <v>Jakarta</v>
      </c>
      <c r="I141" s="17" t="str">
        <f>IFERROR(__xludf.DUMMYFUNCTION("""COMPUTED_VALUE"""),"- Lifestyle Male
- Comedy")</f>
        <v>- Lifestyle Male
- Comedy</v>
      </c>
      <c r="J141" s="17"/>
      <c r="K141" s="20">
        <f>IFERROR(__xludf.DUMMYFUNCTION("""COMPUTED_VALUE"""),5500000.0)</f>
        <v>5500000</v>
      </c>
      <c r="L141" s="20">
        <f>IFERROR(__xludf.DUMMYFUNCTION("""COMPUTED_VALUE"""),1.2E7)</f>
        <v>12000000</v>
      </c>
      <c r="M141" s="20">
        <f>IFERROR(__xludf.DUMMYFUNCTION("""COMPUTED_VALUE"""),1000000.0)</f>
        <v>1000000</v>
      </c>
      <c r="N141" s="20">
        <f>IFERROR(__xludf.DUMMYFUNCTION("""COMPUTED_VALUE"""),1.0E7)</f>
        <v>10000000</v>
      </c>
      <c r="O141" s="17"/>
      <c r="P141" s="20">
        <f>IFERROR(__xludf.DUMMYFUNCTION("""COMPUTED_VALUE"""),1.7E7)</f>
        <v>17000000</v>
      </c>
      <c r="Q141" s="17"/>
      <c r="R141" s="20">
        <f>IFERROR(__xludf.DUMMYFUNCTION("""COMPUTED_VALUE"""),1.05E7)</f>
        <v>10500000</v>
      </c>
      <c r="S141" s="20">
        <f>IFERROR(__xludf.DUMMYFUNCTION("""COMPUTED_VALUE"""),2.35E7)</f>
        <v>23500000</v>
      </c>
      <c r="T141" s="20">
        <f>IFERROR(__xludf.DUMMYFUNCTION("""COMPUTED_VALUE"""),1.5E7)</f>
        <v>15000000</v>
      </c>
      <c r="U141" s="21">
        <f>IFERROR(__xludf.DUMMYFUNCTION("""COMPUTED_VALUE"""),0.5)</f>
        <v>0.5</v>
      </c>
      <c r="V141" s="17"/>
      <c r="W141" s="20">
        <f>IFERROR(__xludf.DUMMYFUNCTION("""COMPUTED_VALUE"""),4000000.0)</f>
        <v>4000000</v>
      </c>
      <c r="X141" s="20">
        <f>IFERROR(__xludf.DUMMYFUNCTION("""COMPUTED_VALUE"""),6000000.0)</f>
        <v>6000000</v>
      </c>
      <c r="Y141" s="17"/>
    </row>
    <row r="142">
      <c r="A142" s="17">
        <f>IFERROR(__xludf.DUMMYFUNCTION("""COMPUTED_VALUE"""),139.0)</f>
        <v>139</v>
      </c>
      <c r="B142" s="18" t="str">
        <f>IFERROR(__xludf.DUMMYFUNCTION("""COMPUTED_VALUE"""),"nonikmeniesszt")</f>
        <v>nonikmeniesszt</v>
      </c>
      <c r="C142" s="23">
        <f>IFERROR(__xludf.DUMMYFUNCTION("""COMPUTED_VALUE"""),12700.0)</f>
        <v>12700</v>
      </c>
      <c r="D142" s="17" t="str">
        <f>IFERROR(__xludf.DUMMYFUNCTION("""COMPUTED_VALUE"""),"Micro")</f>
        <v>Micro</v>
      </c>
      <c r="E142" s="24" t="str">
        <f>IFERROR(__xludf.DUMMYFUNCTION("""COMPUTED_VALUE"""),"nonikmenieszt")</f>
        <v>nonikmenieszt</v>
      </c>
      <c r="F142" s="23">
        <f>IFERROR(__xludf.DUMMYFUNCTION("""COMPUTED_VALUE"""),320500.0)</f>
        <v>320500</v>
      </c>
      <c r="G142" s="17" t="str">
        <f>IFERROR(__xludf.DUMMYFUNCTION("""COMPUTED_VALUE"""),"Mid")</f>
        <v>Mid</v>
      </c>
      <c r="H142" s="17" t="str">
        <f>IFERROR(__xludf.DUMMYFUNCTION("""COMPUTED_VALUE"""),"Jakarta")</f>
        <v>Jakarta</v>
      </c>
      <c r="I142" s="17" t="str">
        <f>IFERROR(__xludf.DUMMYFUNCTION("""COMPUTED_VALUE"""),"- Lifestyle Male
- Comedy")</f>
        <v>- Lifestyle Male
- Comedy</v>
      </c>
      <c r="J142" s="17"/>
      <c r="K142" s="20">
        <f>IFERROR(__xludf.DUMMYFUNCTION("""COMPUTED_VALUE"""),5500000.0)</f>
        <v>5500000</v>
      </c>
      <c r="L142" s="20">
        <f>IFERROR(__xludf.DUMMYFUNCTION("""COMPUTED_VALUE"""),6500000.0)</f>
        <v>6500000</v>
      </c>
      <c r="M142" s="20" t="str">
        <f>IFERROR(__xludf.DUMMYFUNCTION("""COMPUTED_VALUE"""),"FREE")</f>
        <v>FREE</v>
      </c>
      <c r="N142" s="20">
        <f>IFERROR(__xludf.DUMMYFUNCTION("""COMPUTED_VALUE"""),1.3E7)</f>
        <v>13000000</v>
      </c>
      <c r="O142" s="17"/>
      <c r="P142" s="20">
        <f>IFERROR(__xludf.DUMMYFUNCTION("""COMPUTED_VALUE"""),8000000.0)</f>
        <v>8000000</v>
      </c>
      <c r="Q142" s="17"/>
      <c r="R142" s="20">
        <f>IFERROR(__xludf.DUMMYFUNCTION("""COMPUTED_VALUE"""),1.25E7)</f>
        <v>12500000</v>
      </c>
      <c r="S142" s="20">
        <f>IFERROR(__xludf.DUMMYFUNCTION("""COMPUTED_VALUE"""),1.75E7)</f>
        <v>17500000</v>
      </c>
      <c r="T142" s="20">
        <f>IFERROR(__xludf.DUMMYFUNCTION("""COMPUTED_VALUE"""),1.5E7)</f>
        <v>15000000</v>
      </c>
      <c r="U142" s="21">
        <f>IFERROR(__xludf.DUMMYFUNCTION("""COMPUTED_VALUE"""),0.5)</f>
        <v>0.5</v>
      </c>
      <c r="V142" s="17"/>
      <c r="W142" s="20">
        <f>IFERROR(__xludf.DUMMYFUNCTION("""COMPUTED_VALUE"""),3000000.0)</f>
        <v>3000000</v>
      </c>
      <c r="X142" s="20">
        <f>IFERROR(__xludf.DUMMYFUNCTION("""COMPUTED_VALUE"""),7000000.0)</f>
        <v>7000000</v>
      </c>
      <c r="Y142" s="17"/>
    </row>
    <row r="143">
      <c r="A143" s="17">
        <f>IFERROR(__xludf.DUMMYFUNCTION("""COMPUTED_VALUE"""),140.0)</f>
        <v>140</v>
      </c>
      <c r="B143" s="18" t="str">
        <f>IFERROR(__xludf.DUMMYFUNCTION("""COMPUTED_VALUE"""),"sarahtumiwa")</f>
        <v>sarahtumiwa</v>
      </c>
      <c r="C143" s="23">
        <f>IFERROR(__xludf.DUMMYFUNCTION("""COMPUTED_VALUE"""),313000.0)</f>
        <v>313000</v>
      </c>
      <c r="D143" s="17" t="str">
        <f>IFERROR(__xludf.DUMMYFUNCTION("""COMPUTED_VALUE"""),"Mid")</f>
        <v>Mid</v>
      </c>
      <c r="E143" s="24" t="str">
        <f>IFERROR(__xludf.DUMMYFUNCTION("""COMPUTED_VALUE"""),"sarahtumiwa")</f>
        <v>sarahtumiwa</v>
      </c>
      <c r="F143" s="23">
        <f>IFERROR(__xludf.DUMMYFUNCTION("""COMPUTED_VALUE"""),277700.0)</f>
        <v>277700</v>
      </c>
      <c r="G143" s="17" t="str">
        <f>IFERROR(__xludf.DUMMYFUNCTION("""COMPUTED_VALUE"""),"Mid")</f>
        <v>Mid</v>
      </c>
      <c r="H143" s="17" t="str">
        <f>IFERROR(__xludf.DUMMYFUNCTION("""COMPUTED_VALUE"""),"Jakarta")</f>
        <v>Jakarta</v>
      </c>
      <c r="I143" s="17" t="str">
        <f>IFERROR(__xludf.DUMMYFUNCTION("""COMPUTED_VALUE"""),"- Lifestyle Female
- Beauty")</f>
        <v>- Lifestyle Female
- Beauty</v>
      </c>
      <c r="J143" s="17"/>
      <c r="K143" s="20">
        <f>IFERROR(__xludf.DUMMYFUNCTION("""COMPUTED_VALUE"""),8500000.0)</f>
        <v>8500000</v>
      </c>
      <c r="L143" s="20" t="str">
        <f>IFERROR(__xludf.DUMMYFUNCTION("""COMPUTED_VALUE"""),"Rp11,000,000 (Free Link)")</f>
        <v>Rp11,000,000 (Free Link)</v>
      </c>
      <c r="M143" s="17"/>
      <c r="N143" s="20">
        <f>IFERROR(__xludf.DUMMYFUNCTION("""COMPUTED_VALUE"""),1.5E7)</f>
        <v>15000000</v>
      </c>
      <c r="O143" s="17"/>
      <c r="P143" s="20">
        <f>IFERROR(__xludf.DUMMYFUNCTION("""COMPUTED_VALUE"""),2.1E7)</f>
        <v>21000000</v>
      </c>
      <c r="Q143" s="17"/>
      <c r="R143" s="20">
        <f>IFERROR(__xludf.DUMMYFUNCTION("""COMPUTED_VALUE"""),2.1E7)</f>
        <v>21000000</v>
      </c>
      <c r="S143" s="20">
        <f>IFERROR(__xludf.DUMMYFUNCTION("""COMPUTED_VALUE"""),3.5E7)</f>
        <v>35000000</v>
      </c>
      <c r="T143" s="20">
        <f>IFERROR(__xludf.DUMMYFUNCTION("""COMPUTED_VALUE"""),2.0E7)</f>
        <v>20000000</v>
      </c>
      <c r="U143" s="21">
        <f>IFERROR(__xludf.DUMMYFUNCTION("""COMPUTED_VALUE"""),0.5)</f>
        <v>0.5</v>
      </c>
      <c r="V143" s="17"/>
      <c r="W143" s="17"/>
      <c r="X143" s="20">
        <f>IFERROR(__xludf.DUMMYFUNCTION("""COMPUTED_VALUE"""),1.5E7)</f>
        <v>15000000</v>
      </c>
      <c r="Y143" s="17"/>
    </row>
    <row r="144">
      <c r="A144" s="17">
        <f>IFERROR(__xludf.DUMMYFUNCTION("""COMPUTED_VALUE"""),141.0)</f>
        <v>141</v>
      </c>
      <c r="B144" s="18" t="str">
        <f>IFERROR(__xludf.DUMMYFUNCTION("""COMPUTED_VALUE"""),"fahiramira")</f>
        <v>fahiramira</v>
      </c>
      <c r="C144" s="19">
        <f>IFERROR(__xludf.DUMMYFUNCTION("""COMPUTED_VALUE"""),2000000.0)</f>
        <v>2000000</v>
      </c>
      <c r="D144" s="17" t="str">
        <f>IFERROR(__xludf.DUMMYFUNCTION("""COMPUTED_VALUE"""),"Mega")</f>
        <v>Mega</v>
      </c>
      <c r="E144" s="24" t="str">
        <f>IFERROR(__xludf.DUMMYFUNCTION("""COMPUTED_VALUE"""),"fahiramira")</f>
        <v>fahiramira</v>
      </c>
      <c r="F144" s="19">
        <f>IFERROR(__xludf.DUMMYFUNCTION("""COMPUTED_VALUE"""),1.12E7)</f>
        <v>11200000</v>
      </c>
      <c r="G144" s="17" t="str">
        <f>IFERROR(__xludf.DUMMYFUNCTION("""COMPUTED_VALUE"""),"Mega")</f>
        <v>Mega</v>
      </c>
      <c r="H144" s="17" t="str">
        <f>IFERROR(__xludf.DUMMYFUNCTION("""COMPUTED_VALUE"""),"Jakarta")</f>
        <v>Jakarta</v>
      </c>
      <c r="I144" s="17" t="str">
        <f>IFERROR(__xludf.DUMMYFUNCTION("""COMPUTED_VALUE"""),"- Lifestyle Female")</f>
        <v>- Lifestyle Female</v>
      </c>
      <c r="J144" s="17"/>
      <c r="K144" s="20">
        <f>IFERROR(__xludf.DUMMYFUNCTION("""COMPUTED_VALUE"""),1.5E7)</f>
        <v>15000000</v>
      </c>
      <c r="L144" s="20">
        <f>IFERROR(__xludf.DUMMYFUNCTION("""COMPUTED_VALUE"""),2.4E7)</f>
        <v>24000000</v>
      </c>
      <c r="M144" s="20">
        <f>IFERROR(__xludf.DUMMYFUNCTION("""COMPUTED_VALUE"""),1000000.0)</f>
        <v>1000000</v>
      </c>
      <c r="N144" s="20">
        <f>IFERROR(__xludf.DUMMYFUNCTION("""COMPUTED_VALUE"""),2.7E7)</f>
        <v>27000000</v>
      </c>
      <c r="O144" s="17"/>
      <c r="P144" s="20">
        <f>IFERROR(__xludf.DUMMYFUNCTION("""COMPUTED_VALUE"""),4.25E7)</f>
        <v>42500000</v>
      </c>
      <c r="Q144" s="17"/>
      <c r="R144" s="20">
        <f>IFERROR(__xludf.DUMMYFUNCTION("""COMPUTED_VALUE"""),5.5E7)</f>
        <v>55000000</v>
      </c>
      <c r="S144" s="20">
        <f>IFERROR(__xludf.DUMMYFUNCTION("""COMPUTED_VALUE"""),8.0E7)</f>
        <v>80000000</v>
      </c>
      <c r="T144" s="20">
        <f>IFERROR(__xludf.DUMMYFUNCTION("""COMPUTED_VALUE"""),3.0E7)</f>
        <v>30000000</v>
      </c>
      <c r="U144" s="21">
        <f>IFERROR(__xludf.DUMMYFUNCTION("""COMPUTED_VALUE"""),0.5)</f>
        <v>0.5</v>
      </c>
      <c r="V144" s="17"/>
      <c r="W144" s="17"/>
      <c r="X144" s="20">
        <f>IFERROR(__xludf.DUMMYFUNCTION("""COMPUTED_VALUE"""),2.0E7)</f>
        <v>20000000</v>
      </c>
      <c r="Y144" s="17"/>
    </row>
    <row r="145">
      <c r="A145" s="17">
        <f>IFERROR(__xludf.DUMMYFUNCTION("""COMPUTED_VALUE"""),142.0)</f>
        <v>142</v>
      </c>
      <c r="B145" s="18" t="str">
        <f>IFERROR(__xludf.DUMMYFUNCTION("""COMPUTED_VALUE"""),"unadembler")</f>
        <v>unadembler</v>
      </c>
      <c r="C145" s="23">
        <f>IFERROR(__xludf.DUMMYFUNCTION("""COMPUTED_VALUE"""),253000.0)</f>
        <v>253000</v>
      </c>
      <c r="D145" s="17" t="str">
        <f>IFERROR(__xludf.DUMMYFUNCTION("""COMPUTED_VALUE"""),"Mid")</f>
        <v>Mid</v>
      </c>
      <c r="E145" s="24" t="str">
        <f>IFERROR(__xludf.DUMMYFUNCTION("""COMPUTED_VALUE"""),"unadembler25")</f>
        <v>unadembler25</v>
      </c>
      <c r="F145" s="23">
        <f>IFERROR(__xludf.DUMMYFUNCTION("""COMPUTED_VALUE"""),153000.0)</f>
        <v>153000</v>
      </c>
      <c r="G145" s="17" t="str">
        <f>IFERROR(__xludf.DUMMYFUNCTION("""COMPUTED_VALUE"""),"Mid")</f>
        <v>Mid</v>
      </c>
      <c r="H145" s="17" t="str">
        <f>IFERROR(__xludf.DUMMYFUNCTION("""COMPUTED_VALUE"""),"Jakarta")</f>
        <v>Jakarta</v>
      </c>
      <c r="I145" s="17" t="str">
        <f>IFERROR(__xludf.DUMMYFUNCTION("""COMPUTED_VALUE"""),"- Lifestyle Female")</f>
        <v>- Lifestyle Female</v>
      </c>
      <c r="J145" s="17"/>
      <c r="K145" s="20">
        <f>IFERROR(__xludf.DUMMYFUNCTION("""COMPUTED_VALUE"""),4000000.0)</f>
        <v>4000000</v>
      </c>
      <c r="L145" s="20">
        <f>IFERROR(__xludf.DUMMYFUNCTION("""COMPUTED_VALUE"""),7000000.0)</f>
        <v>7000000</v>
      </c>
      <c r="M145" s="20">
        <f>IFERROR(__xludf.DUMMYFUNCTION("""COMPUTED_VALUE"""),1000000.0)</f>
        <v>1000000</v>
      </c>
      <c r="N145" s="20">
        <f>IFERROR(__xludf.DUMMYFUNCTION("""COMPUTED_VALUE"""),8000000.0)</f>
        <v>8000000</v>
      </c>
      <c r="O145" s="17"/>
      <c r="P145" s="20">
        <f>IFERROR(__xludf.DUMMYFUNCTION("""COMPUTED_VALUE"""),1.2E7)</f>
        <v>12000000</v>
      </c>
      <c r="Q145" s="17"/>
      <c r="R145" s="20">
        <f>IFERROR(__xludf.DUMMYFUNCTION("""COMPUTED_VALUE"""),8000000.0)</f>
        <v>8000000</v>
      </c>
      <c r="S145" s="20">
        <f>IFERROR(__xludf.DUMMYFUNCTION("""COMPUTED_VALUE"""),1.7E7)</f>
        <v>17000000</v>
      </c>
      <c r="T145" s="20">
        <f>IFERROR(__xludf.DUMMYFUNCTION("""COMPUTED_VALUE"""),1.5E7)</f>
        <v>15000000</v>
      </c>
      <c r="U145" s="21">
        <f>IFERROR(__xludf.DUMMYFUNCTION("""COMPUTED_VALUE"""),0.5)</f>
        <v>0.5</v>
      </c>
      <c r="V145" s="17"/>
      <c r="W145" s="17"/>
      <c r="X145" s="20">
        <f>IFERROR(__xludf.DUMMYFUNCTION("""COMPUTED_VALUE"""),1.4E7)</f>
        <v>14000000</v>
      </c>
      <c r="Y145" s="17"/>
    </row>
    <row r="146">
      <c r="A146" s="17">
        <f>IFERROR(__xludf.DUMMYFUNCTION("""COMPUTED_VALUE"""),143.0)</f>
        <v>143</v>
      </c>
      <c r="B146" s="18" t="str">
        <f>IFERROR(__xludf.DUMMYFUNCTION("""COMPUTED_VALUE"""),"reizukaaari")</f>
        <v>reizukaaari</v>
      </c>
      <c r="C146" s="23">
        <f>IFERROR(__xludf.DUMMYFUNCTION("""COMPUTED_VALUE"""),253000.0)</f>
        <v>253000</v>
      </c>
      <c r="D146" s="17" t="str">
        <f>IFERROR(__xludf.DUMMYFUNCTION("""COMPUTED_VALUE"""),"Mid")</f>
        <v>Mid</v>
      </c>
      <c r="E146" s="24" t="str">
        <f>IFERROR(__xludf.DUMMYFUNCTION("""COMPUTED_VALUE"""),"dictionarei")</f>
        <v>dictionarei</v>
      </c>
      <c r="F146" s="19">
        <f>IFERROR(__xludf.DUMMYFUNCTION("""COMPUTED_VALUE"""),7800000.0)</f>
        <v>7800000</v>
      </c>
      <c r="G146" s="17" t="str">
        <f>IFERROR(__xludf.DUMMYFUNCTION("""COMPUTED_VALUE"""),"Mega")</f>
        <v>Mega</v>
      </c>
      <c r="H146" s="17" t="str">
        <f>IFERROR(__xludf.DUMMYFUNCTION("""COMPUTED_VALUE"""),"Jakarta")</f>
        <v>Jakarta</v>
      </c>
      <c r="I146" s="17" t="str">
        <f>IFERROR(__xludf.DUMMYFUNCTION("""COMPUTED_VALUE"""),"- Lifestyle Male")</f>
        <v>- Lifestyle Male</v>
      </c>
      <c r="J146" s="17"/>
      <c r="K146" s="17"/>
      <c r="L146" s="20">
        <f>IFERROR(__xludf.DUMMYFUNCTION("""COMPUTED_VALUE"""),2.5E7)</f>
        <v>25000000</v>
      </c>
      <c r="M146" s="20" t="str">
        <f>IFERROR(__xludf.DUMMYFUNCTION("""COMPUTED_VALUE"""),"FREE")</f>
        <v>FREE</v>
      </c>
      <c r="N146" s="20">
        <f>IFERROR(__xludf.DUMMYFUNCTION("""COMPUTED_VALUE"""),3.2E7)</f>
        <v>32000000</v>
      </c>
      <c r="O146" s="20">
        <f>IFERROR(__xludf.DUMMYFUNCTION("""COMPUTED_VALUE"""),3.2E7)</f>
        <v>32000000</v>
      </c>
      <c r="P146" s="20">
        <f>IFERROR(__xludf.DUMMYFUNCTION("""COMPUTED_VALUE"""),3.7E7)</f>
        <v>37000000</v>
      </c>
      <c r="Q146" s="17"/>
      <c r="R146" s="20">
        <f>IFERROR(__xludf.DUMMYFUNCTION("""COMPUTED_VALUE"""),5.25E7)</f>
        <v>52500000</v>
      </c>
      <c r="S146" s="17"/>
      <c r="T146" s="17"/>
      <c r="U146" s="20">
        <f>IFERROR(__xludf.DUMMYFUNCTION("""COMPUTED_VALUE"""),8.55E7)</f>
        <v>85500000</v>
      </c>
      <c r="V146" s="20">
        <f>IFERROR(__xludf.DUMMYFUNCTION("""COMPUTED_VALUE"""),2800000.0)</f>
        <v>2800000</v>
      </c>
      <c r="W146" s="17"/>
      <c r="X146" s="20">
        <f>IFERROR(__xludf.DUMMYFUNCTION("""COMPUTED_VALUE"""),1.5E7)</f>
        <v>15000000</v>
      </c>
      <c r="Y146" s="17"/>
    </row>
    <row r="147">
      <c r="A147" s="17">
        <f>IFERROR(__xludf.DUMMYFUNCTION("""COMPUTED_VALUE"""),144.0)</f>
        <v>144</v>
      </c>
      <c r="B147" s="18" t="str">
        <f>IFERROR(__xludf.DUMMYFUNCTION("""COMPUTED_VALUE"""),"adelscooking")</f>
        <v>adelscooking</v>
      </c>
      <c r="C147" s="23">
        <f>IFERROR(__xludf.DUMMYFUNCTION("""COMPUTED_VALUE"""),271000.0)</f>
        <v>271000</v>
      </c>
      <c r="D147" s="17" t="str">
        <f>IFERROR(__xludf.DUMMYFUNCTION("""COMPUTED_VALUE"""),"Mid")</f>
        <v>Mid</v>
      </c>
      <c r="E147" s="24" t="str">
        <f>IFERROR(__xludf.DUMMYFUNCTION("""COMPUTED_VALUE"""),"adelscooking")</f>
        <v>adelscooking</v>
      </c>
      <c r="F147" s="23">
        <f>IFERROR(__xludf.DUMMYFUNCTION("""COMPUTED_VALUE"""),104000.0)</f>
        <v>104000</v>
      </c>
      <c r="G147" s="17" t="str">
        <f>IFERROR(__xludf.DUMMYFUNCTION("""COMPUTED_VALUE"""),"Mid")</f>
        <v>Mid</v>
      </c>
      <c r="H147" s="17" t="str">
        <f>IFERROR(__xludf.DUMMYFUNCTION("""COMPUTED_VALUE"""),"Tangerang")</f>
        <v>Tangerang</v>
      </c>
      <c r="I147" s="17" t="str">
        <f>IFERROR(__xludf.DUMMYFUNCTION("""COMPUTED_VALUE"""),"Cooking")</f>
        <v>Cooking</v>
      </c>
      <c r="J147" s="17"/>
      <c r="K147" s="20">
        <f>IFERROR(__xludf.DUMMYFUNCTION("""COMPUTED_VALUE"""),850000.0)</f>
        <v>850000</v>
      </c>
      <c r="L147" s="17"/>
      <c r="M147" s="20" t="str">
        <f>IFERROR(__xludf.DUMMYFUNCTION("""COMPUTED_VALUE"""),"FREE")</f>
        <v>FREE</v>
      </c>
      <c r="N147" s="20">
        <f>IFERROR(__xludf.DUMMYFUNCTION("""COMPUTED_VALUE"""),1500000.0)</f>
        <v>1500000</v>
      </c>
      <c r="O147" s="20">
        <f>IFERROR(__xludf.DUMMYFUNCTION("""COMPUTED_VALUE"""),1600000.0)</f>
        <v>1600000</v>
      </c>
      <c r="P147" s="20">
        <f>IFERROR(__xludf.DUMMYFUNCTION("""COMPUTED_VALUE"""),2500000.0)</f>
        <v>2500000</v>
      </c>
      <c r="Q147" s="20">
        <f>IFERROR(__xludf.DUMMYFUNCTION("""COMPUTED_VALUE"""),350000.0)</f>
        <v>350000</v>
      </c>
      <c r="R147" s="17"/>
      <c r="S147" s="17"/>
      <c r="T147" s="17"/>
      <c r="U147" s="20">
        <f>IFERROR(__xludf.DUMMYFUNCTION("""COMPUTED_VALUE"""),750000.0)</f>
        <v>750000</v>
      </c>
      <c r="V147" s="20">
        <f>IFERROR(__xludf.DUMMYFUNCTION("""COMPUTED_VALUE"""),300000.0)</f>
        <v>300000</v>
      </c>
      <c r="W147" s="20">
        <f>IFERROR(__xludf.DUMMYFUNCTION("""COMPUTED_VALUE"""),200000.0)</f>
        <v>200000</v>
      </c>
      <c r="X147" s="20">
        <f>IFERROR(__xludf.DUMMYFUNCTION("""COMPUTED_VALUE"""),5000000.0)</f>
        <v>5000000</v>
      </c>
      <c r="Y147" s="17"/>
    </row>
    <row r="148">
      <c r="A148" s="17">
        <f>IFERROR(__xludf.DUMMYFUNCTION("""COMPUTED_VALUE"""),145.0)</f>
        <v>145</v>
      </c>
      <c r="B148" s="18" t="str">
        <f>IFERROR(__xludf.DUMMYFUNCTION("""COMPUTED_VALUE"""),"riniandriyanii")</f>
        <v>riniandriyanii</v>
      </c>
      <c r="C148" s="23">
        <f>IFERROR(__xludf.DUMMYFUNCTION("""COMPUTED_VALUE"""),198000.0)</f>
        <v>198000</v>
      </c>
      <c r="D148" s="17" t="str">
        <f>IFERROR(__xludf.DUMMYFUNCTION("""COMPUTED_VALUE"""),"Mid")</f>
        <v>Mid</v>
      </c>
      <c r="E148" s="24" t="str">
        <f>IFERROR(__xludf.DUMMYFUNCTION("""COMPUTED_VALUE"""),"riniandriyanii")</f>
        <v>riniandriyanii</v>
      </c>
      <c r="F148" s="23">
        <f>IFERROR(__xludf.DUMMYFUNCTION("""COMPUTED_VALUE"""),11000.0)</f>
        <v>11000</v>
      </c>
      <c r="G148" s="17" t="str">
        <f>IFERROR(__xludf.DUMMYFUNCTION("""COMPUTED_VALUE"""),"Micro")</f>
        <v>Micro</v>
      </c>
      <c r="H148" s="17" t="str">
        <f>IFERROR(__xludf.DUMMYFUNCTION("""COMPUTED_VALUE"""),"Samarinda")</f>
        <v>Samarinda</v>
      </c>
      <c r="I148" s="17" t="str">
        <f>IFERROR(__xludf.DUMMYFUNCTION("""COMPUTED_VALUE"""),"Cooking")</f>
        <v>Cooking</v>
      </c>
      <c r="J148" s="17"/>
      <c r="K148" s="20">
        <f>IFERROR(__xludf.DUMMYFUNCTION("""COMPUTED_VALUE"""),500000.0)</f>
        <v>500000</v>
      </c>
      <c r="L148" s="17"/>
      <c r="M148" s="20" t="str">
        <f>IFERROR(__xludf.DUMMYFUNCTION("""COMPUTED_VALUE"""),"FREE")</f>
        <v>FREE</v>
      </c>
      <c r="N148" s="20">
        <f>IFERROR(__xludf.DUMMYFUNCTION("""COMPUTED_VALUE"""),700000.0)</f>
        <v>700000</v>
      </c>
      <c r="O148" s="17"/>
      <c r="P148" s="20">
        <f>IFERROR(__xludf.DUMMYFUNCTION("""COMPUTED_VALUE"""),1500000.0)</f>
        <v>1500000</v>
      </c>
      <c r="Q148" s="17"/>
      <c r="R148" s="17"/>
      <c r="S148" s="17"/>
      <c r="T148" s="17"/>
      <c r="U148" s="20">
        <f>IFERROR(__xludf.DUMMYFUNCTION("""COMPUTED_VALUE"""),1000000.0)</f>
        <v>1000000</v>
      </c>
      <c r="V148" s="17"/>
      <c r="W148" s="17"/>
      <c r="X148" s="17"/>
      <c r="Y148" s="17"/>
    </row>
    <row r="149">
      <c r="A149" s="17">
        <f>IFERROR(__xludf.DUMMYFUNCTION("""COMPUTED_VALUE"""),146.0)</f>
        <v>146</v>
      </c>
      <c r="B149" s="18" t="str">
        <f>IFERROR(__xludf.DUMMYFUNCTION("""COMPUTED_VALUE"""),"iranndha")</f>
        <v>iranndha</v>
      </c>
      <c r="C149" s="19">
        <f>IFERROR(__xludf.DUMMYFUNCTION("""COMPUTED_VALUE"""),1600000.0)</f>
        <v>1600000</v>
      </c>
      <c r="D149" s="17" t="str">
        <f>IFERROR(__xludf.DUMMYFUNCTION("""COMPUTED_VALUE"""),"Mega")</f>
        <v>Mega</v>
      </c>
      <c r="E149" s="24" t="str">
        <f>IFERROR(__xludf.DUMMYFUNCTION("""COMPUTED_VALUE"""),"iranandha")</f>
        <v>iranandha</v>
      </c>
      <c r="F149" s="19">
        <f>IFERROR(__xludf.DUMMYFUNCTION("""COMPUTED_VALUE"""),2400000.0)</f>
        <v>2400000</v>
      </c>
      <c r="G149" s="17" t="str">
        <f>IFERROR(__xludf.DUMMYFUNCTION("""COMPUTED_VALUE"""),"Mega")</f>
        <v>Mega</v>
      </c>
      <c r="H149" s="17" t="str">
        <f>IFERROR(__xludf.DUMMYFUNCTION("""COMPUTED_VALUE"""),"Tangerang")</f>
        <v>Tangerang</v>
      </c>
      <c r="I149" s="17" t="str">
        <f>IFERROR(__xludf.DUMMYFUNCTION("""COMPUTED_VALUE"""),"Lifestyle Female")</f>
        <v>Lifestyle Female</v>
      </c>
      <c r="J149" s="17"/>
      <c r="K149" s="20">
        <f>IFERROR(__xludf.DUMMYFUNCTION("""COMPUTED_VALUE"""),1.25E7)</f>
        <v>12500000</v>
      </c>
      <c r="L149" s="20">
        <f>IFERROR(__xludf.DUMMYFUNCTION("""COMPUTED_VALUE"""),2.5E7)</f>
        <v>25000000</v>
      </c>
      <c r="M149" s="17"/>
      <c r="N149" s="20">
        <f>IFERROR(__xludf.DUMMYFUNCTION("""COMPUTED_VALUE"""),2.0E7)</f>
        <v>20000000</v>
      </c>
      <c r="O149" s="17"/>
      <c r="P149" s="20">
        <f>IFERROR(__xludf.DUMMYFUNCTION("""COMPUTED_VALUE"""),4.5E7)</f>
        <v>45000000</v>
      </c>
      <c r="Q149" s="17"/>
      <c r="R149" s="20">
        <f>IFERROR(__xludf.DUMMYFUNCTION("""COMPUTED_VALUE"""),4.5E7)</f>
        <v>45000000</v>
      </c>
      <c r="S149" s="20">
        <f>IFERROR(__xludf.DUMMYFUNCTION("""COMPUTED_VALUE"""),7.0E7)</f>
        <v>70000000</v>
      </c>
      <c r="T149" s="20">
        <f>IFERROR(__xludf.DUMMYFUNCTION("""COMPUTED_VALUE"""),2.0E7)</f>
        <v>20000000</v>
      </c>
      <c r="U149" s="17"/>
      <c r="V149" s="20">
        <f>IFERROR(__xludf.DUMMYFUNCTION("""COMPUTED_VALUE"""),5000000.0)</f>
        <v>5000000</v>
      </c>
      <c r="W149" s="20">
        <f>IFERROR(__xludf.DUMMYFUNCTION("""COMPUTED_VALUE"""),3000000.0)</f>
        <v>3000000</v>
      </c>
      <c r="X149" s="20">
        <f>IFERROR(__xludf.DUMMYFUNCTION("""COMPUTED_VALUE"""),5.5E7)</f>
        <v>55000000</v>
      </c>
      <c r="Y149" s="17"/>
    </row>
    <row r="150">
      <c r="A150" s="17">
        <f>IFERROR(__xludf.DUMMYFUNCTION("""COMPUTED_VALUE"""),147.0)</f>
        <v>147</v>
      </c>
      <c r="B150" s="18" t="str">
        <f>IFERROR(__xludf.DUMMYFUNCTION("""COMPUTED_VALUE"""),"dapurmukbang99")</f>
        <v>dapurmukbang99</v>
      </c>
      <c r="C150" s="23">
        <f>IFERROR(__xludf.DUMMYFUNCTION("""COMPUTED_VALUE"""),138000.0)</f>
        <v>138000</v>
      </c>
      <c r="D150" s="17" t="str">
        <f>IFERROR(__xludf.DUMMYFUNCTION("""COMPUTED_VALUE"""),"Mid")</f>
        <v>Mid</v>
      </c>
      <c r="E150" s="24" t="str">
        <f>IFERROR(__xludf.DUMMYFUNCTION("""COMPUTED_VALUE"""),"dapurmukbang")</f>
        <v>dapurmukbang</v>
      </c>
      <c r="F150" s="23">
        <f>IFERROR(__xludf.DUMMYFUNCTION("""COMPUTED_VALUE"""),49000.0)</f>
        <v>49000</v>
      </c>
      <c r="G150" s="17" t="str">
        <f>IFERROR(__xludf.DUMMYFUNCTION("""COMPUTED_VALUE"""),"Micro")</f>
        <v>Micro</v>
      </c>
      <c r="H150" s="17" t="str">
        <f>IFERROR(__xludf.DUMMYFUNCTION("""COMPUTED_VALUE"""),"Tangerang")</f>
        <v>Tangerang</v>
      </c>
      <c r="I150" s="17" t="str">
        <f>IFERROR(__xludf.DUMMYFUNCTION("""COMPUTED_VALUE"""),"Cooking")</f>
        <v>Cooking</v>
      </c>
      <c r="J150" s="17"/>
      <c r="K150" s="17"/>
      <c r="L150" s="17"/>
      <c r="M150" s="17"/>
      <c r="N150" s="17"/>
      <c r="O150" s="20">
        <f>IFERROR(__xludf.DUMMYFUNCTION("""COMPUTED_VALUE"""),400000.0)</f>
        <v>400000</v>
      </c>
      <c r="P150" s="20" t="str">
        <f>IFERROR(__xludf.DUMMYFUNCTION("""COMPUTED_VALUE"""),"Reels + Story: Rp800,000")</f>
        <v>Reels + Story: Rp800,000</v>
      </c>
      <c r="Q150" s="17"/>
      <c r="R150" s="20">
        <f>IFERROR(__xludf.DUMMYFUNCTION("""COMPUTED_VALUE"""),500000.0)</f>
        <v>500000</v>
      </c>
      <c r="S150" s="17"/>
      <c r="T150" s="17"/>
      <c r="U150" s="20">
        <f>IFERROR(__xludf.DUMMYFUNCTION("""COMPUTED_VALUE"""),800000.0)</f>
        <v>800000</v>
      </c>
      <c r="V150" s="17"/>
      <c r="W150" s="17"/>
      <c r="X150" s="17"/>
      <c r="Y150" s="17"/>
    </row>
    <row r="151">
      <c r="A151" s="17">
        <f>IFERROR(__xludf.DUMMYFUNCTION("""COMPUTED_VALUE"""),148.0)</f>
        <v>148</v>
      </c>
      <c r="B151" s="18" t="str">
        <f>IFERROR(__xludf.DUMMYFUNCTION("""COMPUTED_VALUE"""),"putrihabibie")</f>
        <v>putrihabibie</v>
      </c>
      <c r="C151" s="23">
        <f>IFERROR(__xludf.DUMMYFUNCTION("""COMPUTED_VALUE"""),629000.0)</f>
        <v>629000</v>
      </c>
      <c r="D151" s="17" t="str">
        <f>IFERROR(__xludf.DUMMYFUNCTION("""COMPUTED_VALUE"""),"Macro")</f>
        <v>Macro</v>
      </c>
      <c r="E151" s="24" t="str">
        <f>IFERROR(__xludf.DUMMYFUNCTION("""COMPUTED_VALUE"""),"putrihabibierecipes")</f>
        <v>putrihabibierecipes</v>
      </c>
      <c r="F151" s="23">
        <f>IFERROR(__xludf.DUMMYFUNCTION("""COMPUTED_VALUE"""),160000.0)</f>
        <v>160000</v>
      </c>
      <c r="G151" s="17" t="str">
        <f>IFERROR(__xludf.DUMMYFUNCTION("""COMPUTED_VALUE"""),"Mid")</f>
        <v>Mid</v>
      </c>
      <c r="H151" s="17" t="str">
        <f>IFERROR(__xludf.DUMMYFUNCTION("""COMPUTED_VALUE"""),"Jakarta")</f>
        <v>Jakarta</v>
      </c>
      <c r="I151" s="17" t="str">
        <f>IFERROR(__xludf.DUMMYFUNCTION("""COMPUTED_VALUE"""),"Cooking")</f>
        <v>Cooking</v>
      </c>
      <c r="J151" s="17"/>
      <c r="K151" s="20">
        <f>IFERROR(__xludf.DUMMYFUNCTION("""COMPUTED_VALUE"""),3600000.0)</f>
        <v>3600000</v>
      </c>
      <c r="L151" s="20">
        <f>IFERROR(__xludf.DUMMYFUNCTION("""COMPUTED_VALUE"""),1.3E7)</f>
        <v>13000000</v>
      </c>
      <c r="M151" s="20">
        <f>IFERROR(__xludf.DUMMYFUNCTION("""COMPUTED_VALUE"""),900000.0)</f>
        <v>900000</v>
      </c>
      <c r="N151" s="20">
        <f>IFERROR(__xludf.DUMMYFUNCTION("""COMPUTED_VALUE"""),1.8E7)</f>
        <v>18000000</v>
      </c>
      <c r="O151" s="20">
        <f>IFERROR(__xludf.DUMMYFUNCTION("""COMPUTED_VALUE"""),2.1E7)</f>
        <v>21000000</v>
      </c>
      <c r="P151" s="20">
        <f>IFERROR(__xludf.DUMMYFUNCTION("""COMPUTED_VALUE"""),2.5E7)</f>
        <v>25000000</v>
      </c>
      <c r="Q151" s="17"/>
      <c r="R151" s="20">
        <f>IFERROR(__xludf.DUMMYFUNCTION("""COMPUTED_VALUE"""),2.1E7)</f>
        <v>21000000</v>
      </c>
      <c r="S151" s="20">
        <f>IFERROR(__xludf.DUMMYFUNCTION("""COMPUTED_VALUE"""),1.0E7)</f>
        <v>10000000</v>
      </c>
      <c r="T151" s="17"/>
      <c r="U151" s="20">
        <f>IFERROR(__xludf.DUMMYFUNCTION("""COMPUTED_VALUE"""),2.5E7)</f>
        <v>25000000</v>
      </c>
      <c r="V151" s="17"/>
      <c r="W151" s="17"/>
      <c r="X151" s="17"/>
      <c r="Y151" s="17"/>
    </row>
    <row r="152">
      <c r="A152" s="17">
        <f>IFERROR(__xludf.DUMMYFUNCTION("""COMPUTED_VALUE"""),149.0)</f>
        <v>149</v>
      </c>
      <c r="B152" s="18" t="str">
        <f>IFERROR(__xludf.DUMMYFUNCTION("""COMPUTED_VALUE"""),"winnibarus")</f>
        <v>winnibarus</v>
      </c>
      <c r="C152" s="23">
        <f>IFERROR(__xludf.DUMMYFUNCTION("""COMPUTED_VALUE"""),116000.0)</f>
        <v>116000</v>
      </c>
      <c r="D152" s="17" t="str">
        <f>IFERROR(__xludf.DUMMYFUNCTION("""COMPUTED_VALUE"""),"Mid")</f>
        <v>Mid</v>
      </c>
      <c r="E152" s="24" t="str">
        <f>IFERROR(__xludf.DUMMYFUNCTION("""COMPUTED_VALUE"""),"winnibarus")</f>
        <v>winnibarus</v>
      </c>
      <c r="F152" s="23">
        <f>IFERROR(__xludf.DUMMYFUNCTION("""COMPUTED_VALUE"""),47000.0)</f>
        <v>47000</v>
      </c>
      <c r="G152" s="17" t="str">
        <f>IFERROR(__xludf.DUMMYFUNCTION("""COMPUTED_VALUE"""),"Micro")</f>
        <v>Micro</v>
      </c>
      <c r="H152" s="17" t="str">
        <f>IFERROR(__xludf.DUMMYFUNCTION("""COMPUTED_VALUE"""),"Bekasi")</f>
        <v>Bekasi</v>
      </c>
      <c r="I152" s="17" t="str">
        <f>IFERROR(__xludf.DUMMYFUNCTION("""COMPUTED_VALUE"""),"Cooking")</f>
        <v>Cooking</v>
      </c>
      <c r="J152" s="17"/>
      <c r="K152" s="17"/>
      <c r="L152" s="17"/>
      <c r="M152" s="17"/>
      <c r="N152" s="17"/>
      <c r="O152" s="17"/>
      <c r="P152" s="20">
        <f>IFERROR(__xludf.DUMMYFUNCTION("""COMPUTED_VALUE"""),1000000.0)</f>
        <v>1000000</v>
      </c>
      <c r="Q152" s="17"/>
      <c r="R152" s="20">
        <f>IFERROR(__xludf.DUMMYFUNCTION("""COMPUTED_VALUE"""),1000000.0)</f>
        <v>1000000</v>
      </c>
      <c r="S152" s="17"/>
      <c r="T152" s="17"/>
      <c r="U152" s="20">
        <f>IFERROR(__xludf.DUMMYFUNCTION("""COMPUTED_VALUE"""),2000000.0)</f>
        <v>2000000</v>
      </c>
      <c r="V152" s="17"/>
      <c r="W152" s="17"/>
      <c r="X152" s="17"/>
      <c r="Y152" s="17"/>
    </row>
    <row r="153">
      <c r="A153" s="17">
        <f>IFERROR(__xludf.DUMMYFUNCTION("""COMPUTED_VALUE"""),150.0)</f>
        <v>150</v>
      </c>
      <c r="B153" s="18" t="str">
        <f>IFERROR(__xludf.DUMMYFUNCTION("""COMPUTED_VALUE"""),"mardatillahika")</f>
        <v>mardatillahika</v>
      </c>
      <c r="C153" s="23">
        <f>IFERROR(__xludf.DUMMYFUNCTION("""COMPUTED_VALUE"""),491000.0)</f>
        <v>491000</v>
      </c>
      <c r="D153" s="17" t="str">
        <f>IFERROR(__xludf.DUMMYFUNCTION("""COMPUTED_VALUE"""),"Mid")</f>
        <v>Mid</v>
      </c>
      <c r="E153" s="24" t="str">
        <f>IFERROR(__xludf.DUMMYFUNCTION("""COMPUTED_VALUE"""),"mardatillahika")</f>
        <v>mardatillahika</v>
      </c>
      <c r="F153" s="19">
        <f>IFERROR(__xludf.DUMMYFUNCTION("""COMPUTED_VALUE"""),1200000.0)</f>
        <v>1200000</v>
      </c>
      <c r="G153" s="17" t="str">
        <f>IFERROR(__xludf.DUMMYFUNCTION("""COMPUTED_VALUE"""),"Mega")</f>
        <v>Mega</v>
      </c>
      <c r="H153" s="17" t="str">
        <f>IFERROR(__xludf.DUMMYFUNCTION("""COMPUTED_VALUE"""),"Lumajang")</f>
        <v>Lumajang</v>
      </c>
      <c r="I153" s="17" t="str">
        <f>IFERROR(__xludf.DUMMYFUNCTION("""COMPUTED_VALUE"""),"Cooking")</f>
        <v>Cooking</v>
      </c>
      <c r="J153" s="17"/>
      <c r="K153" s="17"/>
      <c r="L153" s="17"/>
      <c r="M153" s="17"/>
      <c r="N153" s="17"/>
      <c r="O153" s="17"/>
      <c r="P153" s="20">
        <f>IFERROR(__xludf.DUMMYFUNCTION("""COMPUTED_VALUE"""),3500000.0)</f>
        <v>3500000</v>
      </c>
      <c r="Q153" s="17"/>
      <c r="R153" s="20">
        <f>IFERROR(__xludf.DUMMYFUNCTION("""COMPUTED_VALUE"""),3500000.0)</f>
        <v>3500000</v>
      </c>
      <c r="S153" s="20">
        <f>IFERROR(__xludf.DUMMYFUNCTION("""COMPUTED_VALUE"""),4000000.0)</f>
        <v>4000000</v>
      </c>
      <c r="T153" s="17"/>
      <c r="U153" s="17"/>
      <c r="V153" s="17"/>
      <c r="W153" s="17"/>
      <c r="X153" s="17"/>
      <c r="Y153" s="17"/>
    </row>
    <row r="154">
      <c r="A154" s="17">
        <f>IFERROR(__xludf.DUMMYFUNCTION("""COMPUTED_VALUE"""),151.0)</f>
        <v>151</v>
      </c>
      <c r="B154" s="18" t="str">
        <f>IFERROR(__xludf.DUMMYFUNCTION("""COMPUTED_VALUE"""),"amihandmade")</f>
        <v>amihandmade</v>
      </c>
      <c r="C154" s="23">
        <f>IFERROR(__xludf.DUMMYFUNCTION("""COMPUTED_VALUE"""),193000.0)</f>
        <v>193000</v>
      </c>
      <c r="D154" s="17" t="str">
        <f>IFERROR(__xludf.DUMMYFUNCTION("""COMPUTED_VALUE"""),"Mid")</f>
        <v>Mid</v>
      </c>
      <c r="E154" s="17"/>
      <c r="F154" s="17"/>
      <c r="G154" s="17"/>
      <c r="H154" s="17" t="str">
        <f>IFERROR(__xludf.DUMMYFUNCTION("""COMPUTED_VALUE"""),"Yogyakarta")</f>
        <v>Yogyakarta</v>
      </c>
      <c r="I154" s="17" t="str">
        <f>IFERROR(__xludf.DUMMYFUNCTION("""COMPUTED_VALUE"""),"Cooking")</f>
        <v>Cooking</v>
      </c>
      <c r="J154" s="17"/>
      <c r="K154" s="17"/>
      <c r="L154" s="17"/>
      <c r="M154" s="17"/>
      <c r="N154" s="17"/>
      <c r="O154" s="17"/>
      <c r="P154" s="20">
        <f>IFERROR(__xludf.DUMMYFUNCTION("""COMPUTED_VALUE"""),800000.0)</f>
        <v>800000</v>
      </c>
      <c r="Q154" s="17"/>
      <c r="R154" s="17"/>
      <c r="S154" s="17"/>
      <c r="T154" s="17"/>
      <c r="U154" s="20">
        <f>IFERROR(__xludf.DUMMYFUNCTION("""COMPUTED_VALUE"""),700000.0)</f>
        <v>700000</v>
      </c>
      <c r="V154" s="17"/>
      <c r="W154" s="17"/>
      <c r="X154" s="17"/>
      <c r="Y154" s="17"/>
    </row>
    <row r="155">
      <c r="A155" s="17">
        <f>IFERROR(__xludf.DUMMYFUNCTION("""COMPUTED_VALUE"""),152.0)</f>
        <v>152</v>
      </c>
      <c r="B155" s="18" t="str">
        <f>IFERROR(__xludf.DUMMYFUNCTION("""COMPUTED_VALUE"""),"amandamanopo")</f>
        <v>amandamanopo</v>
      </c>
      <c r="C155" s="19">
        <f>IFERROR(__xludf.DUMMYFUNCTION("""COMPUTED_VALUE"""),1.58E7)</f>
        <v>15800000</v>
      </c>
      <c r="D155" s="17" t="str">
        <f>IFERROR(__xludf.DUMMYFUNCTION("""COMPUTED_VALUE"""),"Mega")</f>
        <v>Mega</v>
      </c>
      <c r="E155" s="24" t="str">
        <f>IFERROR(__xludf.DUMMYFUNCTION("""COMPUTED_VALUE"""),"agml612")</f>
        <v>agml612</v>
      </c>
      <c r="F155" s="19">
        <f>IFERROR(__xludf.DUMMYFUNCTION("""COMPUTED_VALUE"""),6300000.0)</f>
        <v>6300000</v>
      </c>
      <c r="G155" s="17" t="str">
        <f>IFERROR(__xludf.DUMMYFUNCTION("""COMPUTED_VALUE"""),"Mega")</f>
        <v>Mega</v>
      </c>
      <c r="H155" s="17" t="str">
        <f>IFERROR(__xludf.DUMMYFUNCTION("""COMPUTED_VALUE"""),"Jakarta")</f>
        <v>Jakarta</v>
      </c>
      <c r="I155" s="17" t="str">
        <f>IFERROR(__xludf.DUMMYFUNCTION("""COMPUTED_VALUE"""),"Actor/Actress")</f>
        <v>Actor/Actress</v>
      </c>
      <c r="J155" s="20">
        <f>IFERROR(__xludf.DUMMYFUNCTION("""COMPUTED_VALUE"""),1.5E7)</f>
        <v>15000000</v>
      </c>
      <c r="K155" s="20">
        <f>IFERROR(__xludf.DUMMYFUNCTION("""COMPUTED_VALUE"""),2.5E7)</f>
        <v>25000000</v>
      </c>
      <c r="L155" s="20">
        <f>IFERROR(__xludf.DUMMYFUNCTION("""COMPUTED_VALUE"""),3.5E7)</f>
        <v>35000000</v>
      </c>
      <c r="M155" s="20" t="str">
        <f>IFERROR(__xludf.DUMMYFUNCTION("""COMPUTED_VALUE"""),"FREE")</f>
        <v>FREE</v>
      </c>
      <c r="N155" s="20">
        <f>IFERROR(__xludf.DUMMYFUNCTION("""COMPUTED_VALUE"""),6.0E7)</f>
        <v>60000000</v>
      </c>
      <c r="O155" s="20">
        <f>IFERROR(__xludf.DUMMYFUNCTION("""COMPUTED_VALUE"""),7.5E7)</f>
        <v>75000000</v>
      </c>
      <c r="P155" s="20">
        <f>IFERROR(__xludf.DUMMYFUNCTION("""COMPUTED_VALUE"""),1.35E8)</f>
        <v>135000000</v>
      </c>
      <c r="Q155" s="20">
        <f>IFERROR(__xludf.DUMMYFUNCTION("""COMPUTED_VALUE"""),2.5E7)</f>
        <v>25000000</v>
      </c>
      <c r="R155" s="20">
        <f>IFERROR(__xludf.DUMMYFUNCTION("""COMPUTED_VALUE"""),1.2E8)</f>
        <v>120000000</v>
      </c>
      <c r="S155" s="20">
        <f>IFERROR(__xludf.DUMMYFUNCTION("""COMPUTED_VALUE"""),2.5E8)</f>
        <v>250000000</v>
      </c>
      <c r="T155" s="20">
        <f>IFERROR(__xludf.DUMMYFUNCTION("""COMPUTED_VALUE"""),1.1E8)</f>
        <v>110000000</v>
      </c>
      <c r="U155" s="20">
        <f>IFERROR(__xludf.DUMMYFUNCTION("""COMPUTED_VALUE"""),8.8E7)</f>
        <v>88000000</v>
      </c>
      <c r="V155" s="20">
        <f>IFERROR(__xludf.DUMMYFUNCTION("""COMPUTED_VALUE"""),5000000.0)</f>
        <v>5000000</v>
      </c>
      <c r="W155" s="20">
        <f>IFERROR(__xludf.DUMMYFUNCTION("""COMPUTED_VALUE"""),2.5E7)</f>
        <v>25000000</v>
      </c>
      <c r="X155" s="20">
        <f>IFERROR(__xludf.DUMMYFUNCTION("""COMPUTED_VALUE"""),8.8E7)</f>
        <v>88000000</v>
      </c>
      <c r="Y155" s="17"/>
    </row>
    <row r="156">
      <c r="A156" s="17">
        <f>IFERROR(__xludf.DUMMYFUNCTION("""COMPUTED_VALUE"""),153.0)</f>
        <v>153</v>
      </c>
      <c r="B156" s="18" t="str">
        <f>IFERROR(__xludf.DUMMYFUNCTION("""COMPUTED_VALUE"""),"veyalvia22")</f>
        <v>veyalvia22</v>
      </c>
      <c r="C156" s="23">
        <f>IFERROR(__xludf.DUMMYFUNCTION("""COMPUTED_VALUE"""),198000.0)</f>
        <v>198000</v>
      </c>
      <c r="D156" s="17" t="str">
        <f>IFERROR(__xludf.DUMMYFUNCTION("""COMPUTED_VALUE"""),"Mid")</f>
        <v>Mid</v>
      </c>
      <c r="E156" s="24" t="str">
        <f>IFERROR(__xludf.DUMMYFUNCTION("""COMPUTED_VALUE"""),"veyalvia22")</f>
        <v>veyalvia22</v>
      </c>
      <c r="F156" s="23">
        <f>IFERROR(__xludf.DUMMYFUNCTION("""COMPUTED_VALUE"""),428600.0)</f>
        <v>428600</v>
      </c>
      <c r="G156" s="17" t="str">
        <f>IFERROR(__xludf.DUMMYFUNCTION("""COMPUTED_VALUE"""),"Mid")</f>
        <v>Mid</v>
      </c>
      <c r="H156" s="17" t="str">
        <f>IFERROR(__xludf.DUMMYFUNCTION("""COMPUTED_VALUE"""),"Bandung")</f>
        <v>Bandung</v>
      </c>
      <c r="I156" s="17" t="str">
        <f>IFERROR(__xludf.DUMMYFUNCTION("""COMPUTED_VALUE"""),"Homeliving")</f>
        <v>Homeliving</v>
      </c>
      <c r="J156" s="17"/>
      <c r="K156" s="20" t="str">
        <f>IFERROR(__xludf.DUMMYFUNCTION("""COMPUTED_VALUE"""),"Rp1,500,000 (3 frame)")</f>
        <v>Rp1,500,000 (3 frame)</v>
      </c>
      <c r="L156" s="17"/>
      <c r="M156" s="17"/>
      <c r="N156" s="20">
        <f>IFERROR(__xludf.DUMMYFUNCTION("""COMPUTED_VALUE"""),3000000.0)</f>
        <v>3000000</v>
      </c>
      <c r="O156" s="17"/>
      <c r="P156" s="20" t="str">
        <f>IFERROR(__xludf.DUMMYFUNCTION("""COMPUTED_VALUE"""),"Rp3,000,000
Reels + Story: Rp4,000,000")</f>
        <v>Rp3,000,000
Reels + Story: Rp4,000,000</v>
      </c>
      <c r="Q156" s="17"/>
      <c r="R156" s="20">
        <f>IFERROR(__xludf.DUMMYFUNCTION("""COMPUTED_VALUE"""),2000000.0)</f>
        <v>2000000</v>
      </c>
      <c r="S156" s="17"/>
      <c r="T156" s="17"/>
      <c r="U156" s="20">
        <f>IFERROR(__xludf.DUMMYFUNCTION("""COMPUTED_VALUE"""),500000.0)</f>
        <v>500000</v>
      </c>
      <c r="V156" s="17"/>
      <c r="W156" s="17"/>
      <c r="X156" s="17"/>
      <c r="Y156" s="17"/>
    </row>
    <row r="157">
      <c r="A157" s="17">
        <f>IFERROR(__xludf.DUMMYFUNCTION("""COMPUTED_VALUE"""),154.0)</f>
        <v>154</v>
      </c>
      <c r="B157" s="18" t="str">
        <f>IFERROR(__xludf.DUMMYFUNCTION("""COMPUTED_VALUE"""),"inginkurrus_")</f>
        <v>inginkurrus_</v>
      </c>
      <c r="C157" s="23">
        <f>IFERROR(__xludf.DUMMYFUNCTION("""COMPUTED_VALUE"""),143000.0)</f>
        <v>143000</v>
      </c>
      <c r="D157" s="17" t="str">
        <f>IFERROR(__xludf.DUMMYFUNCTION("""COMPUTED_VALUE"""),"Mid")</f>
        <v>Mid</v>
      </c>
      <c r="E157" s="24" t="str">
        <f>IFERROR(__xludf.DUMMYFUNCTION("""COMPUTED_VALUE"""),"inginkurrus15")</f>
        <v>inginkurrus15</v>
      </c>
      <c r="F157" s="23">
        <f>IFERROR(__xludf.DUMMYFUNCTION("""COMPUTED_VALUE"""),198100.0)</f>
        <v>198100</v>
      </c>
      <c r="G157" s="17" t="str">
        <f>IFERROR(__xludf.DUMMYFUNCTION("""COMPUTED_VALUE"""),"Mid")</f>
        <v>Mid</v>
      </c>
      <c r="H157" s="17" t="str">
        <f>IFERROR(__xludf.DUMMYFUNCTION("""COMPUTED_VALUE"""),"Malang")</f>
        <v>Malang</v>
      </c>
      <c r="I157" s="17" t="str">
        <f>IFERROR(__xludf.DUMMYFUNCTION("""COMPUTED_VALUE"""),"FnB")</f>
        <v>FnB</v>
      </c>
      <c r="J157" s="17"/>
      <c r="K157" s="20" t="str">
        <f>IFERROR(__xludf.DUMMYFUNCTION("""COMPUTED_VALUE"""),"Story + Reels + TikTok + Visit Store = Rp1,300,000")</f>
        <v>Story + Reels + TikTok + Visit Store = Rp1,300,000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>
        <f>IFERROR(__xludf.DUMMYFUNCTION("""COMPUTED_VALUE"""),155.0)</f>
        <v>155</v>
      </c>
      <c r="B158" s="18" t="str">
        <f>IFERROR(__xludf.DUMMYFUNCTION("""COMPUTED_VALUE"""),"vanessasevilla.vs")</f>
        <v>vanessasevilla.vs</v>
      </c>
      <c r="C158" s="23">
        <f>IFERROR(__xludf.DUMMYFUNCTION("""COMPUTED_VALUE"""),162000.0)</f>
        <v>162000</v>
      </c>
      <c r="D158" s="17" t="str">
        <f>IFERROR(__xludf.DUMMYFUNCTION("""COMPUTED_VALUE"""),"Mid")</f>
        <v>Mid</v>
      </c>
      <c r="E158" s="24" t="str">
        <f>IFERROR(__xludf.DUMMYFUNCTION("""COMPUTED_VALUE"""),"v.sevillaaa")</f>
        <v>v.sevillaaa</v>
      </c>
      <c r="F158" s="23">
        <f>IFERROR(__xludf.DUMMYFUNCTION("""COMPUTED_VALUE"""),337100.0)</f>
        <v>337100</v>
      </c>
      <c r="G158" s="17" t="str">
        <f>IFERROR(__xludf.DUMMYFUNCTION("""COMPUTED_VALUE"""),"Mid")</f>
        <v>Mid</v>
      </c>
      <c r="H158" s="17" t="str">
        <f>IFERROR(__xludf.DUMMYFUNCTION("""COMPUTED_VALUE"""),"Jambi")</f>
        <v>Jambi</v>
      </c>
      <c r="I158" s="17" t="str">
        <f>IFERROR(__xludf.DUMMYFUNCTION("""COMPUTED_VALUE"""),"- Beauty
- Pasutri")</f>
        <v>- Beauty
- Pasutri</v>
      </c>
      <c r="J158" s="20">
        <f>IFERROR(__xludf.DUMMYFUNCTION("""COMPUTED_VALUE"""),600000.0)</f>
        <v>600000</v>
      </c>
      <c r="K158" s="20">
        <f>IFERROR(__xludf.DUMMYFUNCTION("""COMPUTED_VALUE"""),1500000.0)</f>
        <v>1500000</v>
      </c>
      <c r="L158" s="20">
        <f>IFERROR(__xludf.DUMMYFUNCTION("""COMPUTED_VALUE"""),2500000.0)</f>
        <v>2500000</v>
      </c>
      <c r="M158" s="20">
        <f>IFERROR(__xludf.DUMMYFUNCTION("""COMPUTED_VALUE"""),200000.0)</f>
        <v>200000</v>
      </c>
      <c r="N158" s="20">
        <f>IFERROR(__xludf.DUMMYFUNCTION("""COMPUTED_VALUE"""),3000000.0)</f>
        <v>3000000</v>
      </c>
      <c r="O158" s="20">
        <f>IFERROR(__xludf.DUMMYFUNCTION("""COMPUTED_VALUE"""),3000000.0)</f>
        <v>3000000</v>
      </c>
      <c r="P158" s="20">
        <f>IFERROR(__xludf.DUMMYFUNCTION("""COMPUTED_VALUE"""),9000000.0)</f>
        <v>9000000</v>
      </c>
      <c r="Q158" s="20">
        <f>IFERROR(__xludf.DUMMYFUNCTION("""COMPUTED_VALUE"""),1000000.0)</f>
        <v>1000000</v>
      </c>
      <c r="R158" s="20">
        <f>IFERROR(__xludf.DUMMYFUNCTION("""COMPUTED_VALUE"""),1.05E7)</f>
        <v>10500000</v>
      </c>
      <c r="S158" s="20">
        <f>IFERROR(__xludf.DUMMYFUNCTION("""COMPUTED_VALUE"""),9750000.0)</f>
        <v>9750000</v>
      </c>
      <c r="T158" s="20">
        <f>IFERROR(__xludf.DUMMYFUNCTION("""COMPUTED_VALUE"""),8000000.0)</f>
        <v>8000000</v>
      </c>
      <c r="U158" s="20">
        <f>IFERROR(__xludf.DUMMYFUNCTION("""COMPUTED_VALUE"""),3000000.0)</f>
        <v>3000000</v>
      </c>
      <c r="V158" s="20">
        <f>IFERROR(__xludf.DUMMYFUNCTION("""COMPUTED_VALUE"""),500000.0)</f>
        <v>500000</v>
      </c>
      <c r="W158" s="20">
        <f>IFERROR(__xludf.DUMMYFUNCTION("""COMPUTED_VALUE"""),500000.0)</f>
        <v>500000</v>
      </c>
      <c r="X158" s="20">
        <f>IFERROR(__xludf.DUMMYFUNCTION("""COMPUTED_VALUE"""),1.8E7)</f>
        <v>18000000</v>
      </c>
      <c r="Y158" s="17"/>
    </row>
    <row r="159">
      <c r="A159" s="17">
        <f>IFERROR(__xludf.DUMMYFUNCTION("""COMPUTED_VALUE"""),156.0)</f>
        <v>156</v>
      </c>
      <c r="B159" s="18" t="str">
        <f>IFERROR(__xludf.DUMMYFUNCTION("""COMPUTED_VALUE"""),"dr.inseqyuur")</f>
        <v>dr.inseqyuur</v>
      </c>
      <c r="C159" s="23">
        <f>IFERROR(__xludf.DUMMYFUNCTION("""COMPUTED_VALUE"""),5000.0)</f>
        <v>5000</v>
      </c>
      <c r="D159" s="17" t="str">
        <f>IFERROR(__xludf.DUMMYFUNCTION("""COMPUTED_VALUE"""),"Nano")</f>
        <v>Nano</v>
      </c>
      <c r="E159" s="24" t="str">
        <f>IFERROR(__xludf.DUMMYFUNCTION("""COMPUTED_VALUE"""),"dr.inseqyuur")</f>
        <v>dr.inseqyuur</v>
      </c>
      <c r="F159" s="23">
        <f>IFERROR(__xludf.DUMMYFUNCTION("""COMPUTED_VALUE"""),282400.0)</f>
        <v>282400</v>
      </c>
      <c r="G159" s="17" t="str">
        <f>IFERROR(__xludf.DUMMYFUNCTION("""COMPUTED_VALUE"""),"Mid")</f>
        <v>Mid</v>
      </c>
      <c r="H159" s="17" t="str">
        <f>IFERROR(__xludf.DUMMYFUNCTION("""COMPUTED_VALUE"""),"Bandung")</f>
        <v>Bandung</v>
      </c>
      <c r="I159" s="17" t="str">
        <f>IFERROR(__xludf.DUMMYFUNCTION("""COMPUTED_VALUE"""),"FnB")</f>
        <v>FnB</v>
      </c>
      <c r="J159" s="17"/>
      <c r="K159" s="17"/>
      <c r="L159" s="17"/>
      <c r="M159" s="17"/>
      <c r="N159" s="17"/>
      <c r="O159" s="17"/>
      <c r="P159" s="17"/>
      <c r="Q159" s="17"/>
      <c r="R159" s="20">
        <f>IFERROR(__xludf.DUMMYFUNCTION("""COMPUTED_VALUE"""),3000000.0)</f>
        <v>3000000</v>
      </c>
      <c r="S159" s="20">
        <f>IFERROR(__xludf.DUMMYFUNCTION("""COMPUTED_VALUE"""),500000.0)</f>
        <v>500000</v>
      </c>
      <c r="T159" s="17"/>
      <c r="U159" s="21">
        <f>IFERROR(__xludf.DUMMYFUNCTION("""COMPUTED_VALUE"""),1.0)</f>
        <v>1</v>
      </c>
      <c r="V159" s="17"/>
      <c r="W159" s="20">
        <f>IFERROR(__xludf.DUMMYFUNCTION("""COMPUTED_VALUE"""),1000000.0)</f>
        <v>1000000</v>
      </c>
      <c r="X159" s="20" t="str">
        <f>IFERROR(__xludf.DUMMYFUNCTION("""COMPUTED_VALUE"""),"Rp1,000,000 (Dalam Kota)
Rp2,000,000 (Jabodetabek)")</f>
        <v>Rp1,000,000 (Dalam Kota)
Rp2,000,000 (Jabodetabek)</v>
      </c>
      <c r="Y159" s="17"/>
    </row>
    <row r="160">
      <c r="A160" s="17">
        <f>IFERROR(__xludf.DUMMYFUNCTION("""COMPUTED_VALUE"""),157.0)</f>
        <v>157</v>
      </c>
      <c r="B160" s="18" t="str">
        <f>IFERROR(__xludf.DUMMYFUNCTION("""COMPUTED_VALUE"""),"teukuryantr")</f>
        <v>teukuryantr</v>
      </c>
      <c r="C160" s="19">
        <f>IFERROR(__xludf.DUMMYFUNCTION("""COMPUTED_VALUE"""),4000000.0)</f>
        <v>4000000</v>
      </c>
      <c r="D160" s="17" t="str">
        <f>IFERROR(__xludf.DUMMYFUNCTION("""COMPUTED_VALUE"""),"Mega")</f>
        <v>Mega</v>
      </c>
      <c r="E160" s="24" t="str">
        <f>IFERROR(__xludf.DUMMYFUNCTION("""COMPUTED_VALUE"""),"teukuryantr")</f>
        <v>teukuryantr</v>
      </c>
      <c r="F160" s="19">
        <f>IFERROR(__xludf.DUMMYFUNCTION("""COMPUTED_VALUE"""),6000000.0)</f>
        <v>6000000</v>
      </c>
      <c r="G160" s="17" t="str">
        <f>IFERROR(__xludf.DUMMYFUNCTION("""COMPUTED_VALUE"""),"Mega")</f>
        <v>Mega</v>
      </c>
      <c r="H160" s="17" t="str">
        <f>IFERROR(__xludf.DUMMYFUNCTION("""COMPUTED_VALUE"""),"Jakarta")</f>
        <v>Jakarta</v>
      </c>
      <c r="I160" s="17" t="str">
        <f>IFERROR(__xludf.DUMMYFUNCTION("""COMPUTED_VALUE"""),"Lifestyle Male")</f>
        <v>Lifestyle Male</v>
      </c>
      <c r="J160" s="17"/>
      <c r="K160" s="20">
        <f>IFERROR(__xludf.DUMMYFUNCTION("""COMPUTED_VALUE"""),4000000.0)</f>
        <v>4000000</v>
      </c>
      <c r="L160" s="17"/>
      <c r="M160" s="20">
        <f>IFERROR(__xludf.DUMMYFUNCTION("""COMPUTED_VALUE"""),2000000.0)</f>
        <v>2000000</v>
      </c>
      <c r="N160" s="20">
        <f>IFERROR(__xludf.DUMMYFUNCTION("""COMPUTED_VALUE"""),1.0E7)</f>
        <v>10000000</v>
      </c>
      <c r="O160" s="17"/>
      <c r="P160" s="20">
        <f>IFERROR(__xludf.DUMMYFUNCTION("""COMPUTED_VALUE"""),1.5E7)</f>
        <v>15000000</v>
      </c>
      <c r="Q160" s="17"/>
      <c r="R160" s="20">
        <f>IFERROR(__xludf.DUMMYFUNCTION("""COMPUTED_VALUE"""),1.5E7)</f>
        <v>15000000</v>
      </c>
      <c r="S160" s="17"/>
      <c r="T160" s="20">
        <f>IFERROR(__xludf.DUMMYFUNCTION("""COMPUTED_VALUE"""),1.0E7)</f>
        <v>10000000</v>
      </c>
      <c r="U160" s="20">
        <f>IFERROR(__xludf.DUMMYFUNCTION("""COMPUTED_VALUE"""),1.0E7)</f>
        <v>10000000</v>
      </c>
      <c r="V160" s="17"/>
      <c r="W160" s="17"/>
      <c r="X160" s="17"/>
      <c r="Y160" s="17"/>
    </row>
    <row r="161">
      <c r="A161" s="17">
        <f>IFERROR(__xludf.DUMMYFUNCTION("""COMPUTED_VALUE"""),158.0)</f>
        <v>158</v>
      </c>
      <c r="B161" s="18" t="str">
        <f>IFERROR(__xludf.DUMMYFUNCTION("""COMPUTED_VALUE"""),"syafira_hdd")</f>
        <v>syafira_hdd</v>
      </c>
      <c r="C161" s="19">
        <f>IFERROR(__xludf.DUMMYFUNCTION("""COMPUTED_VALUE"""),2100000.0)</f>
        <v>2100000</v>
      </c>
      <c r="D161" s="17" t="str">
        <f>IFERROR(__xludf.DUMMYFUNCTION("""COMPUTED_VALUE"""),"Mega")</f>
        <v>Mega</v>
      </c>
      <c r="E161" s="24" t="str">
        <f>IFERROR(__xludf.DUMMYFUNCTION("""COMPUTED_VALUE"""),"ndhiraa07")</f>
        <v>ndhiraa07</v>
      </c>
      <c r="F161" s="19">
        <f>IFERROR(__xludf.DUMMYFUNCTION("""COMPUTED_VALUE"""),9200000.0)</f>
        <v>9200000</v>
      </c>
      <c r="G161" s="17" t="str">
        <f>IFERROR(__xludf.DUMMYFUNCTION("""COMPUTED_VALUE"""),"Mega")</f>
        <v>Mega</v>
      </c>
      <c r="H161" s="17" t="str">
        <f>IFERROR(__xludf.DUMMYFUNCTION("""COMPUTED_VALUE"""),"Tangerang Selatan")</f>
        <v>Tangerang Selatan</v>
      </c>
      <c r="I161" s="17" t="str">
        <f>IFERROR(__xludf.DUMMYFUNCTION("""COMPUTED_VALUE"""),"-  Lifestyle Female
- Family
- Mom &amp; Kids")</f>
        <v>-  Lifestyle Female
- Family
- Mom &amp; Kids</v>
      </c>
      <c r="J161" s="17"/>
      <c r="K161" s="20">
        <f>IFERROR(__xludf.DUMMYFUNCTION("""COMPUTED_VALUE"""),1.5E7)</f>
        <v>15000000</v>
      </c>
      <c r="L161" s="20">
        <f>IFERROR(__xludf.DUMMYFUNCTION("""COMPUTED_VALUE"""),2.7E7)</f>
        <v>27000000</v>
      </c>
      <c r="M161" s="20" t="str">
        <f>IFERROR(__xludf.DUMMYFUNCTION("""COMPUTED_VALUE"""),"FREE")</f>
        <v>FREE</v>
      </c>
      <c r="N161" s="20">
        <f>IFERROR(__xludf.DUMMYFUNCTION("""COMPUTED_VALUE"""),3.0E7)</f>
        <v>30000000</v>
      </c>
      <c r="O161" s="20">
        <f>IFERROR(__xludf.DUMMYFUNCTION("""COMPUTED_VALUE"""),3.1E7)</f>
        <v>31000000</v>
      </c>
      <c r="P161" s="20">
        <f>IFERROR(__xludf.DUMMYFUNCTION("""COMPUTED_VALUE"""),4.0E7)</f>
        <v>40000000</v>
      </c>
      <c r="Q161" s="20">
        <f>IFERROR(__xludf.DUMMYFUNCTION("""COMPUTED_VALUE"""),2.5E7)</f>
        <v>25000000</v>
      </c>
      <c r="R161" s="20">
        <f>IFERROR(__xludf.DUMMYFUNCTION("""COMPUTED_VALUE"""),6.0E7)</f>
        <v>60000000</v>
      </c>
      <c r="S161" s="20">
        <f>IFERROR(__xludf.DUMMYFUNCTION("""COMPUTED_VALUE"""),2.5E7)</f>
        <v>25000000</v>
      </c>
      <c r="T161" s="20">
        <f>IFERROR(__xludf.DUMMYFUNCTION("""COMPUTED_VALUE"""),5.5E7)</f>
        <v>55000000</v>
      </c>
      <c r="U161" s="21">
        <f>IFERROR(__xludf.DUMMYFUNCTION("""COMPUTED_VALUE"""),1.0)</f>
        <v>1</v>
      </c>
      <c r="V161" s="20">
        <f>IFERROR(__xludf.DUMMYFUNCTION("""COMPUTED_VALUE"""),1.5E7)</f>
        <v>15000000</v>
      </c>
      <c r="W161" s="17"/>
      <c r="X161" s="17"/>
      <c r="Y161" s="17"/>
    </row>
    <row r="162">
      <c r="A162" s="17">
        <f>IFERROR(__xludf.DUMMYFUNCTION("""COMPUTED_VALUE"""),159.0)</f>
        <v>159</v>
      </c>
      <c r="B162" s="18" t="str">
        <f>IFERROR(__xludf.DUMMYFUNCTION("""COMPUTED_VALUE"""),"violenziajean")</f>
        <v>violenziajean</v>
      </c>
      <c r="C162" s="19">
        <f>IFERROR(__xludf.DUMMYFUNCTION("""COMPUTED_VALUE"""),1400000.0)</f>
        <v>1400000</v>
      </c>
      <c r="D162" s="17" t="str">
        <f>IFERROR(__xludf.DUMMYFUNCTION("""COMPUTED_VALUE"""),"Mega")</f>
        <v>Mega</v>
      </c>
      <c r="E162" s="24" t="str">
        <f>IFERROR(__xludf.DUMMYFUNCTION("""COMPUTED_VALUE"""),"violenziajeanette")</f>
        <v>violenziajeanette</v>
      </c>
      <c r="F162" s="19">
        <f>IFERROR(__xludf.DUMMYFUNCTION("""COMPUTED_VALUE"""),1500000.0)</f>
        <v>1500000</v>
      </c>
      <c r="G162" s="17" t="str">
        <f>IFERROR(__xludf.DUMMYFUNCTION("""COMPUTED_VALUE"""),"Mega")</f>
        <v>Mega</v>
      </c>
      <c r="H162" s="17" t="str">
        <f>IFERROR(__xludf.DUMMYFUNCTION("""COMPUTED_VALUE"""),"Jakarta")</f>
        <v>Jakarta</v>
      </c>
      <c r="I162" s="17" t="str">
        <f>IFERROR(__xludf.DUMMYFUNCTION("""COMPUTED_VALUE"""),"-  Lifestyle Female
- Mom &amp; Kids")</f>
        <v>-  Lifestyle Female
- Mom &amp; Kids</v>
      </c>
      <c r="J162" s="17"/>
      <c r="K162" s="20">
        <f>IFERROR(__xludf.DUMMYFUNCTION("""COMPUTED_VALUE"""),1.0E7)</f>
        <v>10000000</v>
      </c>
      <c r="L162" s="20">
        <f>IFERROR(__xludf.DUMMYFUNCTION("""COMPUTED_VALUE"""),2.0E7)</f>
        <v>20000000</v>
      </c>
      <c r="M162" s="20" t="str">
        <f>IFERROR(__xludf.DUMMYFUNCTION("""COMPUTED_VALUE"""),"FREE")</f>
        <v>FREE</v>
      </c>
      <c r="N162" s="20">
        <f>IFERROR(__xludf.DUMMYFUNCTION("""COMPUTED_VALUE"""),2.0E7)</f>
        <v>20000000</v>
      </c>
      <c r="O162" s="20">
        <f>IFERROR(__xludf.DUMMYFUNCTION("""COMPUTED_VALUE"""),2.5E7)</f>
        <v>25000000</v>
      </c>
      <c r="P162" s="20">
        <f>IFERROR(__xludf.DUMMYFUNCTION("""COMPUTED_VALUE"""),2.8E7)</f>
        <v>28000000</v>
      </c>
      <c r="Q162" s="20">
        <f>IFERROR(__xludf.DUMMYFUNCTION("""COMPUTED_VALUE"""),5000000.0)</f>
        <v>5000000</v>
      </c>
      <c r="R162" s="20">
        <f>IFERROR(__xludf.DUMMYFUNCTION("""COMPUTED_VALUE"""),2.8E7)</f>
        <v>28000000</v>
      </c>
      <c r="S162" s="17"/>
      <c r="T162" s="20">
        <f>IFERROR(__xludf.DUMMYFUNCTION("""COMPUTED_VALUE"""),3.0E7)</f>
        <v>30000000</v>
      </c>
      <c r="U162" s="17"/>
      <c r="V162" s="17"/>
      <c r="W162" s="20">
        <f>IFERROR(__xludf.DUMMYFUNCTION("""COMPUTED_VALUE"""),3000000.0)</f>
        <v>3000000</v>
      </c>
      <c r="X162" s="17"/>
      <c r="Y162" s="17"/>
    </row>
    <row r="163">
      <c r="A163" s="17">
        <f>IFERROR(__xludf.DUMMYFUNCTION("""COMPUTED_VALUE"""),160.0)</f>
        <v>160</v>
      </c>
      <c r="B163" s="18" t="str">
        <f>IFERROR(__xludf.DUMMYFUNCTION("""COMPUTED_VALUE"""),"ratuaulia22_")</f>
        <v>ratuaulia22_</v>
      </c>
      <c r="C163" s="19">
        <f>IFERROR(__xludf.DUMMYFUNCTION("""COMPUTED_VALUE"""),1900000.0)</f>
        <v>1900000</v>
      </c>
      <c r="D163" s="17" t="str">
        <f>IFERROR(__xludf.DUMMYFUNCTION("""COMPUTED_VALUE"""),"Mega")</f>
        <v>Mega</v>
      </c>
      <c r="E163" s="24" t="str">
        <f>IFERROR(__xludf.DUMMYFUNCTION("""COMPUTED_VALUE"""),"ratuauliaa22")</f>
        <v>ratuauliaa22</v>
      </c>
      <c r="F163" s="19">
        <f>IFERROR(__xludf.DUMMYFUNCTION("""COMPUTED_VALUE"""),1.61E7)</f>
        <v>16100000</v>
      </c>
      <c r="G163" s="17" t="str">
        <f>IFERROR(__xludf.DUMMYFUNCTION("""COMPUTED_VALUE"""),"Mega")</f>
        <v>Mega</v>
      </c>
      <c r="H163" s="17" t="str">
        <f>IFERROR(__xludf.DUMMYFUNCTION("""COMPUTED_VALUE"""),"Jakarta")</f>
        <v>Jakarta</v>
      </c>
      <c r="I163" s="17" t="str">
        <f>IFERROR(__xludf.DUMMYFUNCTION("""COMPUTED_VALUE"""),"Lifestyle Female")</f>
        <v>Lifestyle Female</v>
      </c>
      <c r="J163" s="20">
        <f>IFERROR(__xludf.DUMMYFUNCTION("""COMPUTED_VALUE"""),2500000.0)</f>
        <v>2500000</v>
      </c>
      <c r="K163" s="20">
        <f>IFERROR(__xludf.DUMMYFUNCTION("""COMPUTED_VALUE"""),4000000.0)</f>
        <v>4000000</v>
      </c>
      <c r="L163" s="17"/>
      <c r="M163" s="20">
        <f>IFERROR(__xludf.DUMMYFUNCTION("""COMPUTED_VALUE"""),3000000.0)</f>
        <v>3000000</v>
      </c>
      <c r="N163" s="20">
        <f>IFERROR(__xludf.DUMMYFUNCTION("""COMPUTED_VALUE"""),1.5E7)</f>
        <v>15000000</v>
      </c>
      <c r="O163" s="17"/>
      <c r="P163" s="20">
        <f>IFERROR(__xludf.DUMMYFUNCTION("""COMPUTED_VALUE"""),2.5E7)</f>
        <v>25000000</v>
      </c>
      <c r="Q163" s="17"/>
      <c r="R163" s="20">
        <f>IFERROR(__xludf.DUMMYFUNCTION("""COMPUTED_VALUE"""),3.5E7)</f>
        <v>35000000</v>
      </c>
      <c r="S163" s="17"/>
      <c r="T163" s="17"/>
      <c r="U163" s="17"/>
      <c r="V163" s="17"/>
      <c r="W163" s="20">
        <f>IFERROR(__xludf.DUMMYFUNCTION("""COMPUTED_VALUE"""),3.5E7)</f>
        <v>35000000</v>
      </c>
      <c r="X163" s="17"/>
      <c r="Y163" s="17"/>
    </row>
    <row r="164">
      <c r="A164" s="17">
        <f>IFERROR(__xludf.DUMMYFUNCTION("""COMPUTED_VALUE"""),161.0)</f>
        <v>161</v>
      </c>
      <c r="B164" s="18" t="str">
        <f>IFERROR(__xludf.DUMMYFUNCTION("""COMPUTED_VALUE"""),"fajjarsadboy")</f>
        <v>fajjarsadboy</v>
      </c>
      <c r="C164" s="23">
        <f>IFERROR(__xludf.DUMMYFUNCTION("""COMPUTED_VALUE"""),601000.0)</f>
        <v>601000</v>
      </c>
      <c r="D164" s="17" t="str">
        <f>IFERROR(__xludf.DUMMYFUNCTION("""COMPUTED_VALUE"""),"Macro")</f>
        <v>Macro</v>
      </c>
      <c r="E164" s="24" t="str">
        <f>IFERROR(__xludf.DUMMYFUNCTION("""COMPUTED_VALUE"""),"fajarlabatjo")</f>
        <v>fajarlabatjo</v>
      </c>
      <c r="F164" s="19">
        <f>IFERROR(__xludf.DUMMYFUNCTION("""COMPUTED_VALUE"""),1400000.0)</f>
        <v>1400000</v>
      </c>
      <c r="G164" s="17" t="str">
        <f>IFERROR(__xludf.DUMMYFUNCTION("""COMPUTED_VALUE"""),"Mega")</f>
        <v>Mega</v>
      </c>
      <c r="H164" s="17" t="str">
        <f>IFERROR(__xludf.DUMMYFUNCTION("""COMPUTED_VALUE"""),"Jakarta")</f>
        <v>Jakarta</v>
      </c>
      <c r="I164" s="17" t="str">
        <f>IFERROR(__xludf.DUMMYFUNCTION("""COMPUTED_VALUE"""),"Actor/Actress")</f>
        <v>Actor/Actress</v>
      </c>
      <c r="J164" s="17"/>
      <c r="K164" s="20">
        <f>IFERROR(__xludf.DUMMYFUNCTION("""COMPUTED_VALUE"""),7000000.0)</f>
        <v>7000000</v>
      </c>
      <c r="L164" s="17"/>
      <c r="M164" s="17"/>
      <c r="N164" s="20">
        <f>IFERROR(__xludf.DUMMYFUNCTION("""COMPUTED_VALUE"""),4.0E7)</f>
        <v>40000000</v>
      </c>
      <c r="O164" s="17"/>
      <c r="P164" s="20">
        <f>IFERROR(__xludf.DUMMYFUNCTION("""COMPUTED_VALUE"""),5.0E7)</f>
        <v>50000000</v>
      </c>
      <c r="Q164" s="20">
        <f>IFERROR(__xludf.DUMMYFUNCTION("""COMPUTED_VALUE"""),4.5E7)</f>
        <v>45000000</v>
      </c>
      <c r="R164" s="20">
        <f>IFERROR(__xludf.DUMMYFUNCTION("""COMPUTED_VALUE"""),6.0E7)</f>
        <v>60000000</v>
      </c>
      <c r="S164" s="17"/>
      <c r="T164" s="20">
        <f>IFERROR(__xludf.DUMMYFUNCTION("""COMPUTED_VALUE"""),7.0E7)</f>
        <v>70000000</v>
      </c>
      <c r="U164" s="17"/>
      <c r="V164" s="17"/>
      <c r="W164" s="17"/>
      <c r="X164" s="17"/>
      <c r="Y164" s="17"/>
    </row>
    <row r="165">
      <c r="A165" s="17">
        <f>IFERROR(__xludf.DUMMYFUNCTION("""COMPUTED_VALUE"""),162.0)</f>
        <v>162</v>
      </c>
      <c r="B165" s="18" t="str">
        <f>IFERROR(__xludf.DUMMYFUNCTION("""COMPUTED_VALUE"""),"kennyauztin")</f>
        <v>kennyauztin</v>
      </c>
      <c r="C165" s="19">
        <f>IFERROR(__xludf.DUMMYFUNCTION("""COMPUTED_VALUE"""),3000000.0)</f>
        <v>3000000</v>
      </c>
      <c r="D165" s="17" t="str">
        <f>IFERROR(__xludf.DUMMYFUNCTION("""COMPUTED_VALUE"""),"Mega")</f>
        <v>Mega</v>
      </c>
      <c r="E165" s="24" t="str">
        <f>IFERROR(__xludf.DUMMYFUNCTION("""COMPUTED_VALUE"""),"kennyauztin16")</f>
        <v>kennyauztin16</v>
      </c>
      <c r="F165" s="19">
        <f>IFERROR(__xludf.DUMMYFUNCTION("""COMPUTED_VALUE"""),1300000.0)</f>
        <v>1300000</v>
      </c>
      <c r="G165" s="17" t="str">
        <f>IFERROR(__xludf.DUMMYFUNCTION("""COMPUTED_VALUE"""),"Mega")</f>
        <v>Mega</v>
      </c>
      <c r="H165" s="17" t="str">
        <f>IFERROR(__xludf.DUMMYFUNCTION("""COMPUTED_VALUE"""),"Jakarta")</f>
        <v>Jakarta</v>
      </c>
      <c r="I165" s="17" t="str">
        <f>IFERROR(__xludf.DUMMYFUNCTION("""COMPUTED_VALUE"""),"Actor/Actress")</f>
        <v>Actor/Actress</v>
      </c>
      <c r="J165" s="17"/>
      <c r="K165" s="20">
        <f>IFERROR(__xludf.DUMMYFUNCTION("""COMPUTED_VALUE"""),1.5E7)</f>
        <v>15000000</v>
      </c>
      <c r="L165" s="20">
        <f>IFERROR(__xludf.DUMMYFUNCTION("""COMPUTED_VALUE"""),2.25E7)</f>
        <v>22500000</v>
      </c>
      <c r="M165" s="20" t="str">
        <f>IFERROR(__xludf.DUMMYFUNCTION("""COMPUTED_VALUE"""),"FREE")</f>
        <v>FREE</v>
      </c>
      <c r="N165" s="20">
        <f>IFERROR(__xludf.DUMMYFUNCTION("""COMPUTED_VALUE"""),3.0E7)</f>
        <v>30000000</v>
      </c>
      <c r="O165" s="20">
        <f>IFERROR(__xludf.DUMMYFUNCTION("""COMPUTED_VALUE"""),3.5E7)</f>
        <v>35000000</v>
      </c>
      <c r="P165" s="20">
        <f>IFERROR(__xludf.DUMMYFUNCTION("""COMPUTED_VALUE"""),5.0E7)</f>
        <v>50000000</v>
      </c>
      <c r="Q165" s="17"/>
      <c r="R165" s="20">
        <f>IFERROR(__xludf.DUMMYFUNCTION("""COMPUTED_VALUE"""),5.0E7)</f>
        <v>50000000</v>
      </c>
      <c r="S165" s="17"/>
      <c r="T165" s="20">
        <f>IFERROR(__xludf.DUMMYFUNCTION("""COMPUTED_VALUE"""),5.0E7)</f>
        <v>50000000</v>
      </c>
      <c r="U165" s="17"/>
      <c r="V165" s="20">
        <f>IFERROR(__xludf.DUMMYFUNCTION("""COMPUTED_VALUE"""),5000000.0)</f>
        <v>5000000</v>
      </c>
      <c r="W165" s="17"/>
      <c r="X165" s="17"/>
      <c r="Y165" s="17"/>
    </row>
    <row r="166">
      <c r="A166" s="17">
        <f>IFERROR(__xludf.DUMMYFUNCTION("""COMPUTED_VALUE"""),163.0)</f>
        <v>163</v>
      </c>
      <c r="B166" s="18" t="str">
        <f>IFERROR(__xludf.DUMMYFUNCTION("""COMPUTED_VALUE"""),"sandrofahdhipa")</f>
        <v>sandrofahdhipa</v>
      </c>
      <c r="C166" s="23">
        <f>IFERROR(__xludf.DUMMYFUNCTION("""COMPUTED_VALUE"""),104000.0)</f>
        <v>104000</v>
      </c>
      <c r="D166" s="20" t="str">
        <f>IFERROR(__xludf.DUMMYFUNCTION("""COMPUTED_VALUE"""),"Mid")</f>
        <v>Mid</v>
      </c>
      <c r="E166" s="24" t="str">
        <f>IFERROR(__xludf.DUMMYFUNCTION("""COMPUTED_VALUE"""),"dhip___")</f>
        <v>dhip___</v>
      </c>
      <c r="F166" s="23">
        <f>IFERROR(__xludf.DUMMYFUNCTION("""COMPUTED_VALUE"""),41300.0)</f>
        <v>41300</v>
      </c>
      <c r="G166" s="20" t="str">
        <f>IFERROR(__xludf.DUMMYFUNCTION("""COMPUTED_VALUE"""),"Micro")</f>
        <v>Micro</v>
      </c>
      <c r="H166" s="17" t="str">
        <f>IFERROR(__xludf.DUMMYFUNCTION("""COMPUTED_VALUE"""),"Bekasi")</f>
        <v>Bekasi</v>
      </c>
      <c r="I166" s="17" t="str">
        <f>IFERROR(__xludf.DUMMYFUNCTION("""COMPUTED_VALUE"""),"- Lifestyle Male
- Family
- Fashion Pria")</f>
        <v>- Lifestyle Male
- Family
- Fashion Pria</v>
      </c>
      <c r="J166" s="17"/>
      <c r="K166" s="20">
        <f>IFERROR(__xludf.DUMMYFUNCTION("""COMPUTED_VALUE"""),2500000.0)</f>
        <v>2500000</v>
      </c>
      <c r="L166" s="20">
        <f>IFERROR(__xludf.DUMMYFUNCTION("""COMPUTED_VALUE"""),5000000.0)</f>
        <v>5000000</v>
      </c>
      <c r="M166" s="20" t="str">
        <f>IFERROR(__xludf.DUMMYFUNCTION("""COMPUTED_VALUE"""),"FREE")</f>
        <v>FREE</v>
      </c>
      <c r="N166" s="20">
        <f>IFERROR(__xludf.DUMMYFUNCTION("""COMPUTED_VALUE"""),3500000.0)</f>
        <v>3500000</v>
      </c>
      <c r="O166" s="17"/>
      <c r="P166" s="20">
        <f>IFERROR(__xludf.DUMMYFUNCTION("""COMPUTED_VALUE"""),7500000.0)</f>
        <v>7500000</v>
      </c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>
        <f>IFERROR(__xludf.DUMMYFUNCTION("""COMPUTED_VALUE"""),164.0)</f>
        <v>164</v>
      </c>
      <c r="B167" s="18" t="str">
        <f>IFERROR(__xludf.DUMMYFUNCTION("""COMPUTED_VALUE"""),"clarissaputri_")</f>
        <v>clarissaputri_</v>
      </c>
      <c r="C167" s="19">
        <f>IFERROR(__xludf.DUMMYFUNCTION("""COMPUTED_VALUE"""),1300000.0)</f>
        <v>1300000</v>
      </c>
      <c r="D167" s="20" t="str">
        <f>IFERROR(__xludf.DUMMYFUNCTION("""COMPUTED_VALUE"""),"Mega")</f>
        <v>Mega</v>
      </c>
      <c r="E167" s="24" t="str">
        <f>IFERROR(__xludf.DUMMYFUNCTION("""COMPUTED_VALUE"""),"clarissaputrih")</f>
        <v>clarissaputrih</v>
      </c>
      <c r="F167" s="19">
        <f>IFERROR(__xludf.DUMMYFUNCTION("""COMPUTED_VALUE"""),1400000.0)</f>
        <v>1400000</v>
      </c>
      <c r="G167" s="20" t="str">
        <f>IFERROR(__xludf.DUMMYFUNCTION("""COMPUTED_VALUE"""),"Mega")</f>
        <v>Mega</v>
      </c>
      <c r="H167" s="17" t="str">
        <f>IFERROR(__xludf.DUMMYFUNCTION("""COMPUTED_VALUE"""),"Bekasi")</f>
        <v>Bekasi</v>
      </c>
      <c r="I167" s="17" t="str">
        <f>IFERROR(__xludf.DUMMYFUNCTION("""COMPUTED_VALUE"""),"Lifestyle Female")</f>
        <v>Lifestyle Female</v>
      </c>
      <c r="J167" s="20">
        <f>IFERROR(__xludf.DUMMYFUNCTION("""COMPUTED_VALUE"""),2000000.0)</f>
        <v>2000000</v>
      </c>
      <c r="K167" s="20">
        <f>IFERROR(__xludf.DUMMYFUNCTION("""COMPUTED_VALUE"""),1.2E7)</f>
        <v>12000000</v>
      </c>
      <c r="L167" s="20">
        <f>IFERROR(__xludf.DUMMYFUNCTION("""COMPUTED_VALUE"""),3.0E7)</f>
        <v>30000000</v>
      </c>
      <c r="M167" s="20" t="str">
        <f>IFERROR(__xludf.DUMMYFUNCTION("""COMPUTED_VALUE"""),"FREE")</f>
        <v>FREE</v>
      </c>
      <c r="N167" s="20">
        <f>IFERROR(__xludf.DUMMYFUNCTION("""COMPUTED_VALUE"""),3.0E7)</f>
        <v>30000000</v>
      </c>
      <c r="O167" s="20">
        <f>IFERROR(__xludf.DUMMYFUNCTION("""COMPUTED_VALUE"""),3.5E7)</f>
        <v>35000000</v>
      </c>
      <c r="P167" s="20">
        <f>IFERROR(__xludf.DUMMYFUNCTION("""COMPUTED_VALUE"""),5.0E7)</f>
        <v>50000000</v>
      </c>
      <c r="Q167" s="20">
        <f>IFERROR(__xludf.DUMMYFUNCTION("""COMPUTED_VALUE"""),1.0E7)</f>
        <v>10000000</v>
      </c>
      <c r="R167" s="20">
        <f>IFERROR(__xludf.DUMMYFUNCTION("""COMPUTED_VALUE"""),5.0E7)</f>
        <v>50000000</v>
      </c>
      <c r="S167" s="20">
        <f>IFERROR(__xludf.DUMMYFUNCTION("""COMPUTED_VALUE"""),8.5E7)</f>
        <v>85000000</v>
      </c>
      <c r="T167" s="20">
        <f>IFERROR(__xludf.DUMMYFUNCTION("""COMPUTED_VALUE"""),3.0E7)</f>
        <v>30000000</v>
      </c>
      <c r="U167" s="20">
        <f>IFERROR(__xludf.DUMMYFUNCTION("""COMPUTED_VALUE"""),7.0E7)</f>
        <v>70000000</v>
      </c>
      <c r="V167" s="20">
        <f>IFERROR(__xludf.DUMMYFUNCTION("""COMPUTED_VALUE"""),2.0E7)</f>
        <v>20000000</v>
      </c>
      <c r="W167" s="20">
        <f>IFERROR(__xludf.DUMMYFUNCTION("""COMPUTED_VALUE"""),1.0E7)</f>
        <v>10000000</v>
      </c>
      <c r="X167" s="20">
        <f>IFERROR(__xludf.DUMMYFUNCTION("""COMPUTED_VALUE"""),1.0E7)</f>
        <v>10000000</v>
      </c>
      <c r="Y167" s="17"/>
    </row>
    <row r="168">
      <c r="A168" s="17">
        <f>IFERROR(__xludf.DUMMYFUNCTION("""COMPUTED_VALUE"""),165.0)</f>
        <v>165</v>
      </c>
      <c r="B168" s="18" t="str">
        <f>IFERROR(__xludf.DUMMYFUNCTION("""COMPUTED_VALUE"""),"fadiljaidi")</f>
        <v>fadiljaidi</v>
      </c>
      <c r="C168" s="19">
        <f>IFERROR(__xludf.DUMMYFUNCTION("""COMPUTED_VALUE"""),1.39E7)</f>
        <v>13900000</v>
      </c>
      <c r="D168" s="20" t="str">
        <f>IFERROR(__xludf.DUMMYFUNCTION("""COMPUTED_VALUE"""),"Mega")</f>
        <v>Mega</v>
      </c>
      <c r="E168" s="24" t="str">
        <f>IFERROR(__xludf.DUMMYFUNCTION("""COMPUTED_VALUE"""),"fadiljaidi")</f>
        <v>fadiljaidi</v>
      </c>
      <c r="F168" s="19">
        <f>IFERROR(__xludf.DUMMYFUNCTION("""COMPUTED_VALUE"""),1.63E7)</f>
        <v>16300000</v>
      </c>
      <c r="G168" s="20" t="str">
        <f>IFERROR(__xludf.DUMMYFUNCTION("""COMPUTED_VALUE"""),"Mega")</f>
        <v>Mega</v>
      </c>
      <c r="H168" s="17" t="str">
        <f>IFERROR(__xludf.DUMMYFUNCTION("""COMPUTED_VALUE"""),"Bekasi")</f>
        <v>Bekasi</v>
      </c>
      <c r="I168" s="17" t="str">
        <f>IFERROR(__xludf.DUMMYFUNCTION("""COMPUTED_VALUE"""),"- Lifestyle Male
- Family
- Comedy")</f>
        <v>- Lifestyle Male
- Family
- Comedy</v>
      </c>
      <c r="J168" s="17"/>
      <c r="K168" s="20">
        <f>IFERROR(__xludf.DUMMYFUNCTION("""COMPUTED_VALUE"""),3.0E7)</f>
        <v>30000000</v>
      </c>
      <c r="L168" s="20">
        <f>IFERROR(__xludf.DUMMYFUNCTION("""COMPUTED_VALUE"""),1.0E8)</f>
        <v>100000000</v>
      </c>
      <c r="M168" s="20" t="str">
        <f>IFERROR(__xludf.DUMMYFUNCTION("""COMPUTED_VALUE"""),"FREE")</f>
        <v>FREE</v>
      </c>
      <c r="N168" s="20">
        <f>IFERROR(__xludf.DUMMYFUNCTION("""COMPUTED_VALUE"""),7.0E7)</f>
        <v>70000000</v>
      </c>
      <c r="O168" s="20">
        <f>IFERROR(__xludf.DUMMYFUNCTION("""COMPUTED_VALUE"""),1.0E8)</f>
        <v>100000000</v>
      </c>
      <c r="P168" s="20">
        <f>IFERROR(__xludf.DUMMYFUNCTION("""COMPUTED_VALUE"""),1.1E8)</f>
        <v>110000000</v>
      </c>
      <c r="Q168" s="17"/>
      <c r="R168" s="20">
        <f>IFERROR(__xludf.DUMMYFUNCTION("""COMPUTED_VALUE"""),1.1E8)</f>
        <v>110000000</v>
      </c>
      <c r="S168" s="20">
        <f>IFERROR(__xludf.DUMMYFUNCTION("""COMPUTED_VALUE"""),1.95E8)</f>
        <v>195000000</v>
      </c>
      <c r="T168" s="17"/>
      <c r="U168" s="17"/>
      <c r="V168" s="17"/>
      <c r="W168" s="17"/>
      <c r="X168" s="17"/>
      <c r="Y168" s="17"/>
    </row>
    <row r="169">
      <c r="A169" s="17">
        <f>IFERROR(__xludf.DUMMYFUNCTION("""COMPUTED_VALUE"""),166.0)</f>
        <v>166</v>
      </c>
      <c r="B169" s="18" t="str">
        <f>IFERROR(__xludf.DUMMYFUNCTION("""COMPUTED_VALUE"""),"miskashf")</f>
        <v>miskashf</v>
      </c>
      <c r="C169" s="19">
        <f>IFERROR(__xludf.DUMMYFUNCTION("""COMPUTED_VALUE"""),2200000.0)</f>
        <v>2200000</v>
      </c>
      <c r="D169" s="20" t="str">
        <f>IFERROR(__xludf.DUMMYFUNCTION("""COMPUTED_VALUE"""),"Mega")</f>
        <v>Mega</v>
      </c>
      <c r="E169" s="24" t="str">
        <f>IFERROR(__xludf.DUMMYFUNCTION("""COMPUTED_VALUE"""),"miskashf")</f>
        <v>miskashf</v>
      </c>
      <c r="F169" s="23">
        <f>IFERROR(__xludf.DUMMYFUNCTION("""COMPUTED_VALUE"""),867100.0)</f>
        <v>867100</v>
      </c>
      <c r="G169" s="20" t="str">
        <f>IFERROR(__xludf.DUMMYFUNCTION("""COMPUTED_VALUE"""),"Macro")</f>
        <v>Macro</v>
      </c>
      <c r="H169" s="17" t="str">
        <f>IFERROR(__xludf.DUMMYFUNCTION("""COMPUTED_VALUE"""),"Bekasi")</f>
        <v>Bekasi</v>
      </c>
      <c r="I169" s="17" t="str">
        <f>IFERROR(__xludf.DUMMYFUNCTION("""COMPUTED_VALUE"""),"-  Lifestyle Female
- Mom &amp; Kids")</f>
        <v>-  Lifestyle Female
- Mom &amp; Kids</v>
      </c>
      <c r="J169" s="17"/>
      <c r="K169" s="20">
        <f>IFERROR(__xludf.DUMMYFUNCTION("""COMPUTED_VALUE"""),1.2E7)</f>
        <v>12000000</v>
      </c>
      <c r="L169" s="17"/>
      <c r="M169" s="20" t="str">
        <f>IFERROR(__xludf.DUMMYFUNCTION("""COMPUTED_VALUE"""),"FREE")</f>
        <v>FREE</v>
      </c>
      <c r="N169" s="20">
        <f>IFERROR(__xludf.DUMMYFUNCTION("""COMPUTED_VALUE"""),2.2E7)</f>
        <v>22000000</v>
      </c>
      <c r="O169" s="17"/>
      <c r="P169" s="20">
        <f>IFERROR(__xludf.DUMMYFUNCTION("""COMPUTED_VALUE"""),4.0E7)</f>
        <v>40000000</v>
      </c>
      <c r="Q169" s="17"/>
      <c r="R169" s="17"/>
      <c r="S169" s="17"/>
      <c r="T169" s="20">
        <f>IFERROR(__xludf.DUMMYFUNCTION("""COMPUTED_VALUE"""),4.0E7)</f>
        <v>40000000</v>
      </c>
      <c r="U169" s="17"/>
      <c r="V169" s="17"/>
      <c r="W169" s="17"/>
      <c r="X169" s="17"/>
      <c r="Y169" s="17"/>
    </row>
    <row r="170">
      <c r="A170" s="17">
        <f>IFERROR(__xludf.DUMMYFUNCTION("""COMPUTED_VALUE"""),167.0)</f>
        <v>167</v>
      </c>
      <c r="B170" s="18" t="str">
        <f>IFERROR(__xludf.DUMMYFUNCTION("""COMPUTED_VALUE"""),"jeromepolin")</f>
        <v>jeromepolin</v>
      </c>
      <c r="C170" s="19">
        <f>IFERROR(__xludf.DUMMYFUNCTION("""COMPUTED_VALUE"""),9500000.0)</f>
        <v>9500000</v>
      </c>
      <c r="D170" s="20" t="str">
        <f>IFERROR(__xludf.DUMMYFUNCTION("""COMPUTED_VALUE"""),"Mega")</f>
        <v>Mega</v>
      </c>
      <c r="E170" s="24" t="str">
        <f>IFERROR(__xludf.DUMMYFUNCTION("""COMPUTED_VALUE"""),"jeromepolin98")</f>
        <v>jeromepolin98</v>
      </c>
      <c r="F170" s="19">
        <f>IFERROR(__xludf.DUMMYFUNCTION("""COMPUTED_VALUE"""),6800000.0)</f>
        <v>6800000</v>
      </c>
      <c r="G170" s="20" t="str">
        <f>IFERROR(__xludf.DUMMYFUNCTION("""COMPUTED_VALUE"""),"Mega")</f>
        <v>Mega</v>
      </c>
      <c r="H170" s="17" t="str">
        <f>IFERROR(__xludf.DUMMYFUNCTION("""COMPUTED_VALUE"""),"Jakarta")</f>
        <v>Jakarta</v>
      </c>
      <c r="I170" s="17" t="str">
        <f>IFERROR(__xludf.DUMMYFUNCTION("""COMPUTED_VALUE"""),"- Lifestyle Male 
- Education")</f>
        <v>- Lifestyle Male 
- Education</v>
      </c>
      <c r="J170" s="17"/>
      <c r="K170" s="20">
        <f>IFERROR(__xludf.DUMMYFUNCTION("""COMPUTED_VALUE"""),1.5E7)</f>
        <v>15000000</v>
      </c>
      <c r="L170" s="20">
        <f>IFERROR(__xludf.DUMMYFUNCTION("""COMPUTED_VALUE"""),3.5E7)</f>
        <v>35000000</v>
      </c>
      <c r="M170" s="17"/>
      <c r="N170" s="20">
        <f>IFERROR(__xludf.DUMMYFUNCTION("""COMPUTED_VALUE"""),6.5E7)</f>
        <v>65000000</v>
      </c>
      <c r="O170" s="17"/>
      <c r="P170" s="20">
        <f>IFERROR(__xludf.DUMMYFUNCTION("""COMPUTED_VALUE"""),9.0E7)</f>
        <v>90000000</v>
      </c>
      <c r="Q170" s="17"/>
      <c r="R170" s="20">
        <f>IFERROR(__xludf.DUMMYFUNCTION("""COMPUTED_VALUE"""),7.0E7)</f>
        <v>70000000</v>
      </c>
      <c r="S170" s="20">
        <f>IFERROR(__xludf.DUMMYFUNCTION("""COMPUTED_VALUE"""),1.25E8)</f>
        <v>125000000</v>
      </c>
      <c r="T170" s="20">
        <f>IFERROR(__xludf.DUMMYFUNCTION("""COMPUTED_VALUE"""),6.5E7)</f>
        <v>65000000</v>
      </c>
      <c r="U170" s="17"/>
      <c r="V170" s="17"/>
      <c r="W170" s="17"/>
      <c r="X170" s="17"/>
      <c r="Y170" s="17"/>
    </row>
    <row r="171">
      <c r="A171" s="17">
        <f>IFERROR(__xludf.DUMMYFUNCTION("""COMPUTED_VALUE"""),168.0)</f>
        <v>168</v>
      </c>
      <c r="B171" s="18" t="str">
        <f>IFERROR(__xludf.DUMMYFUNCTION("""COMPUTED_VALUE"""),"jerhemynemo")</f>
        <v>jerhemynemo</v>
      </c>
      <c r="C171" s="19">
        <f>IFERROR(__xludf.DUMMYFUNCTION("""COMPUTED_VALUE"""),2000000.0)</f>
        <v>2000000</v>
      </c>
      <c r="D171" s="20" t="str">
        <f>IFERROR(__xludf.DUMMYFUNCTION("""COMPUTED_VALUE"""),"Mega")</f>
        <v>Mega</v>
      </c>
      <c r="E171" s="24" t="str">
        <f>IFERROR(__xludf.DUMMYFUNCTION("""COMPUTED_VALUE"""),"jerhemynemoo")</f>
        <v>jerhemynemoo</v>
      </c>
      <c r="F171" s="19">
        <f>IFERROR(__xludf.DUMMYFUNCTION("""COMPUTED_VALUE"""),5000000.0)</f>
        <v>5000000</v>
      </c>
      <c r="G171" s="20" t="str">
        <f>IFERROR(__xludf.DUMMYFUNCTION("""COMPUTED_VALUE"""),"Mega")</f>
        <v>Mega</v>
      </c>
      <c r="H171" s="17" t="str">
        <f>IFERROR(__xludf.DUMMYFUNCTION("""COMPUTED_VALUE"""),"Indonesia")</f>
        <v>Indonesia</v>
      </c>
      <c r="I171" s="17" t="str">
        <f>IFERROR(__xludf.DUMMYFUNCTION("""COMPUTED_VALUE"""),"- Lifestyle Male 
- Education")</f>
        <v>- Lifestyle Male 
- Education</v>
      </c>
      <c r="J171" s="17"/>
      <c r="K171" s="20">
        <f>IFERROR(__xludf.DUMMYFUNCTION("""COMPUTED_VALUE"""),5500000.0)</f>
        <v>5500000</v>
      </c>
      <c r="L171" s="20">
        <f>IFERROR(__xludf.DUMMYFUNCTION("""COMPUTED_VALUE"""),1.05E7)</f>
        <v>10500000</v>
      </c>
      <c r="M171" s="17"/>
      <c r="N171" s="17"/>
      <c r="O171" s="20">
        <f>IFERROR(__xludf.DUMMYFUNCTION("""COMPUTED_VALUE"""),1.4E7)</f>
        <v>14000000</v>
      </c>
      <c r="P171" s="20">
        <f>IFERROR(__xludf.DUMMYFUNCTION("""COMPUTED_VALUE"""),2.75E7)</f>
        <v>27500000</v>
      </c>
      <c r="Q171" s="17"/>
      <c r="R171" s="20">
        <f>IFERROR(__xludf.DUMMYFUNCTION("""COMPUTED_VALUE"""),3.0E7)</f>
        <v>30000000</v>
      </c>
      <c r="S171" s="20">
        <f>IFERROR(__xludf.DUMMYFUNCTION("""COMPUTED_VALUE"""),3.85E7)</f>
        <v>38500000</v>
      </c>
      <c r="T171" s="20">
        <f>IFERROR(__xludf.DUMMYFUNCTION("""COMPUTED_VALUE"""),9500000.0)</f>
        <v>9500000</v>
      </c>
      <c r="U171" s="17"/>
      <c r="V171" s="17"/>
      <c r="W171" s="20">
        <f>IFERROR(__xludf.DUMMYFUNCTION("""COMPUTED_VALUE"""),3500000.0)</f>
        <v>3500000</v>
      </c>
      <c r="X171" s="17"/>
      <c r="Y171" s="17"/>
    </row>
    <row r="172">
      <c r="A172" s="17">
        <f>IFERROR(__xludf.DUMMYFUNCTION("""COMPUTED_VALUE"""),169.0)</f>
        <v>169</v>
      </c>
      <c r="B172" s="18" t="str">
        <f>IFERROR(__xludf.DUMMYFUNCTION("""COMPUTED_VALUE"""),"hansoljang110")</f>
        <v>hansoljang110</v>
      </c>
      <c r="C172" s="19">
        <f>IFERROR(__xludf.DUMMYFUNCTION("""COMPUTED_VALUE"""),1500000.0)</f>
        <v>1500000</v>
      </c>
      <c r="D172" s="20" t="str">
        <f>IFERROR(__xludf.DUMMYFUNCTION("""COMPUTED_VALUE"""),"Mega")</f>
        <v>Mega</v>
      </c>
      <c r="E172" s="24" t="str">
        <f>IFERROR(__xludf.DUMMYFUNCTION("""COMPUTED_VALUE"""),"hansoljang110")</f>
        <v>hansoljang110</v>
      </c>
      <c r="F172" s="23">
        <f>IFERROR(__xludf.DUMMYFUNCTION("""COMPUTED_VALUE"""),739300.0)</f>
        <v>739300</v>
      </c>
      <c r="G172" s="20" t="str">
        <f>IFERROR(__xludf.DUMMYFUNCTION("""COMPUTED_VALUE"""),"Macro")</f>
        <v>Macro</v>
      </c>
      <c r="H172" s="17" t="str">
        <f>IFERROR(__xludf.DUMMYFUNCTION("""COMPUTED_VALUE"""),"Korea Selatan")</f>
        <v>Korea Selatan</v>
      </c>
      <c r="I172" s="17" t="str">
        <f>IFERROR(__xludf.DUMMYFUNCTION("""COMPUTED_VALUE"""),"Lifestyle Male")</f>
        <v>Lifestyle Male</v>
      </c>
      <c r="J172" s="17"/>
      <c r="K172" s="20">
        <f>IFERROR(__xludf.DUMMYFUNCTION("""COMPUTED_VALUE"""),5500000.0)</f>
        <v>5500000</v>
      </c>
      <c r="L172" s="20">
        <f>IFERROR(__xludf.DUMMYFUNCTION("""COMPUTED_VALUE"""),7500000.0)</f>
        <v>7500000</v>
      </c>
      <c r="M172" s="17"/>
      <c r="N172" s="20">
        <f>IFERROR(__xludf.DUMMYFUNCTION("""COMPUTED_VALUE"""),3.5E7)</f>
        <v>35000000</v>
      </c>
      <c r="O172" s="17"/>
      <c r="P172" s="20">
        <f>IFERROR(__xludf.DUMMYFUNCTION("""COMPUTED_VALUE"""),5.0E7)</f>
        <v>50000000</v>
      </c>
      <c r="Q172" s="17"/>
      <c r="R172" s="20">
        <f>IFERROR(__xludf.DUMMYFUNCTION("""COMPUTED_VALUE"""),2.0E7)</f>
        <v>20000000</v>
      </c>
      <c r="S172" s="20">
        <f>IFERROR(__xludf.DUMMYFUNCTION("""COMPUTED_VALUE"""),6.0E7)</f>
        <v>60000000</v>
      </c>
      <c r="T172" s="20">
        <f>IFERROR(__xludf.DUMMYFUNCTION("""COMPUTED_VALUE"""),3.0E7)</f>
        <v>30000000</v>
      </c>
      <c r="U172" s="17"/>
      <c r="V172" s="17"/>
      <c r="W172" s="20">
        <f>IFERROR(__xludf.DUMMYFUNCTION("""COMPUTED_VALUE"""),2500000.0)</f>
        <v>2500000</v>
      </c>
      <c r="X172" s="17"/>
      <c r="Y172" s="17"/>
    </row>
    <row r="173">
      <c r="A173" s="17">
        <f>IFERROR(__xludf.DUMMYFUNCTION("""COMPUTED_VALUE"""),170.0)</f>
        <v>170</v>
      </c>
      <c r="B173" s="18" t="str">
        <f>IFERROR(__xludf.DUMMYFUNCTION("""COMPUTED_VALUE"""),"daehoon_na")</f>
        <v>daehoon_na</v>
      </c>
      <c r="C173" s="19">
        <f>IFERROR(__xludf.DUMMYFUNCTION("""COMPUTED_VALUE"""),3000000.0)</f>
        <v>3000000</v>
      </c>
      <c r="D173" s="20" t="str">
        <f>IFERROR(__xludf.DUMMYFUNCTION("""COMPUTED_VALUE"""),"Mega")</f>
        <v>Mega</v>
      </c>
      <c r="E173" s="24" t="str">
        <f>IFERROR(__xludf.DUMMYFUNCTION("""COMPUTED_VALUE"""),"aadaehoon")</f>
        <v>aadaehoon</v>
      </c>
      <c r="F173" s="19">
        <f>IFERROR(__xludf.DUMMYFUNCTION("""COMPUTED_VALUE"""),8100000.0)</f>
        <v>8100000</v>
      </c>
      <c r="G173" s="20" t="str">
        <f>IFERROR(__xludf.DUMMYFUNCTION("""COMPUTED_VALUE"""),"Mega")</f>
        <v>Mega</v>
      </c>
      <c r="H173" s="17" t="str">
        <f>IFERROR(__xludf.DUMMYFUNCTION("""COMPUTED_VALUE"""),"Jakarta")</f>
        <v>Jakarta</v>
      </c>
      <c r="I173" s="17" t="str">
        <f>IFERROR(__xludf.DUMMYFUNCTION("""COMPUTED_VALUE"""),"Lifestyle Male")</f>
        <v>Lifestyle Male</v>
      </c>
      <c r="J173" s="17"/>
      <c r="K173" s="20">
        <f>IFERROR(__xludf.DUMMYFUNCTION("""COMPUTED_VALUE"""),1.05E7)</f>
        <v>10500000</v>
      </c>
      <c r="L173" s="20">
        <f>IFERROR(__xludf.DUMMYFUNCTION("""COMPUTED_VALUE"""),2.5E7)</f>
        <v>25000000</v>
      </c>
      <c r="M173" s="17"/>
      <c r="N173" s="20">
        <f>IFERROR(__xludf.DUMMYFUNCTION("""COMPUTED_VALUE"""),2.5E7)</f>
        <v>25000000</v>
      </c>
      <c r="O173" s="17"/>
      <c r="P173" s="20">
        <f>IFERROR(__xludf.DUMMYFUNCTION("""COMPUTED_VALUE"""),3.5E7)</f>
        <v>35000000</v>
      </c>
      <c r="Q173" s="17"/>
      <c r="R173" s="20">
        <f>IFERROR(__xludf.DUMMYFUNCTION("""COMPUTED_VALUE"""),4.0E7)</f>
        <v>40000000</v>
      </c>
      <c r="S173" s="20">
        <f>IFERROR(__xludf.DUMMYFUNCTION("""COMPUTED_VALUE"""),6.0E7)</f>
        <v>60000000</v>
      </c>
      <c r="T173" s="17"/>
      <c r="U173" s="17"/>
      <c r="V173" s="17"/>
      <c r="W173" s="20">
        <f>IFERROR(__xludf.DUMMYFUNCTION("""COMPUTED_VALUE"""),5000000.0)</f>
        <v>5000000</v>
      </c>
      <c r="X173" s="17"/>
      <c r="Y173" s="17"/>
    </row>
    <row r="174">
      <c r="A174" s="17">
        <f>IFERROR(__xludf.DUMMYFUNCTION("""COMPUTED_VALUE"""),171.0)</f>
        <v>171</v>
      </c>
      <c r="B174" s="18" t="str">
        <f>IFERROR(__xludf.DUMMYFUNCTION("""COMPUTED_VALUE"""),"ekidarehanf")</f>
        <v>ekidarehanf</v>
      </c>
      <c r="C174" s="23">
        <f>IFERROR(__xludf.DUMMYFUNCTION("""COMPUTED_VALUE"""),414000.0)</f>
        <v>414000</v>
      </c>
      <c r="D174" s="20" t="str">
        <f>IFERROR(__xludf.DUMMYFUNCTION("""COMPUTED_VALUE"""),"Mid")</f>
        <v>Mid</v>
      </c>
      <c r="E174" s="24" t="str">
        <f>IFERROR(__xludf.DUMMYFUNCTION("""COMPUTED_VALUE"""),"ekidarehanf")</f>
        <v>ekidarehanf</v>
      </c>
      <c r="F174" s="19">
        <f>IFERROR(__xludf.DUMMYFUNCTION("""COMPUTED_VALUE"""),1400000.0)</f>
        <v>1400000</v>
      </c>
      <c r="G174" s="20" t="str">
        <f>IFERROR(__xludf.DUMMYFUNCTION("""COMPUTED_VALUE"""),"Mega")</f>
        <v>Mega</v>
      </c>
      <c r="H174" s="17" t="str">
        <f>IFERROR(__xludf.DUMMYFUNCTION("""COMPUTED_VALUE"""),"Indonesia")</f>
        <v>Indonesia</v>
      </c>
      <c r="I174" s="17" t="str">
        <f>IFERROR(__xludf.DUMMYFUNCTION("""COMPUTED_VALUE"""),"Health &amp; Sport, Education")</f>
        <v>Health &amp; Sport, Education</v>
      </c>
      <c r="J174" s="17"/>
      <c r="K174" s="20">
        <f>IFERROR(__xludf.DUMMYFUNCTION("""COMPUTED_VALUE"""),5500000.0)</f>
        <v>5500000</v>
      </c>
      <c r="L174" s="20">
        <f>IFERROR(__xludf.DUMMYFUNCTION("""COMPUTED_VALUE"""),1.2E7)</f>
        <v>12000000</v>
      </c>
      <c r="M174" s="17"/>
      <c r="N174" s="20">
        <f>IFERROR(__xludf.DUMMYFUNCTION("""COMPUTED_VALUE"""),9000000.0)</f>
        <v>9000000</v>
      </c>
      <c r="O174" s="17"/>
      <c r="P174" s="20">
        <f>IFERROR(__xludf.DUMMYFUNCTION("""COMPUTED_VALUE"""),1.65E7)</f>
        <v>16500000</v>
      </c>
      <c r="Q174" s="17"/>
      <c r="R174" s="20">
        <f>IFERROR(__xludf.DUMMYFUNCTION("""COMPUTED_VALUE"""),1.7E7)</f>
        <v>17000000</v>
      </c>
      <c r="S174" s="20">
        <f>IFERROR(__xludf.DUMMYFUNCTION("""COMPUTED_VALUE"""),2.25E7)</f>
        <v>22500000</v>
      </c>
      <c r="T174" s="20">
        <f>IFERROR(__xludf.DUMMYFUNCTION("""COMPUTED_VALUE"""),7500000.0)</f>
        <v>7500000</v>
      </c>
      <c r="U174" s="17"/>
      <c r="V174" s="17"/>
      <c r="W174" s="17"/>
      <c r="X174" s="17"/>
      <c r="Y174" s="17"/>
    </row>
    <row r="175">
      <c r="A175" s="17">
        <f>IFERROR(__xludf.DUMMYFUNCTION("""COMPUTED_VALUE"""),172.0)</f>
        <v>172</v>
      </c>
      <c r="B175" s="18" t="str">
        <f>IFERROR(__xludf.DUMMYFUNCTION("""COMPUTED_VALUE"""),"farhanfirms")</f>
        <v>farhanfirms</v>
      </c>
      <c r="C175" s="23">
        <f>IFERROR(__xludf.DUMMYFUNCTION("""COMPUTED_VALUE"""),279000.0)</f>
        <v>279000</v>
      </c>
      <c r="D175" s="20" t="str">
        <f>IFERROR(__xludf.DUMMYFUNCTION("""COMPUTED_VALUE"""),"Mid")</f>
        <v>Mid</v>
      </c>
      <c r="E175" s="24" t="str">
        <f>IFERROR(__xludf.DUMMYFUNCTION("""COMPUTED_VALUE"""),"farhanfirms")</f>
        <v>farhanfirms</v>
      </c>
      <c r="F175" s="23">
        <f>IFERROR(__xludf.DUMMYFUNCTION("""COMPUTED_VALUE"""),628300.0)</f>
        <v>628300</v>
      </c>
      <c r="G175" s="20" t="str">
        <f>IFERROR(__xludf.DUMMYFUNCTION("""COMPUTED_VALUE"""),"Macro")</f>
        <v>Macro</v>
      </c>
      <c r="H175" s="17" t="str">
        <f>IFERROR(__xludf.DUMMYFUNCTION("""COMPUTED_VALUE"""),"Indonesia")</f>
        <v>Indonesia</v>
      </c>
      <c r="I175" s="17" t="str">
        <f>IFERROR(__xludf.DUMMYFUNCTION("""COMPUTED_VALUE"""),"Health &amp; Sport, Education")</f>
        <v>Health &amp; Sport, Education</v>
      </c>
      <c r="J175" s="17"/>
      <c r="K175" s="20">
        <f>IFERROR(__xludf.DUMMYFUNCTION("""COMPUTED_VALUE"""),3500000.0)</f>
        <v>3500000</v>
      </c>
      <c r="L175" s="20">
        <f>IFERROR(__xludf.DUMMYFUNCTION("""COMPUTED_VALUE"""),500000.0)</f>
        <v>500000</v>
      </c>
      <c r="M175" s="17"/>
      <c r="N175" s="20">
        <f>IFERROR(__xludf.DUMMYFUNCTION("""COMPUTED_VALUE"""),5000000.0)</f>
        <v>5000000</v>
      </c>
      <c r="O175" s="17"/>
      <c r="P175" s="20">
        <f>IFERROR(__xludf.DUMMYFUNCTION("""COMPUTED_VALUE"""),6000000.0)</f>
        <v>6000000</v>
      </c>
      <c r="Q175" s="17"/>
      <c r="R175" s="20">
        <f>IFERROR(__xludf.DUMMYFUNCTION("""COMPUTED_VALUE"""),7000000.0)</f>
        <v>7000000</v>
      </c>
      <c r="S175" s="20">
        <f>IFERROR(__xludf.DUMMYFUNCTION("""COMPUTED_VALUE"""),8500000.0)</f>
        <v>8500000</v>
      </c>
      <c r="T175" s="20">
        <f>IFERROR(__xludf.DUMMYFUNCTION("""COMPUTED_VALUE"""),5000000.0)</f>
        <v>5000000</v>
      </c>
      <c r="U175" s="17"/>
      <c r="V175" s="17"/>
      <c r="W175" s="20">
        <f>IFERROR(__xludf.DUMMYFUNCTION("""COMPUTED_VALUE"""),2000000.0)</f>
        <v>2000000</v>
      </c>
      <c r="X175" s="17"/>
      <c r="Y175" s="17"/>
    </row>
    <row r="176">
      <c r="A176" s="17">
        <f>IFERROR(__xludf.DUMMYFUNCTION("""COMPUTED_VALUE"""),173.0)</f>
        <v>173</v>
      </c>
      <c r="B176" s="18" t="str">
        <f>IFERROR(__xludf.DUMMYFUNCTION("""COMPUTED_VALUE"""),"wynnneug")</f>
        <v>wynnneug</v>
      </c>
      <c r="C176" s="23">
        <f>IFERROR(__xludf.DUMMYFUNCTION("""COMPUTED_VALUE"""),65300.0)</f>
        <v>65300</v>
      </c>
      <c r="D176" s="20" t="str">
        <f>IFERROR(__xludf.DUMMYFUNCTION("""COMPUTED_VALUE"""),"Micro")</f>
        <v>Micro</v>
      </c>
      <c r="E176" s="24" t="str">
        <f>IFERROR(__xludf.DUMMYFUNCTION("""COMPUTED_VALUE"""),"wynnneug")</f>
        <v>wynnneug</v>
      </c>
      <c r="F176" s="23">
        <f>IFERROR(__xludf.DUMMYFUNCTION("""COMPUTED_VALUE"""),594500.0)</f>
        <v>594500</v>
      </c>
      <c r="G176" s="20" t="str">
        <f>IFERROR(__xludf.DUMMYFUNCTION("""COMPUTED_VALUE"""),"Macro")</f>
        <v>Macro</v>
      </c>
      <c r="H176" s="17" t="str">
        <f>IFERROR(__xludf.DUMMYFUNCTION("""COMPUTED_VALUE"""),"Tangerang")</f>
        <v>Tangerang</v>
      </c>
      <c r="I176" s="17" t="str">
        <f>IFERROR(__xludf.DUMMYFUNCTION("""COMPUTED_VALUE"""),"Lifestyle Female")</f>
        <v>Lifestyle Female</v>
      </c>
      <c r="J176" s="17"/>
      <c r="K176" s="17"/>
      <c r="L176" s="20">
        <f>IFERROR(__xludf.DUMMYFUNCTION("""COMPUTED_VALUE"""),6000000.0)</f>
        <v>6000000</v>
      </c>
      <c r="M176" s="20" t="str">
        <f>IFERROR(__xludf.DUMMYFUNCTION("""COMPUTED_VALUE"""),"FREE")</f>
        <v>FREE</v>
      </c>
      <c r="N176" s="17"/>
      <c r="O176" s="17"/>
      <c r="P176" s="17"/>
      <c r="Q176" s="17"/>
      <c r="R176" s="20">
        <f>IFERROR(__xludf.DUMMYFUNCTION("""COMPUTED_VALUE"""),1.5E7)</f>
        <v>15000000</v>
      </c>
      <c r="S176" s="20">
        <f>IFERROR(__xludf.DUMMYFUNCTION("""COMPUTED_VALUE"""),2.3E7)</f>
        <v>23000000</v>
      </c>
      <c r="T176" s="17"/>
      <c r="U176" s="21">
        <f>IFERROR(__xludf.DUMMYFUNCTION("""COMPUTED_VALUE"""),1.0)</f>
        <v>1</v>
      </c>
      <c r="V176" s="20">
        <f>IFERROR(__xludf.DUMMYFUNCTION("""COMPUTED_VALUE"""),1500000.0)</f>
        <v>1500000</v>
      </c>
      <c r="W176" s="17"/>
      <c r="X176" s="17"/>
      <c r="Y176" s="17"/>
    </row>
    <row r="177">
      <c r="A177" s="17">
        <f>IFERROR(__xludf.DUMMYFUNCTION("""COMPUTED_VALUE"""),174.0)</f>
        <v>174</v>
      </c>
      <c r="B177" s="18" t="str">
        <f>IFERROR(__xludf.DUMMYFUNCTION("""COMPUTED_VALUE"""),"jennifercoppenreal20")</f>
        <v>jennifercoppenreal20</v>
      </c>
      <c r="C177" s="19">
        <f>IFERROR(__xludf.DUMMYFUNCTION("""COMPUTED_VALUE"""),8000000.0)</f>
        <v>8000000</v>
      </c>
      <c r="D177" s="20" t="str">
        <f>IFERROR(__xludf.DUMMYFUNCTION("""COMPUTED_VALUE"""),"Mega")</f>
        <v>Mega</v>
      </c>
      <c r="E177" s="24" t="str">
        <f>IFERROR(__xludf.DUMMYFUNCTION("""COMPUTED_VALUE"""),"jennifer.coppen")</f>
        <v>jennifer.coppen</v>
      </c>
      <c r="F177" s="19">
        <f>IFERROR(__xludf.DUMMYFUNCTION("""COMPUTED_VALUE"""),1.62E7)</f>
        <v>16200000</v>
      </c>
      <c r="G177" s="20" t="str">
        <f>IFERROR(__xludf.DUMMYFUNCTION("""COMPUTED_VALUE"""),"Mega")</f>
        <v>Mega</v>
      </c>
      <c r="H177" s="17" t="str">
        <f>IFERROR(__xludf.DUMMYFUNCTION("""COMPUTED_VALUE"""),"Bali")</f>
        <v>Bali</v>
      </c>
      <c r="I177" s="17" t="str">
        <f>IFERROR(__xludf.DUMMYFUNCTION("""COMPUTED_VALUE"""),"- Lifestyle Female
- Mom &amp; Kids")</f>
        <v>- Lifestyle Female
- Mom &amp; Kids</v>
      </c>
      <c r="J177" s="17"/>
      <c r="K177" s="20">
        <f>IFERROR(__xludf.DUMMYFUNCTION("""COMPUTED_VALUE"""),1.5E7)</f>
        <v>15000000</v>
      </c>
      <c r="L177" s="17"/>
      <c r="M177" s="20">
        <f>IFERROR(__xludf.DUMMYFUNCTION("""COMPUTED_VALUE"""),2500000.0)</f>
        <v>2500000</v>
      </c>
      <c r="N177" s="20">
        <f>IFERROR(__xludf.DUMMYFUNCTION("""COMPUTED_VALUE"""),5.0E7)</f>
        <v>50000000</v>
      </c>
      <c r="O177" s="17"/>
      <c r="P177" s="20">
        <f>IFERROR(__xludf.DUMMYFUNCTION("""COMPUTED_VALUE"""),8.0E7)</f>
        <v>80000000</v>
      </c>
      <c r="Q177" s="17"/>
      <c r="R177" s="20">
        <f>IFERROR(__xludf.DUMMYFUNCTION("""COMPUTED_VALUE"""),1.0E8)</f>
        <v>100000000</v>
      </c>
      <c r="S177" s="17"/>
      <c r="T177" s="17"/>
      <c r="U177" s="17"/>
      <c r="V177" s="17"/>
      <c r="W177" s="20">
        <f>IFERROR(__xludf.DUMMYFUNCTION("""COMPUTED_VALUE"""),1.5E7)</f>
        <v>15000000</v>
      </c>
      <c r="X177" s="17"/>
      <c r="Y177" s="17"/>
    </row>
    <row r="178">
      <c r="A178" s="17">
        <f>IFERROR(__xludf.DUMMYFUNCTION("""COMPUTED_VALUE"""),175.0)</f>
        <v>175</v>
      </c>
      <c r="B178" s="18" t="str">
        <f>IFERROR(__xludf.DUMMYFUNCTION("""COMPUTED_VALUE"""),"maudyeffrosina")</f>
        <v>maudyeffrosina</v>
      </c>
      <c r="C178" s="19">
        <f>IFERROR(__xludf.DUMMYFUNCTION("""COMPUTED_VALUE"""),1200000.0)</f>
        <v>1200000</v>
      </c>
      <c r="D178" s="20" t="str">
        <f>IFERROR(__xludf.DUMMYFUNCTION("""COMPUTED_VALUE"""),"Mega")</f>
        <v>Mega</v>
      </c>
      <c r="E178" s="24" t="str">
        <f>IFERROR(__xludf.DUMMYFUNCTION("""COMPUTED_VALUE"""),"maudyeffrosinaa")</f>
        <v>maudyeffrosinaa</v>
      </c>
      <c r="F178" s="19">
        <f>IFERROR(__xludf.DUMMYFUNCTION("""COMPUTED_VALUE"""),1000000.0)</f>
        <v>1000000</v>
      </c>
      <c r="G178" s="20" t="str">
        <f>IFERROR(__xludf.DUMMYFUNCTION("""COMPUTED_VALUE"""),"Macro")</f>
        <v>Macro</v>
      </c>
      <c r="H178" s="17" t="str">
        <f>IFERROR(__xludf.DUMMYFUNCTION("""COMPUTED_VALUE"""),"Jakarta")</f>
        <v>Jakarta</v>
      </c>
      <c r="I178" s="17" t="str">
        <f>IFERROR(__xludf.DUMMYFUNCTION("""COMPUTED_VALUE"""),"- Actor/Actress")</f>
        <v>- Actor/Actress</v>
      </c>
      <c r="J178" s="17"/>
      <c r="K178" s="20">
        <f>IFERROR(__xludf.DUMMYFUNCTION("""COMPUTED_VALUE"""),1.5E7)</f>
        <v>15000000</v>
      </c>
      <c r="L178" s="20">
        <f>IFERROR(__xludf.DUMMYFUNCTION("""COMPUTED_VALUE"""),2.5E7)</f>
        <v>25000000</v>
      </c>
      <c r="M178" s="20">
        <f>IFERROR(__xludf.DUMMYFUNCTION("""COMPUTED_VALUE"""),1000000.0)</f>
        <v>1000000</v>
      </c>
      <c r="N178" s="20">
        <f>IFERROR(__xludf.DUMMYFUNCTION("""COMPUTED_VALUE"""),3.5E7)</f>
        <v>35000000</v>
      </c>
      <c r="O178" s="20">
        <f>IFERROR(__xludf.DUMMYFUNCTION("""COMPUTED_VALUE"""),3.75E7)</f>
        <v>37500000</v>
      </c>
      <c r="P178" s="20">
        <f>IFERROR(__xludf.DUMMYFUNCTION("""COMPUTED_VALUE"""),6.5E7)</f>
        <v>65000000</v>
      </c>
      <c r="Q178" s="17"/>
      <c r="R178" s="20">
        <f>IFERROR(__xludf.DUMMYFUNCTION("""COMPUTED_VALUE"""),6.5E7)</f>
        <v>65000000</v>
      </c>
      <c r="S178" s="17"/>
      <c r="T178" s="17"/>
      <c r="U178" s="17"/>
      <c r="V178" s="17"/>
      <c r="W178" s="17"/>
      <c r="X178" s="17"/>
      <c r="Y178" s="17"/>
    </row>
    <row r="179">
      <c r="A179" s="17">
        <f>IFERROR(__xludf.DUMMYFUNCTION("""COMPUTED_VALUE"""),176.0)</f>
        <v>176</v>
      </c>
      <c r="B179" s="18" t="str">
        <f>IFERROR(__xludf.DUMMYFUNCTION("""COMPUTED_VALUE"""),"gabriellaekaputri")</f>
        <v>gabriellaekaputri</v>
      </c>
      <c r="C179" s="19">
        <f>IFERROR(__xludf.DUMMYFUNCTION("""COMPUTED_VALUE"""),1000000.0)</f>
        <v>1000000</v>
      </c>
      <c r="D179" s="20" t="str">
        <f>IFERROR(__xludf.DUMMYFUNCTION("""COMPUTED_VALUE"""),"Macro")</f>
        <v>Macro</v>
      </c>
      <c r="E179" s="24" t="str">
        <f>IFERROR(__xludf.DUMMYFUNCTION("""COMPUTED_VALUE"""),"gabriellaekaputrii")</f>
        <v>gabriellaekaputrii</v>
      </c>
      <c r="F179" s="19">
        <f>IFERROR(__xludf.DUMMYFUNCTION("""COMPUTED_VALUE"""),1800000.0)</f>
        <v>1800000</v>
      </c>
      <c r="G179" s="20" t="str">
        <f>IFERROR(__xludf.DUMMYFUNCTION("""COMPUTED_VALUE"""),"Mega")</f>
        <v>Mega</v>
      </c>
      <c r="H179" s="17" t="str">
        <f>IFERROR(__xludf.DUMMYFUNCTION("""COMPUTED_VALUE"""),"Jakarta")</f>
        <v>Jakarta</v>
      </c>
      <c r="I179" s="17" t="str">
        <f>IFERROR(__xludf.DUMMYFUNCTION("""COMPUTED_VALUE"""),"- Lifestyle Female
- Actor/Actress")</f>
        <v>- Lifestyle Female
- Actor/Actress</v>
      </c>
      <c r="J179" s="17"/>
      <c r="K179" s="20">
        <f>IFERROR(__xludf.DUMMYFUNCTION("""COMPUTED_VALUE"""),1.0E7)</f>
        <v>10000000</v>
      </c>
      <c r="L179" s="20">
        <f>IFERROR(__xludf.DUMMYFUNCTION("""COMPUTED_VALUE"""),1.7E7)</f>
        <v>17000000</v>
      </c>
      <c r="M179" s="20">
        <f>IFERROR(__xludf.DUMMYFUNCTION("""COMPUTED_VALUE"""),2000000.0)</f>
        <v>2000000</v>
      </c>
      <c r="N179" s="20">
        <f>IFERROR(__xludf.DUMMYFUNCTION("""COMPUTED_VALUE"""),1.7E7)</f>
        <v>17000000</v>
      </c>
      <c r="O179" s="20">
        <f>IFERROR(__xludf.DUMMYFUNCTION("""COMPUTED_VALUE"""),2.0E7)</f>
        <v>20000000</v>
      </c>
      <c r="P179" s="20">
        <f>IFERROR(__xludf.DUMMYFUNCTION("""COMPUTED_VALUE"""),3.0E7)</f>
        <v>30000000</v>
      </c>
      <c r="Q179" s="20">
        <f>IFERROR(__xludf.DUMMYFUNCTION("""COMPUTED_VALUE"""),8000000.0)</f>
        <v>8000000</v>
      </c>
      <c r="R179" s="20">
        <f>IFERROR(__xludf.DUMMYFUNCTION("""COMPUTED_VALUE"""),3.75E7)</f>
        <v>37500000</v>
      </c>
      <c r="S179" s="20">
        <f>IFERROR(__xludf.DUMMYFUNCTION("""COMPUTED_VALUE"""),6.0E7)</f>
        <v>60000000</v>
      </c>
      <c r="T179" s="20">
        <f>IFERROR(__xludf.DUMMYFUNCTION("""COMPUTED_VALUE"""),3.0E7)</f>
        <v>30000000</v>
      </c>
      <c r="U179" s="20">
        <f>IFERROR(__xludf.DUMMYFUNCTION("""COMPUTED_VALUE"""),3.0E8)</f>
        <v>300000000</v>
      </c>
      <c r="V179" s="20">
        <f>IFERROR(__xludf.DUMMYFUNCTION("""COMPUTED_VALUE"""),8000000.0)</f>
        <v>8000000</v>
      </c>
      <c r="W179" s="20">
        <f>IFERROR(__xludf.DUMMYFUNCTION("""COMPUTED_VALUE"""),1.0E7)</f>
        <v>10000000</v>
      </c>
      <c r="X179" s="20">
        <f>IFERROR(__xludf.DUMMYFUNCTION("""COMPUTED_VALUE"""),5000000.0)</f>
        <v>5000000</v>
      </c>
      <c r="Y179" s="17"/>
    </row>
    <row r="180">
      <c r="A180" s="17">
        <f>IFERROR(__xludf.DUMMYFUNCTION("""COMPUTED_VALUE"""),177.0)</f>
        <v>177</v>
      </c>
      <c r="B180" s="18" t="str">
        <f>IFERROR(__xludf.DUMMYFUNCTION("""COMPUTED_VALUE"""),"eri.carl")</f>
        <v>eri.carl</v>
      </c>
      <c r="C180" s="19">
        <f>IFERROR(__xludf.DUMMYFUNCTION("""COMPUTED_VALUE"""),4600000.0)</f>
        <v>4600000</v>
      </c>
      <c r="D180" s="20" t="str">
        <f>IFERROR(__xludf.DUMMYFUNCTION("""COMPUTED_VALUE"""),"Mega")</f>
        <v>Mega</v>
      </c>
      <c r="E180" s="24" t="str">
        <f>IFERROR(__xludf.DUMMYFUNCTION("""COMPUTED_VALUE"""),"eri_carl")</f>
        <v>eri_carl</v>
      </c>
      <c r="F180" s="19">
        <f>IFERROR(__xludf.DUMMYFUNCTION("""COMPUTED_VALUE"""),3700000.0)</f>
        <v>3700000</v>
      </c>
      <c r="G180" s="20" t="str">
        <f>IFERROR(__xludf.DUMMYFUNCTION("""COMPUTED_VALUE"""),"Mega")</f>
        <v>Mega</v>
      </c>
      <c r="H180" s="17" t="str">
        <f>IFERROR(__xludf.DUMMYFUNCTION("""COMPUTED_VALUE"""),"Jakarta")</f>
        <v>Jakarta</v>
      </c>
      <c r="I180" s="17" t="str">
        <f>IFERROR(__xludf.DUMMYFUNCTION("""COMPUTED_VALUE"""),"- Lifestyle Female
- Actor/Actress")</f>
        <v>- Lifestyle Female
- Actor/Actress</v>
      </c>
      <c r="J180" s="17"/>
      <c r="K180" s="20">
        <f>IFERROR(__xludf.DUMMYFUNCTION("""COMPUTED_VALUE"""),2.5E7)</f>
        <v>25000000</v>
      </c>
      <c r="L180" s="17"/>
      <c r="M180" s="20">
        <f>IFERROR(__xludf.DUMMYFUNCTION("""COMPUTED_VALUE"""),1500000.0)</f>
        <v>1500000</v>
      </c>
      <c r="N180" s="20">
        <f>IFERROR(__xludf.DUMMYFUNCTION("""COMPUTED_VALUE"""),5.0E7)</f>
        <v>50000000</v>
      </c>
      <c r="O180" s="17"/>
      <c r="P180" s="20">
        <f>IFERROR(__xludf.DUMMYFUNCTION("""COMPUTED_VALUE"""),1.0E8)</f>
        <v>100000000</v>
      </c>
      <c r="Q180" s="17"/>
      <c r="R180" s="20">
        <f>IFERROR(__xludf.DUMMYFUNCTION("""COMPUTED_VALUE"""),1.0E8)</f>
        <v>100000000</v>
      </c>
      <c r="S180" s="17"/>
      <c r="T180" s="17"/>
      <c r="U180" s="17"/>
      <c r="V180" s="21">
        <f>IFERROR(__xludf.DUMMYFUNCTION("""COMPUTED_VALUE"""),0.5)</f>
        <v>0.5</v>
      </c>
      <c r="W180" s="17"/>
      <c r="X180" s="20">
        <f>IFERROR(__xludf.DUMMYFUNCTION("""COMPUTED_VALUE"""),7.5E7)</f>
        <v>75000000</v>
      </c>
      <c r="Y180" s="17"/>
    </row>
    <row r="181">
      <c r="A181" s="17">
        <f>IFERROR(__xludf.DUMMYFUNCTION("""COMPUTED_VALUE"""),178.0)</f>
        <v>178</v>
      </c>
      <c r="B181" s="18" t="str">
        <f>IFERROR(__xludf.DUMMYFUNCTION("""COMPUTED_VALUE"""),"juliobowi")</f>
        <v>juliobowi</v>
      </c>
      <c r="C181" s="19">
        <f>IFERROR(__xludf.DUMMYFUNCTION("""COMPUTED_VALUE"""),55200.0)</f>
        <v>55200</v>
      </c>
      <c r="D181" s="20" t="str">
        <f>IFERROR(__xludf.DUMMYFUNCTION("""COMPUTED_VALUE"""),"Micro")</f>
        <v>Micro</v>
      </c>
      <c r="E181" s="24" t="str">
        <f>IFERROR(__xludf.DUMMYFUNCTION("""COMPUTED_VALUE"""),"juliobowi")</f>
        <v>juliobowi</v>
      </c>
      <c r="F181" s="19">
        <f>IFERROR(__xludf.DUMMYFUNCTION("""COMPUTED_VALUE"""),12300.0)</f>
        <v>12300</v>
      </c>
      <c r="G181" s="20" t="str">
        <f>IFERROR(__xludf.DUMMYFUNCTION("""COMPUTED_VALUE"""),"Micro")</f>
        <v>Micro</v>
      </c>
      <c r="H181" s="17" t="str">
        <f>IFERROR(__xludf.DUMMYFUNCTION("""COMPUTED_VALUE"""),"Bekasi")</f>
        <v>Bekasi</v>
      </c>
      <c r="I181" s="17" t="str">
        <f>IFERROR(__xludf.DUMMYFUNCTION("""COMPUTED_VALUE"""),"- Lifestyle Male
- Health &amp; Sport")</f>
        <v>- Lifestyle Male
- Health &amp; Sport</v>
      </c>
      <c r="J181" s="17"/>
      <c r="K181" s="20" t="str">
        <f>IFERROR(__xludf.DUMMYFUNCTION("""COMPUTED_VALUE"""),"Rp1,000,000 (2 photos + 1 video)")</f>
        <v>Rp1,000,000 (2 photos + 1 video)</v>
      </c>
      <c r="L181" s="17"/>
      <c r="M181" s="17"/>
      <c r="N181" s="17"/>
      <c r="O181" s="17"/>
      <c r="P181" s="20">
        <f>IFERROR(__xludf.DUMMYFUNCTION("""COMPUTED_VALUE"""),3500000.0)</f>
        <v>3500000</v>
      </c>
      <c r="Q181" s="17"/>
      <c r="R181" s="20">
        <f>IFERROR(__xludf.DUMMYFUNCTION("""COMPUTED_VALUE"""),1800000.0)</f>
        <v>1800000</v>
      </c>
      <c r="S181" s="20">
        <f>IFERROR(__xludf.DUMMYFUNCTION("""COMPUTED_VALUE"""),4500000.0)</f>
        <v>4500000</v>
      </c>
      <c r="T181" s="17"/>
      <c r="U181" s="20">
        <f>IFERROR(__xludf.DUMMYFUNCTION("""COMPUTED_VALUE"""),800000.0)</f>
        <v>800000</v>
      </c>
      <c r="V181" s="17"/>
      <c r="W181" s="17"/>
      <c r="X181" s="17"/>
      <c r="Y181" s="17"/>
    </row>
    <row r="182">
      <c r="A182" s="17">
        <f>IFERROR(__xludf.DUMMYFUNCTION("""COMPUTED_VALUE"""),179.0)</f>
        <v>179</v>
      </c>
      <c r="B182" s="17"/>
      <c r="C182" s="17"/>
      <c r="D182" s="20" t="str">
        <f>IFERROR(__xludf.DUMMYFUNCTION("""COMPUTED_VALUE"""),"Nano")</f>
        <v>Nano</v>
      </c>
      <c r="E182" s="24" t="str">
        <f>IFERROR(__xludf.DUMMYFUNCTION("""COMPUTED_VALUE"""),"juwita.sekar3")</f>
        <v>juwita.sekar3</v>
      </c>
      <c r="F182" s="19">
        <f>IFERROR(__xludf.DUMMYFUNCTION("""COMPUTED_VALUE"""),148200.0)</f>
        <v>148200</v>
      </c>
      <c r="G182" s="20" t="str">
        <f>IFERROR(__xludf.DUMMYFUNCTION("""COMPUTED_VALUE"""),"Mid")</f>
        <v>Mid</v>
      </c>
      <c r="H182" s="17" t="str">
        <f>IFERROR(__xludf.DUMMYFUNCTION("""COMPUTED_VALUE"""),"Tangerang")</f>
        <v>Tangerang</v>
      </c>
      <c r="I182" s="17" t="str">
        <f>IFERROR(__xludf.DUMMYFUNCTION("""COMPUTED_VALUE"""),"Beauty")</f>
        <v>Beauty</v>
      </c>
      <c r="J182" s="17"/>
      <c r="K182" s="17"/>
      <c r="L182" s="17"/>
      <c r="M182" s="17"/>
      <c r="N182" s="17"/>
      <c r="O182" s="17"/>
      <c r="P182" s="17"/>
      <c r="Q182" s="17"/>
      <c r="R182" s="20">
        <f>IFERROR(__xludf.DUMMYFUNCTION("""COMPUTED_VALUE"""),3000000.0)</f>
        <v>3000000</v>
      </c>
      <c r="S182" s="17"/>
      <c r="T182" s="17"/>
      <c r="U182" s="20">
        <f>IFERROR(__xludf.DUMMYFUNCTION("""COMPUTED_VALUE"""),1000000.0)</f>
        <v>1000000</v>
      </c>
      <c r="V182" s="20">
        <f>IFERROR(__xludf.DUMMYFUNCTION("""COMPUTED_VALUE"""),1000000.0)</f>
        <v>1000000</v>
      </c>
      <c r="W182" s="20">
        <f>IFERROR(__xludf.DUMMYFUNCTION("""COMPUTED_VALUE"""),500000.0)</f>
        <v>500000</v>
      </c>
      <c r="X182" s="17"/>
      <c r="Y182" s="17"/>
    </row>
    <row r="183">
      <c r="A183" s="17">
        <f>IFERROR(__xludf.DUMMYFUNCTION("""COMPUTED_VALUE"""),180.0)</f>
        <v>180</v>
      </c>
      <c r="B183" s="18" t="str">
        <f>IFERROR(__xludf.DUMMYFUNCTION("""COMPUTED_VALUE"""),"shella_cletus")</f>
        <v>shella_cletus</v>
      </c>
      <c r="C183" s="19">
        <f>IFERROR(__xludf.DUMMYFUNCTION("""COMPUTED_VALUE"""),254000.0)</f>
        <v>254000</v>
      </c>
      <c r="D183" s="20" t="str">
        <f>IFERROR(__xludf.DUMMYFUNCTION("""COMPUTED_VALUE"""),"Mid")</f>
        <v>Mid</v>
      </c>
      <c r="E183" s="24" t="str">
        <f>IFERROR(__xludf.DUMMYFUNCTION("""COMPUTED_VALUE"""),"shellacletus")</f>
        <v>shellacletus</v>
      </c>
      <c r="F183" s="19">
        <f>IFERROR(__xludf.DUMMYFUNCTION("""COMPUTED_VALUE"""),1400000.0)</f>
        <v>1400000</v>
      </c>
      <c r="G183" s="20" t="str">
        <f>IFERROR(__xludf.DUMMYFUNCTION("""COMPUTED_VALUE"""),"Mega")</f>
        <v>Mega</v>
      </c>
      <c r="H183" s="17" t="str">
        <f>IFERROR(__xludf.DUMMYFUNCTION("""COMPUTED_VALUE"""),"Jakarta")</f>
        <v>Jakarta</v>
      </c>
      <c r="I183" s="17" t="str">
        <f>IFERROR(__xludf.DUMMYFUNCTION("""COMPUTED_VALUE"""),"- Lifestyle Female
- Beauty
- Comedy")</f>
        <v>- Lifestyle Female
- Beauty
- Comedy</v>
      </c>
      <c r="J183" s="17"/>
      <c r="K183" s="20">
        <f>IFERROR(__xludf.DUMMYFUNCTION("""COMPUTED_VALUE"""),3000000.0)</f>
        <v>3000000</v>
      </c>
      <c r="L183" s="20">
        <f>IFERROR(__xludf.DUMMYFUNCTION("""COMPUTED_VALUE"""),5000000.0)</f>
        <v>5000000</v>
      </c>
      <c r="M183" s="17"/>
      <c r="N183" s="17"/>
      <c r="O183" s="17"/>
      <c r="P183" s="20">
        <f>IFERROR(__xludf.DUMMYFUNCTION("""COMPUTED_VALUE"""),2.0E7)</f>
        <v>20000000</v>
      </c>
      <c r="Q183" s="17"/>
      <c r="R183" s="20">
        <f>IFERROR(__xludf.DUMMYFUNCTION("""COMPUTED_VALUE"""),2.0E7)</f>
        <v>20000000</v>
      </c>
      <c r="S183" s="17"/>
      <c r="T183" s="17"/>
      <c r="U183" s="20">
        <f>IFERROR(__xludf.DUMMYFUNCTION("""COMPUTED_VALUE"""),5000000.0)</f>
        <v>5000000</v>
      </c>
      <c r="V183" s="17"/>
      <c r="W183" s="17"/>
      <c r="X183" s="17"/>
      <c r="Y183" s="17"/>
    </row>
    <row r="184">
      <c r="A184" s="17">
        <f>IFERROR(__xludf.DUMMYFUNCTION("""COMPUTED_VALUE"""),181.0)</f>
        <v>181</v>
      </c>
      <c r="B184" s="18" t="str">
        <f>IFERROR(__xludf.DUMMYFUNCTION("""COMPUTED_VALUE"""),"cantikalulu")</f>
        <v>cantikalulu</v>
      </c>
      <c r="C184" s="19">
        <f>IFERROR(__xludf.DUMMYFUNCTION("""COMPUTED_VALUE"""),288000.0)</f>
        <v>288000</v>
      </c>
      <c r="D184" s="20" t="str">
        <f>IFERROR(__xludf.DUMMYFUNCTION("""COMPUTED_VALUE"""),"Mid")</f>
        <v>Mid</v>
      </c>
      <c r="E184" s="24" t="str">
        <f>IFERROR(__xludf.DUMMYFUNCTION("""COMPUTED_VALUE"""),"heylulaa")</f>
        <v>heylulaa</v>
      </c>
      <c r="F184" s="19">
        <f>IFERROR(__xludf.DUMMYFUNCTION("""COMPUTED_VALUE"""),726900.0)</f>
        <v>726900</v>
      </c>
      <c r="G184" s="20" t="str">
        <f>IFERROR(__xludf.DUMMYFUNCTION("""COMPUTED_VALUE"""),"Macro")</f>
        <v>Macro</v>
      </c>
      <c r="H184" s="17" t="str">
        <f>IFERROR(__xludf.DUMMYFUNCTION("""COMPUTED_VALUE"""),"Jakarta")</f>
        <v>Jakarta</v>
      </c>
      <c r="I184" s="17" t="str">
        <f>IFERROR(__xludf.DUMMYFUNCTION("""COMPUTED_VALUE"""),"- Lifestyle Female
- Beauty
- Comedy")</f>
        <v>- Lifestyle Female
- Beauty
- Comedy</v>
      </c>
      <c r="J184" s="17"/>
      <c r="K184" s="20">
        <f>IFERROR(__xludf.DUMMYFUNCTION("""COMPUTED_VALUE"""),5000000.0)</f>
        <v>5000000</v>
      </c>
      <c r="L184" s="20">
        <f>IFERROR(__xludf.DUMMYFUNCTION("""COMPUTED_VALUE"""),8000000.0)</f>
        <v>8000000</v>
      </c>
      <c r="M184" s="17"/>
      <c r="N184" s="17"/>
      <c r="O184" s="17"/>
      <c r="P184" s="20">
        <f>IFERROR(__xludf.DUMMYFUNCTION("""COMPUTED_VALUE"""),2.0E7)</f>
        <v>20000000</v>
      </c>
      <c r="Q184" s="17"/>
      <c r="R184" s="20">
        <f>IFERROR(__xludf.DUMMYFUNCTION("""COMPUTED_VALUE"""),1.0E7)</f>
        <v>10000000</v>
      </c>
      <c r="S184" s="17"/>
      <c r="T184" s="17"/>
      <c r="U184" s="20">
        <f>IFERROR(__xludf.DUMMYFUNCTION("""COMPUTED_VALUE"""),5000000.0)</f>
        <v>5000000</v>
      </c>
      <c r="V184" s="17"/>
      <c r="W184" s="17"/>
      <c r="X184" s="17"/>
      <c r="Y184" s="17"/>
    </row>
    <row r="185">
      <c r="A185" s="17">
        <f>IFERROR(__xludf.DUMMYFUNCTION("""COMPUTED_VALUE"""),182.0)</f>
        <v>182</v>
      </c>
      <c r="B185" s="18" t="str">
        <f>IFERROR(__xludf.DUMMYFUNCTION("""COMPUTED_VALUE"""),"jajanviralbekasi")</f>
        <v>jajanviralbekasi</v>
      </c>
      <c r="C185" s="19">
        <f>IFERROR(__xludf.DUMMYFUNCTION("""COMPUTED_VALUE"""),26900.0)</f>
        <v>26900</v>
      </c>
      <c r="D185" s="20" t="str">
        <f>IFERROR(__xludf.DUMMYFUNCTION("""COMPUTED_VALUE"""),"Micro")</f>
        <v>Micro</v>
      </c>
      <c r="E185" s="24" t="str">
        <f>IFERROR(__xludf.DUMMYFUNCTION("""COMPUTED_VALUE"""),"jajanviralbekasi")</f>
        <v>jajanviralbekasi</v>
      </c>
      <c r="F185" s="19">
        <f>IFERROR(__xludf.DUMMYFUNCTION("""COMPUTED_VALUE"""),32000.0)</f>
        <v>32000</v>
      </c>
      <c r="G185" s="20" t="str">
        <f>IFERROR(__xludf.DUMMYFUNCTION("""COMPUTED_VALUE"""),"Micro")</f>
        <v>Micro</v>
      </c>
      <c r="H185" s="17" t="str">
        <f>IFERROR(__xludf.DUMMYFUNCTION("""COMPUTED_VALUE"""),"Bekasi")</f>
        <v>Bekasi</v>
      </c>
      <c r="I185" s="17" t="str">
        <f>IFERROR(__xludf.DUMMYFUNCTION("""COMPUTED_VALUE"""),"- FnB
- Place Review")</f>
        <v>- FnB
- Place Review</v>
      </c>
      <c r="J185" s="17"/>
      <c r="K185" s="17"/>
      <c r="L185" s="17"/>
      <c r="M185" s="17"/>
      <c r="N185" s="17"/>
      <c r="O185" s="17"/>
      <c r="P185" s="20" t="str">
        <f>IFERROR(__xludf.DUMMYFUNCTION("""COMPUTED_VALUE"""),"Reels + TikTok (Mirror) + Visit: Rp900,000
FREE IG Story, tag &amp; collab IG 
Bundling: Rp2,200,000
1 Reels Instagram @jalanbarengdarla &amp; @jajanviralbekasi
1 TikTok Video (Mirror) @jalanbarengdarla &amp; @jajanviralbekasi
1x Visit")</f>
        <v>Reels + TikTok (Mirror) + Visit: Rp900,000
FREE IG Story, tag &amp; collab IG 
Bundling: Rp2,200,000
1 Reels Instagram @jalanbarengdarla &amp; @jajanviralbekasi
1 TikTok Video (Mirror) @jalanbarengdarla &amp; @jajanviralbekasi
1x Visit</v>
      </c>
      <c r="Q185" s="17"/>
      <c r="R185" s="17"/>
      <c r="S185" s="17"/>
      <c r="T185" s="17"/>
      <c r="U185" s="20">
        <f>IFERROR(__xludf.DUMMYFUNCTION("""COMPUTED_VALUE"""),300000.0)</f>
        <v>300000</v>
      </c>
      <c r="V185" s="17"/>
      <c r="W185" s="17"/>
      <c r="X185" s="20" t="str">
        <f>IFERROR(__xludf.DUMMYFUNCTION("""COMPUTED_VALUE"""),"Free Bekasi &amp; Jaktim")</f>
        <v>Free Bekasi &amp; Jaktim</v>
      </c>
      <c r="Y185" s="17"/>
    </row>
    <row r="186">
      <c r="A186" s="17">
        <f>IFERROR(__xludf.DUMMYFUNCTION("""COMPUTED_VALUE"""),183.0)</f>
        <v>183</v>
      </c>
      <c r="B186" s="18" t="str">
        <f>IFERROR(__xludf.DUMMYFUNCTION("""COMPUTED_VALUE"""),"alyadjohan")</f>
        <v>alyadjohan</v>
      </c>
      <c r="C186" s="19">
        <f>IFERROR(__xludf.DUMMYFUNCTION("""COMPUTED_VALUE"""),28100.0)</f>
        <v>28100</v>
      </c>
      <c r="D186" s="20" t="str">
        <f>IFERROR(__xludf.DUMMYFUNCTION("""COMPUTED_VALUE"""),"Micro")</f>
        <v>Micro</v>
      </c>
      <c r="E186" s="24" t="str">
        <f>IFERROR(__xludf.DUMMYFUNCTION("""COMPUTED_VALUE"""),"alyttlebit")</f>
        <v>alyttlebit</v>
      </c>
      <c r="F186" s="19">
        <f>IFERROR(__xludf.DUMMYFUNCTION("""COMPUTED_VALUE"""),218000.0)</f>
        <v>218000</v>
      </c>
      <c r="G186" s="20" t="str">
        <f>IFERROR(__xludf.DUMMYFUNCTION("""COMPUTED_VALUE"""),"Mid")</f>
        <v>Mid</v>
      </c>
      <c r="H186" s="17" t="str">
        <f>IFERROR(__xludf.DUMMYFUNCTION("""COMPUTED_VALUE"""),"Jakarta Selatan")</f>
        <v>Jakarta Selatan</v>
      </c>
      <c r="I186" s="17" t="str">
        <f>IFERROR(__xludf.DUMMYFUNCTION("""COMPUTED_VALUE"""),"- Lifestyle Female")</f>
        <v>- Lifestyle Female</v>
      </c>
      <c r="J186" s="17"/>
      <c r="K186" s="20">
        <f>IFERROR(__xludf.DUMMYFUNCTION("""COMPUTED_VALUE"""),2000000.0)</f>
        <v>2000000</v>
      </c>
      <c r="L186" s="20">
        <f>IFERROR(__xludf.DUMMYFUNCTION("""COMPUTED_VALUE"""),5000000.0)</f>
        <v>5000000</v>
      </c>
      <c r="M186" s="20" t="str">
        <f>IFERROR(__xludf.DUMMYFUNCTION("""COMPUTED_VALUE"""),"FREE")</f>
        <v>FREE</v>
      </c>
      <c r="N186" s="17"/>
      <c r="O186" s="20">
        <f>IFERROR(__xludf.DUMMYFUNCTION("""COMPUTED_VALUE"""),5000000.0)</f>
        <v>5000000</v>
      </c>
      <c r="P186" s="20">
        <f>IFERROR(__xludf.DUMMYFUNCTION("""COMPUTED_VALUE"""),6000000.0)</f>
        <v>6000000</v>
      </c>
      <c r="Q186" s="17"/>
      <c r="R186" s="20">
        <f>IFERROR(__xludf.DUMMYFUNCTION("""COMPUTED_VALUE"""),8000000.0)</f>
        <v>8000000</v>
      </c>
      <c r="S186" s="20">
        <f>IFERROR(__xludf.DUMMYFUNCTION("""COMPUTED_VALUE"""),1.0E7)</f>
        <v>10000000</v>
      </c>
      <c r="T186" s="17"/>
      <c r="U186" s="21">
        <f>IFERROR(__xludf.DUMMYFUNCTION("""COMPUTED_VALUE"""),1.0)</f>
        <v>1</v>
      </c>
      <c r="V186" s="20">
        <f>IFERROR(__xludf.DUMMYFUNCTION("""COMPUTED_VALUE"""),2000000.0)</f>
        <v>2000000</v>
      </c>
      <c r="W186" s="20">
        <f>IFERROR(__xludf.DUMMYFUNCTION("""COMPUTED_VALUE"""),500000.0)</f>
        <v>500000</v>
      </c>
      <c r="X186" s="20">
        <f>IFERROR(__xludf.DUMMYFUNCTION("""COMPUTED_VALUE"""),3000000.0)</f>
        <v>3000000</v>
      </c>
      <c r="Y186" s="17"/>
    </row>
    <row r="187">
      <c r="A187" s="17">
        <f>IFERROR(__xludf.DUMMYFUNCTION("""COMPUTED_VALUE"""),184.0)</f>
        <v>184</v>
      </c>
      <c r="B187" s="18" t="str">
        <f>IFERROR(__xludf.DUMMYFUNCTION("""COMPUTED_VALUE"""),"ymliamakeupartist")</f>
        <v>ymliamakeupartist</v>
      </c>
      <c r="C187" s="19">
        <f>IFERROR(__xludf.DUMMYFUNCTION("""COMPUTED_VALUE"""),225000.0)</f>
        <v>225000</v>
      </c>
      <c r="D187" s="20" t="str">
        <f>IFERROR(__xludf.DUMMYFUNCTION("""COMPUTED_VALUE"""),"Mid")</f>
        <v>Mid</v>
      </c>
      <c r="E187" s="24" t="str">
        <f>IFERROR(__xludf.DUMMYFUNCTION("""COMPUTED_VALUE"""),"ymlia002")</f>
        <v>ymlia002</v>
      </c>
      <c r="F187" s="19">
        <f>IFERROR(__xludf.DUMMYFUNCTION("""COMPUTED_VALUE"""),233100.0)</f>
        <v>233100</v>
      </c>
      <c r="G187" s="20" t="str">
        <f>IFERROR(__xludf.DUMMYFUNCTION("""COMPUTED_VALUE"""),"Mid")</f>
        <v>Mid</v>
      </c>
      <c r="H187" s="17" t="str">
        <f>IFERROR(__xludf.DUMMYFUNCTION("""COMPUTED_VALUE"""),"Jakarta Selatan")</f>
        <v>Jakarta Selatan</v>
      </c>
      <c r="I187" s="17" t="str">
        <f>IFERROR(__xludf.DUMMYFUNCTION("""COMPUTED_VALUE"""),"Beauty")</f>
        <v>Beauty</v>
      </c>
      <c r="J187" s="17"/>
      <c r="K187" s="20">
        <f>IFERROR(__xludf.DUMMYFUNCTION("""COMPUTED_VALUE"""),1000000.0)</f>
        <v>1000000</v>
      </c>
      <c r="L187" s="20">
        <f>IFERROR(__xludf.DUMMYFUNCTION("""COMPUTED_VALUE"""),1500000.0)</f>
        <v>1500000</v>
      </c>
      <c r="M187" s="17"/>
      <c r="N187" s="20">
        <f>IFERROR(__xludf.DUMMYFUNCTION("""COMPUTED_VALUE"""),800000.0)</f>
        <v>800000</v>
      </c>
      <c r="O187" s="20">
        <f>IFERROR(__xludf.DUMMYFUNCTION("""COMPUTED_VALUE"""),1200000.0)</f>
        <v>1200000</v>
      </c>
      <c r="P187" s="20">
        <f>IFERROR(__xludf.DUMMYFUNCTION("""COMPUTED_VALUE"""),2200000.0)</f>
        <v>2200000</v>
      </c>
      <c r="Q187" s="20">
        <f>IFERROR(__xludf.DUMMYFUNCTION("""COMPUTED_VALUE"""),800000.0)</f>
        <v>800000</v>
      </c>
      <c r="R187" s="20">
        <f>IFERROR(__xludf.DUMMYFUNCTION("""COMPUTED_VALUE"""),2000000.0)</f>
        <v>2000000</v>
      </c>
      <c r="S187" s="20">
        <f>IFERROR(__xludf.DUMMYFUNCTION("""COMPUTED_VALUE"""),800000.0)</f>
        <v>800000</v>
      </c>
      <c r="T187" s="17"/>
      <c r="U187" s="20">
        <f>IFERROR(__xludf.DUMMYFUNCTION("""COMPUTED_VALUE"""),2200000.0)</f>
        <v>2200000</v>
      </c>
      <c r="V187" s="20">
        <f>IFERROR(__xludf.DUMMYFUNCTION("""COMPUTED_VALUE"""),500000.0)</f>
        <v>500000</v>
      </c>
      <c r="W187" s="20">
        <f>IFERROR(__xludf.DUMMYFUNCTION("""COMPUTED_VALUE"""),5000000.0)</f>
        <v>5000000</v>
      </c>
      <c r="X187" s="20">
        <f>IFERROR(__xludf.DUMMYFUNCTION("""COMPUTED_VALUE"""),2000000.0)</f>
        <v>2000000</v>
      </c>
      <c r="Y187" s="17"/>
    </row>
    <row r="188">
      <c r="A188" s="17">
        <f>IFERROR(__xludf.DUMMYFUNCTION("""COMPUTED_VALUE"""),185.0)</f>
        <v>185</v>
      </c>
      <c r="B188" s="18" t="str">
        <f>IFERROR(__xludf.DUMMYFUNCTION("""COMPUTED_VALUE"""),"gmarthagraciela")</f>
        <v>gmarthagraciela</v>
      </c>
      <c r="C188" s="19">
        <f>IFERROR(__xludf.DUMMYFUNCTION("""COMPUTED_VALUE"""),660000.0)</f>
        <v>660000</v>
      </c>
      <c r="D188" s="20" t="str">
        <f>IFERROR(__xludf.DUMMYFUNCTION("""COMPUTED_VALUE"""),"Macro")</f>
        <v>Macro</v>
      </c>
      <c r="E188" s="24" t="str">
        <f>IFERROR(__xludf.DUMMYFUNCTION("""COMPUTED_VALUE"""),"guraisu.com")</f>
        <v>guraisu.com</v>
      </c>
      <c r="F188" s="19">
        <f>IFERROR(__xludf.DUMMYFUNCTION("""COMPUTED_VALUE"""),445700.0)</f>
        <v>445700</v>
      </c>
      <c r="G188" s="20" t="str">
        <f>IFERROR(__xludf.DUMMYFUNCTION("""COMPUTED_VALUE"""),"Mid")</f>
        <v>Mid</v>
      </c>
      <c r="H188" s="17" t="str">
        <f>IFERROR(__xludf.DUMMYFUNCTION("""COMPUTED_VALUE"""),"Tangerang")</f>
        <v>Tangerang</v>
      </c>
      <c r="I188" s="17" t="str">
        <f>IFERROR(__xludf.DUMMYFUNCTION("""COMPUTED_VALUE"""),"- Lifestyle Female")</f>
        <v>- Lifestyle Female</v>
      </c>
      <c r="J188" s="17"/>
      <c r="K188" s="20">
        <f>IFERROR(__xludf.DUMMYFUNCTION("""COMPUTED_VALUE"""),2500000.0)</f>
        <v>2500000</v>
      </c>
      <c r="L188" s="20" t="str">
        <f>IFERROR(__xludf.DUMMYFUNCTION("""COMPUTED_VALUE"""),"Rp6,000,000 (Free Link)")</f>
        <v>Rp6,000,000 (Free Link)</v>
      </c>
      <c r="M188" s="17"/>
      <c r="N188" s="20">
        <f>IFERROR(__xludf.DUMMYFUNCTION("""COMPUTED_VALUE"""),5000000.0)</f>
        <v>5000000</v>
      </c>
      <c r="O188" s="17"/>
      <c r="P188" s="20">
        <f>IFERROR(__xludf.DUMMYFUNCTION("""COMPUTED_VALUE"""),1.2E7)</f>
        <v>12000000</v>
      </c>
      <c r="Q188" s="21">
        <f>IFERROR(__xludf.DUMMYFUNCTION("""COMPUTED_VALUE"""),0.5)</f>
        <v>0.5</v>
      </c>
      <c r="R188" s="20">
        <f>IFERROR(__xludf.DUMMYFUNCTION("""COMPUTED_VALUE"""),1.0E7)</f>
        <v>10000000</v>
      </c>
      <c r="S188" s="20">
        <f>IFERROR(__xludf.DUMMYFUNCTION("""COMPUTED_VALUE"""),1.5E7)</f>
        <v>15000000</v>
      </c>
      <c r="T188" s="17"/>
      <c r="U188" s="21">
        <f>IFERROR(__xludf.DUMMYFUNCTION("""COMPUTED_VALUE"""),1.0)</f>
        <v>1</v>
      </c>
      <c r="V188" s="21">
        <f>IFERROR(__xludf.DUMMYFUNCTION("""COMPUTED_VALUE"""),0.3)</f>
        <v>0.3</v>
      </c>
      <c r="W188" s="17"/>
      <c r="X188" s="17"/>
      <c r="Y188" s="17"/>
    </row>
    <row r="189">
      <c r="A189" s="17">
        <f>IFERROR(__xludf.DUMMYFUNCTION("""COMPUTED_VALUE"""),186.0)</f>
        <v>186</v>
      </c>
      <c r="B189" s="18" t="str">
        <f>IFERROR(__xludf.DUMMYFUNCTION("""COMPUTED_VALUE"""),"putrialyn")</f>
        <v>putrialyn</v>
      </c>
      <c r="C189" s="23">
        <f>IFERROR(__xludf.DUMMYFUNCTION("""COMPUTED_VALUE"""),15300.0)</f>
        <v>15300</v>
      </c>
      <c r="D189" s="20" t="str">
        <f>IFERROR(__xludf.DUMMYFUNCTION("""COMPUTED_VALUE"""),"Micro")</f>
        <v>Micro</v>
      </c>
      <c r="E189" s="24" t="str">
        <f>IFERROR(__xludf.DUMMYFUNCTION("""COMPUTED_VALUE"""),"putrialynnn")</f>
        <v>putrialynnn</v>
      </c>
      <c r="F189" s="23">
        <f>IFERROR(__xludf.DUMMYFUNCTION("""COMPUTED_VALUE"""),1226.0)</f>
        <v>1226</v>
      </c>
      <c r="G189" s="20" t="str">
        <f>IFERROR(__xludf.DUMMYFUNCTION("""COMPUTED_VALUE"""),"Nano")</f>
        <v>Nano</v>
      </c>
      <c r="H189" s="17" t="str">
        <f>IFERROR(__xludf.DUMMYFUNCTION("""COMPUTED_VALUE"""),"Jakarta")</f>
        <v>Jakarta</v>
      </c>
      <c r="I189" s="17" t="str">
        <f>IFERROR(__xludf.DUMMYFUNCTION("""COMPUTED_VALUE"""),"- Lifestyle Female
- Sport
- Fashion Wanita")</f>
        <v>- Lifestyle Female
- Sport
- Fashion Wanita</v>
      </c>
      <c r="J189" s="17"/>
      <c r="K189" s="20">
        <f>IFERROR(__xludf.DUMMYFUNCTION("""COMPUTED_VALUE"""),350000.0)</f>
        <v>350000</v>
      </c>
      <c r="L189" s="20">
        <f>IFERROR(__xludf.DUMMYFUNCTION("""COMPUTED_VALUE"""),450000.0)</f>
        <v>450000</v>
      </c>
      <c r="M189" s="20">
        <f>IFERROR(__xludf.DUMMYFUNCTION("""COMPUTED_VALUE"""),50000.0)</f>
        <v>50000</v>
      </c>
      <c r="N189" s="20">
        <f>IFERROR(__xludf.DUMMYFUNCTION("""COMPUTED_VALUE"""),700000.0)</f>
        <v>700000</v>
      </c>
      <c r="O189" s="17"/>
      <c r="P189" s="20">
        <f>IFERROR(__xludf.DUMMYFUNCTION("""COMPUTED_VALUE"""),1000000.0)</f>
        <v>1000000</v>
      </c>
      <c r="Q189" s="17"/>
      <c r="R189" s="20">
        <f>IFERROR(__xludf.DUMMYFUNCTION("""COMPUTED_VALUE"""),400000.0)</f>
        <v>400000</v>
      </c>
      <c r="S189" s="20">
        <f>IFERROR(__xludf.DUMMYFUNCTION("""COMPUTED_VALUE"""),1300000.0)</f>
        <v>1300000</v>
      </c>
      <c r="T189" s="17"/>
      <c r="U189" s="17"/>
      <c r="V189" s="17"/>
      <c r="W189" s="17"/>
      <c r="X189" s="17"/>
      <c r="Y189" s="17"/>
    </row>
    <row r="190">
      <c r="A190" s="17">
        <f>IFERROR(__xludf.DUMMYFUNCTION("""COMPUTED_VALUE"""),187.0)</f>
        <v>187</v>
      </c>
      <c r="B190" s="18" t="str">
        <f>IFERROR(__xludf.DUMMYFUNCTION("""COMPUTED_VALUE"""),"stephaniegiscka")</f>
        <v>stephaniegiscka</v>
      </c>
      <c r="C190" s="23">
        <f>IFERROR(__xludf.DUMMYFUNCTION("""COMPUTED_VALUE"""),27200.0)</f>
        <v>27200</v>
      </c>
      <c r="D190" s="20" t="str">
        <f>IFERROR(__xludf.DUMMYFUNCTION("""COMPUTED_VALUE"""),"Micro")</f>
        <v>Micro</v>
      </c>
      <c r="E190" s="24" t="str">
        <f>IFERROR(__xludf.DUMMYFUNCTION("""COMPUTED_VALUE"""),"inigiscka")</f>
        <v>inigiscka</v>
      </c>
      <c r="F190" s="23">
        <f>IFERROR(__xludf.DUMMYFUNCTION("""COMPUTED_VALUE"""),50800.0)</f>
        <v>50800</v>
      </c>
      <c r="G190" s="20" t="str">
        <f>IFERROR(__xludf.DUMMYFUNCTION("""COMPUTED_VALUE"""),"Micro")</f>
        <v>Micro</v>
      </c>
      <c r="H190" s="17" t="str">
        <f>IFERROR(__xludf.DUMMYFUNCTION("""COMPUTED_VALUE"""),"Jakarta")</f>
        <v>Jakarta</v>
      </c>
      <c r="I190" s="17" t="str">
        <f>IFERROR(__xludf.DUMMYFUNCTION("""COMPUTED_VALUE"""),"- Fashion Wanita
- Beauty
- Lifestyle Female")</f>
        <v>- Fashion Wanita
- Beauty
- Lifestyle Female</v>
      </c>
      <c r="J190" s="17"/>
      <c r="K190" s="20">
        <f>IFERROR(__xludf.DUMMYFUNCTION("""COMPUTED_VALUE"""),350000.0)</f>
        <v>350000</v>
      </c>
      <c r="L190" s="20">
        <f>IFERROR(__xludf.DUMMYFUNCTION("""COMPUTED_VALUE"""),450000.0)</f>
        <v>450000</v>
      </c>
      <c r="M190" s="20">
        <f>IFERROR(__xludf.DUMMYFUNCTION("""COMPUTED_VALUE"""),50000.0)</f>
        <v>50000</v>
      </c>
      <c r="N190" s="20">
        <f>IFERROR(__xludf.DUMMYFUNCTION("""COMPUTED_VALUE"""),1000000.0)</f>
        <v>1000000</v>
      </c>
      <c r="O190" s="17"/>
      <c r="P190" s="20">
        <f>IFERROR(__xludf.DUMMYFUNCTION("""COMPUTED_VALUE"""),1000000.0)</f>
        <v>1000000</v>
      </c>
      <c r="Q190" s="17"/>
      <c r="R190" s="20">
        <f>IFERROR(__xludf.DUMMYFUNCTION("""COMPUTED_VALUE"""),1000000.0)</f>
        <v>1000000</v>
      </c>
      <c r="S190" s="20">
        <f>IFERROR(__xludf.DUMMYFUNCTION("""COMPUTED_VALUE"""),1700000.0)</f>
        <v>1700000</v>
      </c>
      <c r="T190" s="17"/>
      <c r="U190" s="20">
        <f>IFERROR(__xludf.DUMMYFUNCTION("""COMPUTED_VALUE"""),500000.0)</f>
        <v>500000</v>
      </c>
      <c r="V190" s="17"/>
      <c r="W190" s="17"/>
      <c r="X190" s="17"/>
      <c r="Y190" s="17"/>
    </row>
    <row r="191">
      <c r="A191" s="17">
        <f>IFERROR(__xludf.DUMMYFUNCTION("""COMPUTED_VALUE"""),188.0)</f>
        <v>188</v>
      </c>
      <c r="B191" s="18" t="str">
        <f>IFERROR(__xludf.DUMMYFUNCTION("""COMPUTED_VALUE"""),"rofiefauzie")</f>
        <v>rofiefauzie</v>
      </c>
      <c r="C191" s="23">
        <f>IFERROR(__xludf.DUMMYFUNCTION("""COMPUTED_VALUE"""),102000.0)</f>
        <v>102000</v>
      </c>
      <c r="D191" s="20" t="str">
        <f>IFERROR(__xludf.DUMMYFUNCTION("""COMPUTED_VALUE"""),"Mid")</f>
        <v>Mid</v>
      </c>
      <c r="E191" s="24" t="str">
        <f>IFERROR(__xludf.DUMMYFUNCTION("""COMPUTED_VALUE"""),"hirofie")</f>
        <v>hirofie</v>
      </c>
      <c r="F191" s="23">
        <f>IFERROR(__xludf.DUMMYFUNCTION("""COMPUTED_VALUE"""),429800.0)</f>
        <v>429800</v>
      </c>
      <c r="G191" s="20" t="str">
        <f>IFERROR(__xludf.DUMMYFUNCTION("""COMPUTED_VALUE"""),"Mid")</f>
        <v>Mid</v>
      </c>
      <c r="H191" s="17" t="str">
        <f>IFERROR(__xludf.DUMMYFUNCTION("""COMPUTED_VALUE"""),"Jakarta")</f>
        <v>Jakarta</v>
      </c>
      <c r="I191" s="17" t="str">
        <f>IFERROR(__xludf.DUMMYFUNCTION("""COMPUTED_VALUE"""),"- Lifestyle Male 
- Gaming")</f>
        <v>- Lifestyle Male 
- Gaming</v>
      </c>
      <c r="J191" s="17"/>
      <c r="K191" s="20">
        <f>IFERROR(__xludf.DUMMYFUNCTION("""COMPUTED_VALUE"""),1000000.0)</f>
        <v>1000000</v>
      </c>
      <c r="L191" s="20">
        <f>IFERROR(__xludf.DUMMYFUNCTION("""COMPUTED_VALUE"""),2000000.0)</f>
        <v>2000000</v>
      </c>
      <c r="M191" s="20">
        <f>IFERROR(__xludf.DUMMYFUNCTION("""COMPUTED_VALUE"""),500000.0)</f>
        <v>500000</v>
      </c>
      <c r="N191" s="20">
        <f>IFERROR(__xludf.DUMMYFUNCTION("""COMPUTED_VALUE"""),2500000.0)</f>
        <v>2500000</v>
      </c>
      <c r="O191" s="20">
        <f>IFERROR(__xludf.DUMMYFUNCTION("""COMPUTED_VALUE"""),2500000.0)</f>
        <v>2500000</v>
      </c>
      <c r="P191" s="20">
        <f>IFERROR(__xludf.DUMMYFUNCTION("""COMPUTED_VALUE"""),3000000.0)</f>
        <v>3000000</v>
      </c>
      <c r="Q191" s="17"/>
      <c r="R191" s="20">
        <f>IFERROR(__xludf.DUMMYFUNCTION("""COMPUTED_VALUE"""),4000000.0)</f>
        <v>4000000</v>
      </c>
      <c r="S191" s="20">
        <f>IFERROR(__xludf.DUMMYFUNCTION("""COMPUTED_VALUE"""),5000000.0)</f>
        <v>5000000</v>
      </c>
      <c r="T191" s="17"/>
      <c r="U191" s="20">
        <f>IFERROR(__xludf.DUMMYFUNCTION("""COMPUTED_VALUE"""),3000000.0)</f>
        <v>3000000</v>
      </c>
      <c r="V191" s="17"/>
      <c r="W191" s="17"/>
      <c r="X191" s="17"/>
      <c r="Y191" s="17"/>
    </row>
    <row r="192">
      <c r="A192" s="17">
        <f>IFERROR(__xludf.DUMMYFUNCTION("""COMPUTED_VALUE"""),189.0)</f>
        <v>189</v>
      </c>
      <c r="B192" s="18" t="str">
        <f>IFERROR(__xludf.DUMMYFUNCTION("""COMPUTED_VALUE"""),"mrleizhu")</f>
        <v>mrleizhu</v>
      </c>
      <c r="C192" s="23">
        <f>IFERROR(__xludf.DUMMYFUNCTION("""COMPUTED_VALUE"""),88100.0)</f>
        <v>88100</v>
      </c>
      <c r="D192" s="20" t="str">
        <f>IFERROR(__xludf.DUMMYFUNCTION("""COMPUTED_VALUE"""),"Micro")</f>
        <v>Micro</v>
      </c>
      <c r="E192" s="24" t="str">
        <f>IFERROR(__xludf.DUMMYFUNCTION("""COMPUTED_VALUE"""),"restudehin")</f>
        <v>restudehin</v>
      </c>
      <c r="F192" s="23">
        <f>IFERROR(__xludf.DUMMYFUNCTION("""COMPUTED_VALUE"""),411700.0)</f>
        <v>411700</v>
      </c>
      <c r="G192" s="20" t="str">
        <f>IFERROR(__xludf.DUMMYFUNCTION("""COMPUTED_VALUE"""),"Mid")</f>
        <v>Mid</v>
      </c>
      <c r="H192" s="17" t="str">
        <f>IFERROR(__xludf.DUMMYFUNCTION("""COMPUTED_VALUE"""),"Jakarta")</f>
        <v>Jakarta</v>
      </c>
      <c r="I192" s="17" t="str">
        <f>IFERROR(__xludf.DUMMYFUNCTION("""COMPUTED_VALUE"""),"- Lifestyle Male
- Fashion Pria")</f>
        <v>- Lifestyle Male
- Fashion Pria</v>
      </c>
      <c r="J192" s="17"/>
      <c r="K192" s="20">
        <f>IFERROR(__xludf.DUMMYFUNCTION("""COMPUTED_VALUE"""),1000000.0)</f>
        <v>1000000</v>
      </c>
      <c r="L192" s="20">
        <f>IFERROR(__xludf.DUMMYFUNCTION("""COMPUTED_VALUE"""),2000000.0)</f>
        <v>2000000</v>
      </c>
      <c r="M192" s="20">
        <f>IFERROR(__xludf.DUMMYFUNCTION("""COMPUTED_VALUE"""),500000.0)</f>
        <v>500000</v>
      </c>
      <c r="N192" s="20">
        <f>IFERROR(__xludf.DUMMYFUNCTION("""COMPUTED_VALUE"""),2000000.0)</f>
        <v>2000000</v>
      </c>
      <c r="O192" s="17"/>
      <c r="P192" s="20">
        <f>IFERROR(__xludf.DUMMYFUNCTION("""COMPUTED_VALUE"""),4000000.0)</f>
        <v>4000000</v>
      </c>
      <c r="Q192" s="17"/>
      <c r="R192" s="20">
        <f>IFERROR(__xludf.DUMMYFUNCTION("""COMPUTED_VALUE"""),5000000.0)</f>
        <v>5000000</v>
      </c>
      <c r="S192" s="20">
        <f>IFERROR(__xludf.DUMMYFUNCTION("""COMPUTED_VALUE"""),7000000.0)</f>
        <v>7000000</v>
      </c>
      <c r="T192" s="17"/>
      <c r="U192" s="17"/>
      <c r="V192" s="17"/>
      <c r="W192" s="17"/>
      <c r="X192" s="17"/>
      <c r="Y192" s="17"/>
    </row>
    <row r="193">
      <c r="A193" s="17">
        <f>IFERROR(__xludf.DUMMYFUNCTION("""COMPUTED_VALUE"""),190.0)</f>
        <v>190</v>
      </c>
      <c r="B193" s="18" t="str">
        <f>IFERROR(__xludf.DUMMYFUNCTION("""COMPUTED_VALUE"""),"amadeaseptia")</f>
        <v>amadeaseptia</v>
      </c>
      <c r="C193" s="23">
        <f>IFERROR(__xludf.DUMMYFUNCTION("""COMPUTED_VALUE"""),42500.0)</f>
        <v>42500</v>
      </c>
      <c r="D193" s="20" t="str">
        <f>IFERROR(__xludf.DUMMYFUNCTION("""COMPUTED_VALUE"""),"Micro")</f>
        <v>Micro</v>
      </c>
      <c r="E193" s="24" t="str">
        <f>IFERROR(__xludf.DUMMYFUNCTION("""COMPUTED_VALUE"""),"amadeaseptiaa")</f>
        <v>amadeaseptiaa</v>
      </c>
      <c r="F193" s="23">
        <f>IFERROR(__xludf.DUMMYFUNCTION("""COMPUTED_VALUE"""),932000.0)</f>
        <v>932000</v>
      </c>
      <c r="G193" s="20" t="str">
        <f>IFERROR(__xludf.DUMMYFUNCTION("""COMPUTED_VALUE"""),"Macro")</f>
        <v>Macro</v>
      </c>
      <c r="H193" s="17" t="str">
        <f>IFERROR(__xludf.DUMMYFUNCTION("""COMPUTED_VALUE"""),"Jakarta")</f>
        <v>Jakarta</v>
      </c>
      <c r="I193" s="17" t="str">
        <f>IFERROR(__xludf.DUMMYFUNCTION("""COMPUTED_VALUE"""),"Homeliving")</f>
        <v>Homeliving</v>
      </c>
      <c r="J193" s="17"/>
      <c r="K193" s="20">
        <f>IFERROR(__xludf.DUMMYFUNCTION("""COMPUTED_VALUE"""),1500000.0)</f>
        <v>1500000</v>
      </c>
      <c r="L193" s="20">
        <f>IFERROR(__xludf.DUMMYFUNCTION("""COMPUTED_VALUE"""),2000000.0)</f>
        <v>2000000</v>
      </c>
      <c r="M193" s="17"/>
      <c r="N193" s="20">
        <f>IFERROR(__xludf.DUMMYFUNCTION("""COMPUTED_VALUE"""),2500000.0)</f>
        <v>2500000</v>
      </c>
      <c r="O193" s="17"/>
      <c r="P193" s="20">
        <f>IFERROR(__xludf.DUMMYFUNCTION("""COMPUTED_VALUE"""),5000000.0)</f>
        <v>5000000</v>
      </c>
      <c r="Q193" s="17"/>
      <c r="R193" s="20">
        <f>IFERROR(__xludf.DUMMYFUNCTION("""COMPUTED_VALUE"""),1.0E7)</f>
        <v>10000000</v>
      </c>
      <c r="S193" s="20">
        <f>IFERROR(__xludf.DUMMYFUNCTION("""COMPUTED_VALUE"""),1.2E7)</f>
        <v>12000000</v>
      </c>
      <c r="T193" s="17"/>
      <c r="U193" s="20">
        <f>IFERROR(__xludf.DUMMYFUNCTION("""COMPUTED_VALUE"""),5000000.0)</f>
        <v>5000000</v>
      </c>
      <c r="V193" s="17"/>
      <c r="W193" s="17"/>
      <c r="X193" s="17"/>
      <c r="Y193" s="17"/>
    </row>
    <row r="194">
      <c r="A194" s="17">
        <f>IFERROR(__xludf.DUMMYFUNCTION("""COMPUTED_VALUE"""),191.0)</f>
        <v>191</v>
      </c>
      <c r="B194" s="18" t="str">
        <f>IFERROR(__xludf.DUMMYFUNCTION("""COMPUTED_VALUE"""),"kevin_millenio")</f>
        <v>kevin_millenio</v>
      </c>
      <c r="C194" s="23">
        <f>IFERROR(__xludf.DUMMYFUNCTION("""COMPUTED_VALUE"""),214000.0)</f>
        <v>214000</v>
      </c>
      <c r="D194" s="20" t="str">
        <f>IFERROR(__xludf.DUMMYFUNCTION("""COMPUTED_VALUE"""),"Mid")</f>
        <v>Mid</v>
      </c>
      <c r="E194" s="24" t="str">
        <f>IFERROR(__xludf.DUMMYFUNCTION("""COMPUTED_VALUE"""),"kevinmillenio")</f>
        <v>kevinmillenio</v>
      </c>
      <c r="F194" s="23">
        <f>IFERROR(__xludf.DUMMYFUNCTION("""COMPUTED_VALUE"""),403900.0)</f>
        <v>403900</v>
      </c>
      <c r="G194" s="20" t="str">
        <f>IFERROR(__xludf.DUMMYFUNCTION("""COMPUTED_VALUE"""),"Mid")</f>
        <v>Mid</v>
      </c>
      <c r="H194" s="17" t="str">
        <f>IFERROR(__xludf.DUMMYFUNCTION("""COMPUTED_VALUE"""),"Tangerang")</f>
        <v>Tangerang</v>
      </c>
      <c r="I194" s="17" t="str">
        <f>IFERROR(__xludf.DUMMYFUNCTION("""COMPUTED_VALUE"""),"Comedy")</f>
        <v>Comedy</v>
      </c>
      <c r="J194" s="17"/>
      <c r="K194" s="20">
        <f>IFERROR(__xludf.DUMMYFUNCTION("""COMPUTED_VALUE"""),3000000.0)</f>
        <v>3000000</v>
      </c>
      <c r="L194" s="20">
        <f>IFERROR(__xludf.DUMMYFUNCTION("""COMPUTED_VALUE"""),5000000.0)</f>
        <v>5000000</v>
      </c>
      <c r="M194" s="20">
        <f>IFERROR(__xludf.DUMMYFUNCTION("""COMPUTED_VALUE"""),1500000.0)</f>
        <v>1500000</v>
      </c>
      <c r="N194" s="20">
        <f>IFERROR(__xludf.DUMMYFUNCTION("""COMPUTED_VALUE"""),8000000.0)</f>
        <v>8000000</v>
      </c>
      <c r="O194" s="20">
        <f>IFERROR(__xludf.DUMMYFUNCTION("""COMPUTED_VALUE"""),1.6E7)</f>
        <v>16000000</v>
      </c>
      <c r="P194" s="20">
        <f>IFERROR(__xludf.DUMMYFUNCTION("""COMPUTED_VALUE"""),3.5E7)</f>
        <v>35000000</v>
      </c>
      <c r="Q194" s="20">
        <f>IFERROR(__xludf.DUMMYFUNCTION("""COMPUTED_VALUE"""),2500000.0)</f>
        <v>2500000</v>
      </c>
      <c r="R194" s="20">
        <f>IFERROR(__xludf.DUMMYFUNCTION("""COMPUTED_VALUE"""),3.5E7)</f>
        <v>35000000</v>
      </c>
      <c r="S194" s="20">
        <f>IFERROR(__xludf.DUMMYFUNCTION("""COMPUTED_VALUE"""),2.0E7)</f>
        <v>20000000</v>
      </c>
      <c r="T194" s="17"/>
      <c r="U194" s="20">
        <f>IFERROR(__xludf.DUMMYFUNCTION("""COMPUTED_VALUE"""),1.8E7)</f>
        <v>18000000</v>
      </c>
      <c r="V194" s="20">
        <f>IFERROR(__xludf.DUMMYFUNCTION("""COMPUTED_VALUE"""),3000000.0)</f>
        <v>3000000</v>
      </c>
      <c r="W194" s="20">
        <f>IFERROR(__xludf.DUMMYFUNCTION("""COMPUTED_VALUE"""),3000000.0)</f>
        <v>3000000</v>
      </c>
      <c r="X194" s="20">
        <f>IFERROR(__xludf.DUMMYFUNCTION("""COMPUTED_VALUE"""),1.0E7)</f>
        <v>10000000</v>
      </c>
      <c r="Y194" s="17"/>
    </row>
    <row r="195">
      <c r="A195" s="17">
        <f>IFERROR(__xludf.DUMMYFUNCTION("""COMPUTED_VALUE"""),192.0)</f>
        <v>192</v>
      </c>
      <c r="B195" s="18" t="str">
        <f>IFERROR(__xludf.DUMMYFUNCTION("""COMPUTED_VALUE"""),"femimaringka")</f>
        <v>femimaringka</v>
      </c>
      <c r="C195" s="23">
        <f>IFERROR(__xludf.DUMMYFUNCTION("""COMPUTED_VALUE"""),109000.0)</f>
        <v>109000</v>
      </c>
      <c r="D195" s="20" t="str">
        <f>IFERROR(__xludf.DUMMYFUNCTION("""COMPUTED_VALUE"""),"Mid")</f>
        <v>Mid</v>
      </c>
      <c r="E195" s="24" t="str">
        <f>IFERROR(__xludf.DUMMYFUNCTION("""COMPUTED_VALUE"""),"femimaringka")</f>
        <v>femimaringka</v>
      </c>
      <c r="F195" s="23">
        <f>IFERROR(__xludf.DUMMYFUNCTION("""COMPUTED_VALUE"""),142100.0)</f>
        <v>142100</v>
      </c>
      <c r="G195" s="20" t="str">
        <f>IFERROR(__xludf.DUMMYFUNCTION("""COMPUTED_VALUE"""),"Mid")</f>
        <v>Mid</v>
      </c>
      <c r="H195" s="17" t="str">
        <f>IFERROR(__xludf.DUMMYFUNCTION("""COMPUTED_VALUE"""),"Tangerang")</f>
        <v>Tangerang</v>
      </c>
      <c r="I195" s="17" t="str">
        <f>IFERROR(__xludf.DUMMYFUNCTION("""COMPUTED_VALUE"""),"Comedy")</f>
        <v>Comedy</v>
      </c>
      <c r="J195" s="17"/>
      <c r="K195" s="20">
        <f>IFERROR(__xludf.DUMMYFUNCTION("""COMPUTED_VALUE"""),3500000.0)</f>
        <v>3500000</v>
      </c>
      <c r="L195" s="20">
        <f>IFERROR(__xludf.DUMMYFUNCTION("""COMPUTED_VALUE"""),5500000.0)</f>
        <v>5500000</v>
      </c>
      <c r="M195" s="20">
        <f>IFERROR(__xludf.DUMMYFUNCTION("""COMPUTED_VALUE"""),1500000.0)</f>
        <v>1500000</v>
      </c>
      <c r="N195" s="20">
        <f>IFERROR(__xludf.DUMMYFUNCTION("""COMPUTED_VALUE"""),8000000.0)</f>
        <v>8000000</v>
      </c>
      <c r="O195" s="20">
        <f>IFERROR(__xludf.DUMMYFUNCTION("""COMPUTED_VALUE"""),1.6E7)</f>
        <v>16000000</v>
      </c>
      <c r="P195" s="20">
        <f>IFERROR(__xludf.DUMMYFUNCTION("""COMPUTED_VALUE"""),1.2E7)</f>
        <v>12000000</v>
      </c>
      <c r="Q195" s="20">
        <f>IFERROR(__xludf.DUMMYFUNCTION("""COMPUTED_VALUE"""),2500000.0)</f>
        <v>2500000</v>
      </c>
      <c r="R195" s="20">
        <f>IFERROR(__xludf.DUMMYFUNCTION("""COMPUTED_VALUE"""),1.2E7)</f>
        <v>12000000</v>
      </c>
      <c r="S195" s="20">
        <f>IFERROR(__xludf.DUMMYFUNCTION("""COMPUTED_VALUE"""),8000000.0)</f>
        <v>8000000</v>
      </c>
      <c r="T195" s="17"/>
      <c r="U195" s="20">
        <f>IFERROR(__xludf.DUMMYFUNCTION("""COMPUTED_VALUE"""),6500000.0)</f>
        <v>6500000</v>
      </c>
      <c r="V195" s="20">
        <f>IFERROR(__xludf.DUMMYFUNCTION("""COMPUTED_VALUE"""),3000000.0)</f>
        <v>3000000</v>
      </c>
      <c r="W195" s="20">
        <f>IFERROR(__xludf.DUMMYFUNCTION("""COMPUTED_VALUE"""),3000000.0)</f>
        <v>3000000</v>
      </c>
      <c r="X195" s="20">
        <f>IFERROR(__xludf.DUMMYFUNCTION("""COMPUTED_VALUE"""),1.0E7)</f>
        <v>10000000</v>
      </c>
      <c r="Y195" s="17"/>
    </row>
    <row r="196">
      <c r="A196" s="17">
        <f>IFERROR(__xludf.DUMMYFUNCTION("""COMPUTED_VALUE"""),193.0)</f>
        <v>193</v>
      </c>
      <c r="B196" s="18" t="str">
        <f>IFERROR(__xludf.DUMMYFUNCTION("""COMPUTED_VALUE"""),"kesyasunjoyo")</f>
        <v>kesyasunjoyo</v>
      </c>
      <c r="C196" s="23">
        <f>IFERROR(__xludf.DUMMYFUNCTION("""COMPUTED_VALUE"""),61500.0)</f>
        <v>61500</v>
      </c>
      <c r="D196" s="20" t="str">
        <f>IFERROR(__xludf.DUMMYFUNCTION("""COMPUTED_VALUE"""),"Micro")</f>
        <v>Micro</v>
      </c>
      <c r="E196" s="24" t="str">
        <f>IFERROR(__xludf.DUMMYFUNCTION("""COMPUTED_VALUE"""),"kesyasunnn")</f>
        <v>kesyasunnn</v>
      </c>
      <c r="F196" s="23">
        <f>IFERROR(__xludf.DUMMYFUNCTION("""COMPUTED_VALUE"""),200400.0)</f>
        <v>200400</v>
      </c>
      <c r="G196" s="20" t="str">
        <f>IFERROR(__xludf.DUMMYFUNCTION("""COMPUTED_VALUE"""),"Mid")</f>
        <v>Mid</v>
      </c>
      <c r="H196" s="17" t="str">
        <f>IFERROR(__xludf.DUMMYFUNCTION("""COMPUTED_VALUE"""),"Tangerang")</f>
        <v>Tangerang</v>
      </c>
      <c r="I196" s="17" t="str">
        <f>IFERROR(__xludf.DUMMYFUNCTION("""COMPUTED_VALUE"""),"Comedy")</f>
        <v>Comedy</v>
      </c>
      <c r="J196" s="17"/>
      <c r="K196" s="20">
        <f>IFERROR(__xludf.DUMMYFUNCTION("""COMPUTED_VALUE"""),3500000.0)</f>
        <v>3500000</v>
      </c>
      <c r="L196" s="20">
        <f>IFERROR(__xludf.DUMMYFUNCTION("""COMPUTED_VALUE"""),5500000.0)</f>
        <v>5500000</v>
      </c>
      <c r="M196" s="20">
        <f>IFERROR(__xludf.DUMMYFUNCTION("""COMPUTED_VALUE"""),1500000.0)</f>
        <v>1500000</v>
      </c>
      <c r="N196" s="20">
        <f>IFERROR(__xludf.DUMMYFUNCTION("""COMPUTED_VALUE"""),8000000.0)</f>
        <v>8000000</v>
      </c>
      <c r="O196" s="20">
        <f>IFERROR(__xludf.DUMMYFUNCTION("""COMPUTED_VALUE"""),1.6E7)</f>
        <v>16000000</v>
      </c>
      <c r="P196" s="20">
        <f>IFERROR(__xludf.DUMMYFUNCTION("""COMPUTED_VALUE"""),1.0E7)</f>
        <v>10000000</v>
      </c>
      <c r="Q196" s="20">
        <f>IFERROR(__xludf.DUMMYFUNCTION("""COMPUTED_VALUE"""),2500000.0)</f>
        <v>2500000</v>
      </c>
      <c r="R196" s="20">
        <f>IFERROR(__xludf.DUMMYFUNCTION("""COMPUTED_VALUE"""),1.2E7)</f>
        <v>12000000</v>
      </c>
      <c r="S196" s="20">
        <f>IFERROR(__xludf.DUMMYFUNCTION("""COMPUTED_VALUE"""),8000000.0)</f>
        <v>8000000</v>
      </c>
      <c r="T196" s="17"/>
      <c r="U196" s="20">
        <f>IFERROR(__xludf.DUMMYFUNCTION("""COMPUTED_VALUE"""),6500000.0)</f>
        <v>6500000</v>
      </c>
      <c r="V196" s="20">
        <f>IFERROR(__xludf.DUMMYFUNCTION("""COMPUTED_VALUE"""),3000000.0)</f>
        <v>3000000</v>
      </c>
      <c r="W196" s="17"/>
      <c r="X196" s="20">
        <f>IFERROR(__xludf.DUMMYFUNCTION("""COMPUTED_VALUE"""),1.0E7)</f>
        <v>10000000</v>
      </c>
      <c r="Y196" s="17"/>
    </row>
    <row r="197">
      <c r="A197" s="17">
        <f>IFERROR(__xludf.DUMMYFUNCTION("""COMPUTED_VALUE"""),194.0)</f>
        <v>194</v>
      </c>
      <c r="B197" s="18" t="str">
        <f>IFERROR(__xludf.DUMMYFUNCTION("""COMPUTED_VALUE"""),"tituschrst")</f>
        <v>tituschrst</v>
      </c>
      <c r="C197" s="23">
        <f>IFERROR(__xludf.DUMMYFUNCTION("""COMPUTED_VALUE"""),31600.0)</f>
        <v>31600</v>
      </c>
      <c r="D197" s="20" t="str">
        <f>IFERROR(__xludf.DUMMYFUNCTION("""COMPUTED_VALUE"""),"Micro")</f>
        <v>Micro</v>
      </c>
      <c r="E197" s="24" t="str">
        <f>IFERROR(__xludf.DUMMYFUNCTION("""COMPUTED_VALUE"""),"tituschrst")</f>
        <v>tituschrst</v>
      </c>
      <c r="F197" s="23">
        <f>IFERROR(__xludf.DUMMYFUNCTION("""COMPUTED_VALUE"""),175400.0)</f>
        <v>175400</v>
      </c>
      <c r="G197" s="20" t="str">
        <f>IFERROR(__xludf.DUMMYFUNCTION("""COMPUTED_VALUE"""),"Mid")</f>
        <v>Mid</v>
      </c>
      <c r="H197" s="17" t="str">
        <f>IFERROR(__xludf.DUMMYFUNCTION("""COMPUTED_VALUE"""),"Tangerang")</f>
        <v>Tangerang</v>
      </c>
      <c r="I197" s="17" t="str">
        <f>IFERROR(__xludf.DUMMYFUNCTION("""COMPUTED_VALUE"""),"Comedy")</f>
        <v>Comedy</v>
      </c>
      <c r="J197" s="17"/>
      <c r="K197" s="20">
        <f>IFERROR(__xludf.DUMMYFUNCTION("""COMPUTED_VALUE"""),2000000.0)</f>
        <v>2000000</v>
      </c>
      <c r="L197" s="20">
        <f>IFERROR(__xludf.DUMMYFUNCTION("""COMPUTED_VALUE"""),4000000.0)</f>
        <v>4000000</v>
      </c>
      <c r="M197" s="20">
        <f>IFERROR(__xludf.DUMMYFUNCTION("""COMPUTED_VALUE"""),1500000.0)</f>
        <v>1500000</v>
      </c>
      <c r="N197" s="20">
        <f>IFERROR(__xludf.DUMMYFUNCTION("""COMPUTED_VALUE"""),6000000.0)</f>
        <v>6000000</v>
      </c>
      <c r="O197" s="20">
        <f>IFERROR(__xludf.DUMMYFUNCTION("""COMPUTED_VALUE"""),1.6E7)</f>
        <v>16000000</v>
      </c>
      <c r="P197" s="20">
        <f>IFERROR(__xludf.DUMMYFUNCTION("""COMPUTED_VALUE"""),1.0E7)</f>
        <v>10000000</v>
      </c>
      <c r="Q197" s="20">
        <f>IFERROR(__xludf.DUMMYFUNCTION("""COMPUTED_VALUE"""),2500000.0)</f>
        <v>2500000</v>
      </c>
      <c r="R197" s="20">
        <f>IFERROR(__xludf.DUMMYFUNCTION("""COMPUTED_VALUE"""),1.2E7)</f>
        <v>12000000</v>
      </c>
      <c r="S197" s="20">
        <f>IFERROR(__xludf.DUMMYFUNCTION("""COMPUTED_VALUE"""),5000000.0)</f>
        <v>5000000</v>
      </c>
      <c r="T197" s="17"/>
      <c r="U197" s="20">
        <f>IFERROR(__xludf.DUMMYFUNCTION("""COMPUTED_VALUE"""),6500000.0)</f>
        <v>6500000</v>
      </c>
      <c r="V197" s="20">
        <f>IFERROR(__xludf.DUMMYFUNCTION("""COMPUTED_VALUE"""),3000000.0)</f>
        <v>3000000</v>
      </c>
      <c r="W197" s="20">
        <f>IFERROR(__xludf.DUMMYFUNCTION("""COMPUTED_VALUE"""),3000000.0)</f>
        <v>3000000</v>
      </c>
      <c r="X197" s="20">
        <f>IFERROR(__xludf.DUMMYFUNCTION("""COMPUTED_VALUE"""),1.0E7)</f>
        <v>10000000</v>
      </c>
      <c r="Y197" s="17"/>
    </row>
    <row r="198">
      <c r="A198" s="17">
        <f>IFERROR(__xludf.DUMMYFUNCTION("""COMPUTED_VALUE"""),195.0)</f>
        <v>195</v>
      </c>
      <c r="B198" s="18" t="str">
        <f>IFERROR(__xludf.DUMMYFUNCTION("""COMPUTED_VALUE"""),"princess.kinoi")</f>
        <v>princess.kinoi</v>
      </c>
      <c r="C198" s="23">
        <f>IFERROR(__xludf.DUMMYFUNCTION("""COMPUTED_VALUE"""),818000.0)</f>
        <v>818000</v>
      </c>
      <c r="D198" s="20" t="str">
        <f>IFERROR(__xludf.DUMMYFUNCTION("""COMPUTED_VALUE"""),"Macro")</f>
        <v>Macro</v>
      </c>
      <c r="E198" s="24" t="str">
        <f>IFERROR(__xludf.DUMMYFUNCTION("""COMPUTED_VALUE"""),"amandazahra")</f>
        <v>amandazahra</v>
      </c>
      <c r="F198" s="23" t="str">
        <f>IFERROR(__xludf.DUMMYFUNCTION("""COMPUTED_VALUE"""),"1M")</f>
        <v>1M</v>
      </c>
      <c r="G198" s="20" t="str">
        <f>IFERROR(__xludf.DUMMYFUNCTION("""COMPUTED_VALUE"""),"Mega")</f>
        <v>Mega</v>
      </c>
      <c r="H198" s="17" t="str">
        <f>IFERROR(__xludf.DUMMYFUNCTION("""COMPUTED_VALUE"""),"Jakarta")</f>
        <v>Jakarta</v>
      </c>
      <c r="I198" s="17" t="str">
        <f>IFERROR(__xludf.DUMMYFUNCTION("""COMPUTED_VALUE"""),"- Lifestyle Female
- Beauty")</f>
        <v>- Lifestyle Female
- Beauty</v>
      </c>
      <c r="J198" s="20">
        <f>IFERROR(__xludf.DUMMYFUNCTION("""COMPUTED_VALUE"""),1.5E7)</f>
        <v>15000000</v>
      </c>
      <c r="K198" s="20">
        <f>IFERROR(__xludf.DUMMYFUNCTION("""COMPUTED_VALUE"""),1.75E7)</f>
        <v>17500000</v>
      </c>
      <c r="L198" s="20">
        <f>IFERROR(__xludf.DUMMYFUNCTION("""COMPUTED_VALUE"""),2.5E7)</f>
        <v>25000000</v>
      </c>
      <c r="M198" s="20">
        <f>IFERROR(__xludf.DUMMYFUNCTION("""COMPUTED_VALUE"""),500000.0)</f>
        <v>500000</v>
      </c>
      <c r="N198" s="20">
        <f>IFERROR(__xludf.DUMMYFUNCTION("""COMPUTED_VALUE"""),2.5E7)</f>
        <v>25000000</v>
      </c>
      <c r="O198" s="20">
        <f>IFERROR(__xludf.DUMMYFUNCTION("""COMPUTED_VALUE"""),3.0E7)</f>
        <v>30000000</v>
      </c>
      <c r="P198" s="20">
        <f>IFERROR(__xludf.DUMMYFUNCTION("""COMPUTED_VALUE"""),5.0E7)</f>
        <v>50000000</v>
      </c>
      <c r="Q198" s="20">
        <f>IFERROR(__xludf.DUMMYFUNCTION("""COMPUTED_VALUE"""),1.25E7)</f>
        <v>12500000</v>
      </c>
      <c r="R198" s="20">
        <f>IFERROR(__xludf.DUMMYFUNCTION("""COMPUTED_VALUE"""),5.0E7)</f>
        <v>50000000</v>
      </c>
      <c r="S198" s="17"/>
      <c r="T198" s="17"/>
      <c r="U198" s="17"/>
      <c r="V198" s="20">
        <f>IFERROR(__xludf.DUMMYFUNCTION("""COMPUTED_VALUE"""),1000000.0)</f>
        <v>1000000</v>
      </c>
      <c r="W198" s="17"/>
      <c r="X198" s="20">
        <f>IFERROR(__xludf.DUMMYFUNCTION("""COMPUTED_VALUE"""),2.55E7)</f>
        <v>25500000</v>
      </c>
      <c r="Y198" s="17"/>
    </row>
    <row r="199">
      <c r="A199" s="17">
        <f>IFERROR(__xludf.DUMMYFUNCTION("""COMPUTED_VALUE"""),196.0)</f>
        <v>196</v>
      </c>
      <c r="B199" s="18" t="str">
        <f>IFERROR(__xludf.DUMMYFUNCTION("""COMPUTED_VALUE"""),"sellacarolina")</f>
        <v>sellacarolina</v>
      </c>
      <c r="C199" s="23">
        <f>IFERROR(__xludf.DUMMYFUNCTION("""COMPUTED_VALUE"""),10000.0)</f>
        <v>10000</v>
      </c>
      <c r="D199" s="20" t="str">
        <f>IFERROR(__xludf.DUMMYFUNCTION("""COMPUTED_VALUE"""),"Micro")</f>
        <v>Micro</v>
      </c>
      <c r="E199" s="18" t="str">
        <f>IFERROR(__xludf.DUMMYFUNCTION("""COMPUTED_VALUE"""),"sellacarolina")</f>
        <v>sellacarolina</v>
      </c>
      <c r="F199" s="23">
        <f>IFERROR(__xludf.DUMMYFUNCTION("""COMPUTED_VALUE"""),12000.0)</f>
        <v>12000</v>
      </c>
      <c r="G199" s="20" t="str">
        <f>IFERROR(__xludf.DUMMYFUNCTION("""COMPUTED_VALUE"""),"Micro")</f>
        <v>Micro</v>
      </c>
      <c r="H199" s="17" t="str">
        <f>IFERROR(__xludf.DUMMYFUNCTION("""COMPUTED_VALUE"""),"Jakarta")</f>
        <v>Jakarta</v>
      </c>
      <c r="I199" s="17" t="str">
        <f>IFERROR(__xludf.DUMMYFUNCTION("""COMPUTED_VALUE"""),"- Lifestyle Female
- Health &amp; sport")</f>
        <v>- Lifestyle Female
- Health &amp; sport</v>
      </c>
      <c r="J199" s="17"/>
      <c r="K199" s="20">
        <f>IFERROR(__xludf.DUMMYFUNCTION("""COMPUTED_VALUE"""),300000.0)</f>
        <v>300000</v>
      </c>
      <c r="L199" s="20">
        <f>IFERROR(__xludf.DUMMYFUNCTION("""COMPUTED_VALUE"""),1000000.0)</f>
        <v>1000000</v>
      </c>
      <c r="M199" s="20" t="str">
        <f>IFERROR(__xludf.DUMMYFUNCTION("""COMPUTED_VALUE"""),"FREE")</f>
        <v>FREE</v>
      </c>
      <c r="N199" s="17"/>
      <c r="O199" s="17"/>
      <c r="P199" s="20">
        <f>IFERROR(__xludf.DUMMYFUNCTION("""COMPUTED_VALUE"""),1500000.0)</f>
        <v>1500000</v>
      </c>
      <c r="Q199" s="17"/>
      <c r="R199" s="20">
        <f>IFERROR(__xludf.DUMMYFUNCTION("""COMPUTED_VALUE"""),1300000.0)</f>
        <v>1300000</v>
      </c>
      <c r="S199" s="17"/>
      <c r="T199" s="17"/>
      <c r="U199" s="21">
        <f>IFERROR(__xludf.DUMMYFUNCTION("""COMPUTED_VALUE"""),0.5)</f>
        <v>0.5</v>
      </c>
      <c r="V199" s="20">
        <f>IFERROR(__xludf.DUMMYFUNCTION("""COMPUTED_VALUE"""),100000.0)</f>
        <v>100000</v>
      </c>
      <c r="W199" s="20">
        <f>IFERROR(__xludf.DUMMYFUNCTION("""COMPUTED_VALUE"""),100000.0)</f>
        <v>100000</v>
      </c>
      <c r="X199" s="20">
        <f>IFERROR(__xludf.DUMMYFUNCTION("""COMPUTED_VALUE"""),1500000.0)</f>
        <v>1500000</v>
      </c>
      <c r="Y199" s="17"/>
    </row>
    <row r="200">
      <c r="A200" s="17">
        <f>IFERROR(__xludf.DUMMYFUNCTION("""COMPUTED_VALUE"""),197.0)</f>
        <v>197</v>
      </c>
      <c r="B200" s="18" t="str">
        <f>IFERROR(__xludf.DUMMYFUNCTION("""COMPUTED_VALUE"""),"sillacaroline")</f>
        <v>sillacaroline</v>
      </c>
      <c r="C200" s="23">
        <f>IFERROR(__xludf.DUMMYFUNCTION("""COMPUTED_VALUE"""),150000.0)</f>
        <v>150000</v>
      </c>
      <c r="D200" s="20" t="str">
        <f>IFERROR(__xludf.DUMMYFUNCTION("""COMPUTED_VALUE"""),"Mid")</f>
        <v>Mid</v>
      </c>
      <c r="E200" s="24" t="str">
        <f>IFERROR(__xludf.DUMMYFUNCTION("""COMPUTED_VALUE"""),"sillacaroline")</f>
        <v>sillacaroline</v>
      </c>
      <c r="F200" s="23">
        <f>IFERROR(__xludf.DUMMYFUNCTION("""COMPUTED_VALUE"""),21000.0)</f>
        <v>21000</v>
      </c>
      <c r="G200" s="20" t="str">
        <f>IFERROR(__xludf.DUMMYFUNCTION("""COMPUTED_VALUE"""),"Micro")</f>
        <v>Micro</v>
      </c>
      <c r="H200" s="17" t="str">
        <f>IFERROR(__xludf.DUMMYFUNCTION("""COMPUTED_VALUE"""),"Jakarta")</f>
        <v>Jakarta</v>
      </c>
      <c r="I200" s="17" t="str">
        <f>IFERROR(__xludf.DUMMYFUNCTION("""COMPUTED_VALUE"""),"- Lifestyle Female
- Health &amp; sport")</f>
        <v>- Lifestyle Female
- Health &amp; sport</v>
      </c>
      <c r="J200" s="17"/>
      <c r="K200" s="20">
        <f>IFERROR(__xludf.DUMMYFUNCTION("""COMPUTED_VALUE"""),300000.0)</f>
        <v>300000</v>
      </c>
      <c r="L200" s="20">
        <f>IFERROR(__xludf.DUMMYFUNCTION("""COMPUTED_VALUE"""),1000000.0)</f>
        <v>1000000</v>
      </c>
      <c r="M200" s="20" t="str">
        <f>IFERROR(__xludf.DUMMYFUNCTION("""COMPUTED_VALUE"""),"FREE")</f>
        <v>FREE</v>
      </c>
      <c r="N200" s="17"/>
      <c r="O200" s="17"/>
      <c r="P200" s="20">
        <f>IFERROR(__xludf.DUMMYFUNCTION("""COMPUTED_VALUE"""),1500000.0)</f>
        <v>1500000</v>
      </c>
      <c r="Q200" s="17"/>
      <c r="R200" s="20">
        <f>IFERROR(__xludf.DUMMYFUNCTION("""COMPUTED_VALUE"""),1500000.0)</f>
        <v>1500000</v>
      </c>
      <c r="S200" s="17"/>
      <c r="T200" s="17"/>
      <c r="U200" s="21">
        <f>IFERROR(__xludf.DUMMYFUNCTION("""COMPUTED_VALUE"""),0.5)</f>
        <v>0.5</v>
      </c>
      <c r="V200" s="20">
        <f>IFERROR(__xludf.DUMMYFUNCTION("""COMPUTED_VALUE"""),100000.0)</f>
        <v>100000</v>
      </c>
      <c r="W200" s="20">
        <f>IFERROR(__xludf.DUMMYFUNCTION("""COMPUTED_VALUE"""),100000.0)</f>
        <v>100000</v>
      </c>
      <c r="X200" s="20">
        <f>IFERROR(__xludf.DUMMYFUNCTION("""COMPUTED_VALUE"""),1500000.0)</f>
        <v>1500000</v>
      </c>
      <c r="Y200" s="17"/>
    </row>
    <row r="201">
      <c r="A201" s="17">
        <f>IFERROR(__xludf.DUMMYFUNCTION("""COMPUTED_VALUE"""),198.0)</f>
        <v>198</v>
      </c>
      <c r="B201" s="18" t="str">
        <f>IFERROR(__xludf.DUMMYFUNCTION("""COMPUTED_VALUE"""),"afifahriyad")</f>
        <v>afifahriyad</v>
      </c>
      <c r="C201" s="23">
        <f>IFERROR(__xludf.DUMMYFUNCTION("""COMPUTED_VALUE"""),527000.0)</f>
        <v>527000</v>
      </c>
      <c r="D201" s="20" t="str">
        <f>IFERROR(__xludf.DUMMYFUNCTION("""COMPUTED_VALUE"""),"Macro")</f>
        <v>Macro</v>
      </c>
      <c r="E201" s="18" t="str">
        <f>IFERROR(__xludf.DUMMYFUNCTION("""COMPUTED_VALUE"""),"afifahriyad")</f>
        <v>afifahriyad</v>
      </c>
      <c r="F201" s="23" t="str">
        <f>IFERROR(__xludf.DUMMYFUNCTION("""COMPUTED_VALUE"""),"3M")</f>
        <v>3M</v>
      </c>
      <c r="G201" s="20" t="str">
        <f>IFERROR(__xludf.DUMMYFUNCTION("""COMPUTED_VALUE"""),"Mega")</f>
        <v>Mega</v>
      </c>
      <c r="H201" s="17"/>
      <c r="I201" s="17" t="str">
        <f>IFERROR(__xludf.DUMMYFUNCTION("""COMPUTED_VALUE"""),"- Lifestyle Female
- Mom &amp; Kids
- Beauty")</f>
        <v>- Lifestyle Female
- Mom &amp; Kids
- Beauty</v>
      </c>
      <c r="J201" s="20">
        <f>IFERROR(__xludf.DUMMYFUNCTION("""COMPUTED_VALUE"""),4000000.0)</f>
        <v>4000000</v>
      </c>
      <c r="K201" s="20">
        <f>IFERROR(__xludf.DUMMYFUNCTION("""COMPUTED_VALUE"""),4000000.0)</f>
        <v>4000000</v>
      </c>
      <c r="L201" s="20">
        <f>IFERROR(__xludf.DUMMYFUNCTION("""COMPUTED_VALUE"""),6000000.0)</f>
        <v>6000000</v>
      </c>
      <c r="M201" s="20" t="str">
        <f>IFERROR(__xludf.DUMMYFUNCTION("""COMPUTED_VALUE"""),"FREE")</f>
        <v>FREE</v>
      </c>
      <c r="N201" s="20">
        <f>IFERROR(__xludf.DUMMYFUNCTION("""COMPUTED_VALUE"""),1.5E7)</f>
        <v>15000000</v>
      </c>
      <c r="O201" s="20">
        <f>IFERROR(__xludf.DUMMYFUNCTION("""COMPUTED_VALUE"""),1.5E7)</f>
        <v>15000000</v>
      </c>
      <c r="P201" s="20">
        <f>IFERROR(__xludf.DUMMYFUNCTION("""COMPUTED_VALUE"""),1.8E7)</f>
        <v>18000000</v>
      </c>
      <c r="Q201" s="20" t="str">
        <f>IFERROR(__xludf.DUMMYFUNCTION("""COMPUTED_VALUE"""),"FREE")</f>
        <v>FREE</v>
      </c>
      <c r="R201" s="20">
        <f>IFERROR(__xludf.DUMMYFUNCTION("""COMPUTED_VALUE"""),3.0E7)</f>
        <v>30000000</v>
      </c>
      <c r="S201" s="20">
        <f>IFERROR(__xludf.DUMMYFUNCTION("""COMPUTED_VALUE"""),4.8E7)</f>
        <v>48000000</v>
      </c>
      <c r="T201" s="20">
        <f>IFERROR(__xludf.DUMMYFUNCTION("""COMPUTED_VALUE"""),2.5E7)</f>
        <v>25000000</v>
      </c>
      <c r="U201" s="20" t="str">
        <f>IFERROR(__xludf.DUMMYFUNCTION("""COMPUTED_VALUE"""),"FREE")</f>
        <v>FREE</v>
      </c>
      <c r="V201" s="20" t="str">
        <f>IFERROR(__xludf.DUMMYFUNCTION("""COMPUTED_VALUE"""),"FREE")</f>
        <v>FREE</v>
      </c>
      <c r="W201" s="20" t="str">
        <f>IFERROR(__xludf.DUMMYFUNCTION("""COMPUTED_VALUE"""),"FREE")</f>
        <v>FREE</v>
      </c>
      <c r="X201" s="20">
        <f>IFERROR(__xludf.DUMMYFUNCTION("""COMPUTED_VALUE"""),2.5E7)</f>
        <v>25000000</v>
      </c>
      <c r="Y201" s="17"/>
    </row>
    <row r="202">
      <c r="A202" s="17">
        <f>IFERROR(__xludf.DUMMYFUNCTION("""COMPUTED_VALUE"""),199.0)</f>
        <v>199</v>
      </c>
      <c r="B202" s="18" t="str">
        <f>IFERROR(__xludf.DUMMYFUNCTION("""COMPUTED_VALUE"""),"risyabrabo")</f>
        <v>risyabrabo</v>
      </c>
      <c r="C202" s="23">
        <f>IFERROR(__xludf.DUMMYFUNCTION("""COMPUTED_VALUE"""),580000.0)</f>
        <v>580000</v>
      </c>
      <c r="D202" s="20" t="str">
        <f>IFERROR(__xludf.DUMMYFUNCTION("""COMPUTED_VALUE"""),"Macro")</f>
        <v>Macro</v>
      </c>
      <c r="E202" s="24" t="str">
        <f>IFERROR(__xludf.DUMMYFUNCTION("""COMPUTED_VALUE"""),"risyabrabo9")</f>
        <v>risyabrabo9</v>
      </c>
      <c r="F202" s="23">
        <f>IFERROR(__xludf.DUMMYFUNCTION("""COMPUTED_VALUE"""),312000.0)</f>
        <v>312000</v>
      </c>
      <c r="G202" s="20" t="str">
        <f>IFERROR(__xludf.DUMMYFUNCTION("""COMPUTED_VALUE"""),"Mid")</f>
        <v>Mid</v>
      </c>
      <c r="H202" s="17" t="str">
        <f>IFERROR(__xludf.DUMMYFUNCTION("""COMPUTED_VALUE"""),"Jakarta")</f>
        <v>Jakarta</v>
      </c>
      <c r="I202" s="17" t="str">
        <f>IFERROR(__xludf.DUMMYFUNCTION("""COMPUTED_VALUE"""),"- Lifestyle Female 
- Beauty")</f>
        <v>- Lifestyle Female 
- Beauty</v>
      </c>
      <c r="J202" s="20">
        <f>IFERROR(__xludf.DUMMYFUNCTION("""COMPUTED_VALUE"""),5500000.0)</f>
        <v>5500000</v>
      </c>
      <c r="K202" s="20">
        <f>IFERROR(__xludf.DUMMYFUNCTION("""COMPUTED_VALUE"""),7000000.0)</f>
        <v>7000000</v>
      </c>
      <c r="L202" s="20">
        <f>IFERROR(__xludf.DUMMYFUNCTION("""COMPUTED_VALUE"""),1.5E7)</f>
        <v>15000000</v>
      </c>
      <c r="M202" s="20" t="str">
        <f>IFERROR(__xludf.DUMMYFUNCTION("""COMPUTED_VALUE"""),"FREE")</f>
        <v>FREE</v>
      </c>
      <c r="N202" s="20">
        <f>IFERROR(__xludf.DUMMYFUNCTION("""COMPUTED_VALUE"""),1.8E7)</f>
        <v>18000000</v>
      </c>
      <c r="O202" s="20">
        <f>IFERROR(__xludf.DUMMYFUNCTION("""COMPUTED_VALUE"""),2.1E7)</f>
        <v>21000000</v>
      </c>
      <c r="P202" s="20">
        <f>IFERROR(__xludf.DUMMYFUNCTION("""COMPUTED_VALUE"""),2.5E7)</f>
        <v>25000000</v>
      </c>
      <c r="Q202" s="20">
        <f>IFERROR(__xludf.DUMMYFUNCTION("""COMPUTED_VALUE"""),1.0E7)</f>
        <v>10000000</v>
      </c>
      <c r="R202" s="20">
        <f>IFERROR(__xludf.DUMMYFUNCTION("""COMPUTED_VALUE"""),2.0E7)</f>
        <v>20000000</v>
      </c>
      <c r="S202" s="20">
        <f>IFERROR(__xludf.DUMMYFUNCTION("""COMPUTED_VALUE"""),3.0E7)</f>
        <v>30000000</v>
      </c>
      <c r="T202" s="20">
        <f>IFERROR(__xludf.DUMMYFUNCTION("""COMPUTED_VALUE"""),1.5E7)</f>
        <v>15000000</v>
      </c>
      <c r="U202" s="20">
        <f>IFERROR(__xludf.DUMMYFUNCTION("""COMPUTED_VALUE"""),1.0E8)</f>
        <v>100000000</v>
      </c>
      <c r="V202" s="20">
        <f>IFERROR(__xludf.DUMMYFUNCTION("""COMPUTED_VALUE"""),5000000.0)</f>
        <v>5000000</v>
      </c>
      <c r="W202" s="20">
        <f>IFERROR(__xludf.DUMMYFUNCTION("""COMPUTED_VALUE"""),1.0E7)</f>
        <v>10000000</v>
      </c>
      <c r="X202" s="20">
        <f>IFERROR(__xludf.DUMMYFUNCTION("""COMPUTED_VALUE"""),1.5E7)</f>
        <v>15000000</v>
      </c>
      <c r="Y202" s="1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679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  <hyperlink r:id="rId47" ref="B27"/>
    <hyperlink r:id="rId48" ref="E27"/>
    <hyperlink r:id="rId49" ref="B28"/>
    <hyperlink r:id="rId50" ref="E28"/>
    <hyperlink r:id="rId51" ref="B29"/>
    <hyperlink r:id="rId52" ref="E29"/>
    <hyperlink r:id="rId53" ref="B30"/>
    <hyperlink r:id="rId54" ref="E30"/>
    <hyperlink r:id="rId55" ref="B31"/>
    <hyperlink r:id="rId56" ref="E31"/>
    <hyperlink r:id="rId57" ref="B32"/>
    <hyperlink r:id="rId58" ref="E32"/>
    <hyperlink r:id="rId59" ref="B33"/>
    <hyperlink r:id="rId60" ref="E33"/>
    <hyperlink r:id="rId61" ref="B34"/>
    <hyperlink r:id="rId62" ref="E34"/>
    <hyperlink r:id="rId63" ref="B35"/>
    <hyperlink r:id="rId64" ref="E35"/>
    <hyperlink r:id="rId65" ref="B36"/>
    <hyperlink r:id="rId66" ref="E36"/>
    <hyperlink r:id="rId67" ref="B37"/>
    <hyperlink r:id="rId68" ref="E37"/>
    <hyperlink r:id="rId69" ref="B38"/>
    <hyperlink r:id="rId70" ref="E38"/>
    <hyperlink r:id="rId71" ref="B39"/>
    <hyperlink r:id="rId72" ref="E39"/>
    <hyperlink r:id="rId73" ref="B40"/>
    <hyperlink r:id="rId74" ref="E40"/>
    <hyperlink r:id="rId75" ref="B41"/>
    <hyperlink r:id="rId76" ref="E41"/>
    <hyperlink r:id="rId77" ref="B42"/>
    <hyperlink r:id="rId78" ref="E42"/>
    <hyperlink r:id="rId79" ref="B43"/>
    <hyperlink r:id="rId80" ref="E43"/>
    <hyperlink r:id="rId81" ref="B44"/>
    <hyperlink r:id="rId82" ref="E44"/>
    <hyperlink r:id="rId83" ref="B45"/>
    <hyperlink r:id="rId84" ref="E45"/>
    <hyperlink r:id="rId85" ref="B46"/>
    <hyperlink r:id="rId86" ref="E46"/>
    <hyperlink r:id="rId87" ref="B47"/>
    <hyperlink r:id="rId88" ref="E47"/>
    <hyperlink r:id="rId89" ref="B48"/>
    <hyperlink r:id="rId90" ref="E48"/>
    <hyperlink r:id="rId91" ref="B49"/>
    <hyperlink r:id="rId92" ref="E49"/>
    <hyperlink r:id="rId93" ref="B50"/>
    <hyperlink r:id="rId94" ref="E50"/>
    <hyperlink r:id="rId95" ref="B51"/>
    <hyperlink r:id="rId96" ref="E51"/>
    <hyperlink r:id="rId97" ref="B52"/>
    <hyperlink r:id="rId98" ref="E52"/>
    <hyperlink r:id="rId99" ref="B53"/>
    <hyperlink r:id="rId100" ref="E53"/>
    <hyperlink r:id="rId101" ref="B54"/>
    <hyperlink r:id="rId102" ref="E54"/>
    <hyperlink r:id="rId103" ref="B55"/>
    <hyperlink r:id="rId104" ref="E55"/>
    <hyperlink r:id="rId105" ref="B56"/>
    <hyperlink r:id="rId106" ref="E56"/>
    <hyperlink r:id="rId107" ref="B57"/>
    <hyperlink r:id="rId108" ref="E57"/>
    <hyperlink r:id="rId109" ref="B58"/>
    <hyperlink r:id="rId110" ref="E58"/>
    <hyperlink r:id="rId111" ref="B59"/>
    <hyperlink r:id="rId112" ref="E59"/>
    <hyperlink r:id="rId113" ref="B60"/>
    <hyperlink r:id="rId114" ref="E60"/>
    <hyperlink r:id="rId115" ref="B61"/>
    <hyperlink r:id="rId116" ref="E61"/>
    <hyperlink r:id="rId117" ref="B62"/>
    <hyperlink r:id="rId118" ref="E62"/>
    <hyperlink r:id="rId119" ref="B63"/>
    <hyperlink r:id="rId120" ref="E63"/>
    <hyperlink r:id="rId121" ref="E64"/>
    <hyperlink r:id="rId122" ref="B65"/>
    <hyperlink r:id="rId123" ref="E65"/>
    <hyperlink r:id="rId124" ref="B66"/>
    <hyperlink r:id="rId125" ref="E66"/>
    <hyperlink r:id="rId126" ref="B67"/>
    <hyperlink r:id="rId127" ref="E67"/>
    <hyperlink r:id="rId128" ref="B68"/>
    <hyperlink r:id="rId129" ref="E68"/>
    <hyperlink r:id="rId130" ref="B69"/>
    <hyperlink r:id="rId131" ref="E69"/>
    <hyperlink r:id="rId132" ref="B70"/>
    <hyperlink r:id="rId133" ref="E70"/>
    <hyperlink r:id="rId134" ref="B71"/>
    <hyperlink r:id="rId135" ref="E71"/>
    <hyperlink r:id="rId136" ref="B72"/>
    <hyperlink r:id="rId137" ref="E72"/>
    <hyperlink r:id="rId138" ref="B73"/>
    <hyperlink r:id="rId139" ref="E73"/>
    <hyperlink r:id="rId140" ref="B74"/>
    <hyperlink r:id="rId141" ref="E74"/>
    <hyperlink r:id="rId142" ref="B75"/>
    <hyperlink r:id="rId143" ref="E75"/>
    <hyperlink r:id="rId144" ref="B76"/>
    <hyperlink r:id="rId145" ref="E76"/>
    <hyperlink r:id="rId146" ref="B77"/>
    <hyperlink r:id="rId147" ref="E77"/>
    <hyperlink r:id="rId148" ref="B78"/>
    <hyperlink r:id="rId149" ref="E78"/>
    <hyperlink r:id="rId150" ref="B79"/>
    <hyperlink r:id="rId151" ref="E79"/>
    <hyperlink r:id="rId152" ref="B80"/>
    <hyperlink r:id="rId153" ref="E80"/>
    <hyperlink r:id="rId154" ref="B81"/>
    <hyperlink r:id="rId155" ref="E81"/>
    <hyperlink r:id="rId156" ref="B82"/>
    <hyperlink r:id="rId157" ref="E82"/>
    <hyperlink r:id="rId158" ref="B83"/>
    <hyperlink r:id="rId159" ref="E83"/>
    <hyperlink r:id="rId160" ref="B84"/>
    <hyperlink r:id="rId161" ref="E84"/>
    <hyperlink r:id="rId162" ref="B85"/>
    <hyperlink r:id="rId163" ref="E85"/>
    <hyperlink r:id="rId164" ref="B86"/>
    <hyperlink r:id="rId165" ref="E86"/>
    <hyperlink r:id="rId166" ref="B87"/>
    <hyperlink r:id="rId167" ref="E87"/>
    <hyperlink r:id="rId168" ref="B88"/>
    <hyperlink r:id="rId169" ref="E88"/>
    <hyperlink r:id="rId170" ref="B89"/>
    <hyperlink r:id="rId171" ref="E89"/>
    <hyperlink r:id="rId172" ref="B90"/>
    <hyperlink r:id="rId173" ref="E90"/>
    <hyperlink r:id="rId174" ref="B91"/>
    <hyperlink r:id="rId175" ref="E91"/>
    <hyperlink r:id="rId176" ref="B92"/>
    <hyperlink r:id="rId177" ref="E92"/>
    <hyperlink r:id="rId178" ref="B93"/>
    <hyperlink r:id="rId179" ref="E93"/>
    <hyperlink r:id="rId180" ref="B94"/>
    <hyperlink r:id="rId181" ref="E94"/>
    <hyperlink r:id="rId182" ref="B95"/>
    <hyperlink r:id="rId183" ref="E95"/>
    <hyperlink r:id="rId184" ref="B96"/>
    <hyperlink r:id="rId185" ref="E96"/>
    <hyperlink r:id="rId186" ref="B97"/>
    <hyperlink r:id="rId187" ref="E97"/>
    <hyperlink r:id="rId188" ref="B98"/>
    <hyperlink r:id="rId189" ref="E98"/>
    <hyperlink r:id="rId190" ref="B99"/>
    <hyperlink r:id="rId191" ref="E99"/>
    <hyperlink r:id="rId192" ref="B100"/>
    <hyperlink r:id="rId193" ref="E100"/>
    <hyperlink r:id="rId194" ref="B101"/>
    <hyperlink r:id="rId195" ref="E101"/>
    <hyperlink r:id="rId196" ref="B102"/>
    <hyperlink r:id="rId197" ref="E102"/>
    <hyperlink r:id="rId198" ref="B103"/>
    <hyperlink r:id="rId199" ref="E103"/>
    <hyperlink r:id="rId200" ref="B104"/>
    <hyperlink r:id="rId201" ref="E104"/>
    <hyperlink r:id="rId202" ref="B105"/>
    <hyperlink r:id="rId203" ref="E105"/>
    <hyperlink r:id="rId204" ref="B106"/>
    <hyperlink r:id="rId205" ref="E106"/>
    <hyperlink r:id="rId206" ref="B107"/>
    <hyperlink r:id="rId207" ref="E107"/>
    <hyperlink r:id="rId208" ref="E108"/>
    <hyperlink r:id="rId209" ref="B109"/>
    <hyperlink r:id="rId210" ref="E109"/>
    <hyperlink r:id="rId211" ref="B110"/>
    <hyperlink r:id="rId212" ref="E110"/>
    <hyperlink r:id="rId213" ref="B111"/>
    <hyperlink r:id="rId214" ref="E111"/>
    <hyperlink r:id="rId215" ref="B112"/>
    <hyperlink r:id="rId216" ref="E112"/>
    <hyperlink r:id="rId217" ref="B113"/>
    <hyperlink r:id="rId218" ref="E113"/>
    <hyperlink r:id="rId219" ref="B114"/>
    <hyperlink r:id="rId220" ref="E114"/>
    <hyperlink r:id="rId221" ref="B115"/>
    <hyperlink r:id="rId222" ref="E115"/>
    <hyperlink r:id="rId223" ref="B116"/>
    <hyperlink r:id="rId224" ref="E116"/>
    <hyperlink r:id="rId225" ref="B117"/>
    <hyperlink r:id="rId226" ref="E117"/>
    <hyperlink r:id="rId227" ref="B118"/>
    <hyperlink r:id="rId228" ref="E118"/>
    <hyperlink r:id="rId229" ref="B119"/>
    <hyperlink r:id="rId230" ref="E119"/>
    <hyperlink r:id="rId231" ref="E120"/>
    <hyperlink r:id="rId232" ref="B121"/>
    <hyperlink r:id="rId233" ref="E121"/>
    <hyperlink r:id="rId234" ref="B122"/>
    <hyperlink r:id="rId235" ref="E122"/>
    <hyperlink r:id="rId236" ref="B123"/>
    <hyperlink r:id="rId237" ref="E123"/>
    <hyperlink r:id="rId238" ref="B124"/>
    <hyperlink r:id="rId239" ref="E124"/>
    <hyperlink r:id="rId240" ref="B125"/>
    <hyperlink r:id="rId241" ref="E125"/>
    <hyperlink r:id="rId242" ref="B126"/>
    <hyperlink r:id="rId243" ref="E126"/>
    <hyperlink r:id="rId244" ref="B127"/>
    <hyperlink r:id="rId245" ref="E127"/>
    <hyperlink r:id="rId246" ref="B128"/>
    <hyperlink r:id="rId247" ref="E128"/>
    <hyperlink r:id="rId248" ref="B129"/>
    <hyperlink r:id="rId249" ref="E129"/>
    <hyperlink r:id="rId250" ref="B130"/>
    <hyperlink r:id="rId251" ref="E130"/>
    <hyperlink r:id="rId252" ref="B131"/>
    <hyperlink r:id="rId253" ref="E131"/>
    <hyperlink r:id="rId254" ref="B132"/>
    <hyperlink r:id="rId255" ref="E132"/>
    <hyperlink r:id="rId256" ref="B133"/>
    <hyperlink r:id="rId257" ref="E133"/>
    <hyperlink r:id="rId258" ref="B134"/>
    <hyperlink r:id="rId259" ref="E134"/>
    <hyperlink r:id="rId260" ref="B135"/>
    <hyperlink r:id="rId261" ref="E135"/>
    <hyperlink r:id="rId262" ref="B136"/>
    <hyperlink r:id="rId263" ref="E136"/>
    <hyperlink r:id="rId264" ref="B137"/>
    <hyperlink r:id="rId265" ref="E137"/>
    <hyperlink r:id="rId266" ref="B138"/>
    <hyperlink r:id="rId267" ref="E138"/>
    <hyperlink r:id="rId268" ref="B139"/>
    <hyperlink r:id="rId269" ref="E139"/>
    <hyperlink r:id="rId270" ref="B140"/>
    <hyperlink r:id="rId271" ref="E140"/>
    <hyperlink r:id="rId272" ref="B141"/>
    <hyperlink r:id="rId273" ref="E141"/>
    <hyperlink r:id="rId274" ref="B142"/>
    <hyperlink r:id="rId275" ref="E142"/>
    <hyperlink r:id="rId276" ref="B143"/>
    <hyperlink r:id="rId277" ref="E143"/>
    <hyperlink r:id="rId278" ref="B144"/>
    <hyperlink r:id="rId279" ref="E144"/>
    <hyperlink r:id="rId280" ref="B145"/>
    <hyperlink r:id="rId281" ref="E145"/>
    <hyperlink r:id="rId282" ref="B146"/>
    <hyperlink r:id="rId283" ref="E146"/>
    <hyperlink r:id="rId284" ref="B147"/>
    <hyperlink r:id="rId285" ref="E147"/>
    <hyperlink r:id="rId286" ref="B148"/>
    <hyperlink r:id="rId287" ref="E148"/>
    <hyperlink r:id="rId288" ref="B149"/>
    <hyperlink r:id="rId289" ref="E149"/>
    <hyperlink r:id="rId290" ref="B150"/>
    <hyperlink r:id="rId291" ref="E150"/>
    <hyperlink r:id="rId292" ref="B151"/>
    <hyperlink r:id="rId293" ref="E151"/>
    <hyperlink r:id="rId294" ref="B152"/>
    <hyperlink r:id="rId295" ref="E152"/>
    <hyperlink r:id="rId296" ref="B153"/>
    <hyperlink r:id="rId297" ref="E153"/>
    <hyperlink r:id="rId298" ref="B154"/>
    <hyperlink r:id="rId299" ref="B155"/>
    <hyperlink r:id="rId300" ref="E155"/>
    <hyperlink r:id="rId301" ref="B156"/>
    <hyperlink r:id="rId302" ref="E156"/>
    <hyperlink r:id="rId303" ref="B157"/>
    <hyperlink r:id="rId304" ref="E157"/>
    <hyperlink r:id="rId305" ref="B158"/>
    <hyperlink r:id="rId306" ref="E158"/>
    <hyperlink r:id="rId307" ref="B159"/>
    <hyperlink r:id="rId308" ref="E159"/>
    <hyperlink r:id="rId309" ref="B160"/>
    <hyperlink r:id="rId310" ref="E160"/>
    <hyperlink r:id="rId311" ref="B161"/>
    <hyperlink r:id="rId312" ref="E161"/>
    <hyperlink r:id="rId313" ref="B162"/>
    <hyperlink r:id="rId314" ref="E162"/>
    <hyperlink r:id="rId315" ref="B163"/>
    <hyperlink r:id="rId316" ref="E163"/>
    <hyperlink r:id="rId317" ref="B164"/>
    <hyperlink r:id="rId318" ref="E164"/>
    <hyperlink r:id="rId319" ref="B165"/>
    <hyperlink r:id="rId320" ref="E165"/>
    <hyperlink r:id="rId321" ref="B166"/>
    <hyperlink r:id="rId322" ref="E166"/>
    <hyperlink r:id="rId323" ref="B167"/>
    <hyperlink r:id="rId324" ref="E167"/>
    <hyperlink r:id="rId325" ref="B168"/>
    <hyperlink r:id="rId326" ref="E168"/>
    <hyperlink r:id="rId327" ref="B169"/>
    <hyperlink r:id="rId328" ref="E169"/>
    <hyperlink r:id="rId329" ref="B170"/>
    <hyperlink r:id="rId330" ref="E170"/>
    <hyperlink r:id="rId331" ref="B171"/>
    <hyperlink r:id="rId332" ref="E171"/>
    <hyperlink r:id="rId333" ref="B172"/>
    <hyperlink r:id="rId334" ref="E172"/>
    <hyperlink r:id="rId335" ref="B173"/>
    <hyperlink r:id="rId336" ref="E173"/>
    <hyperlink r:id="rId337" ref="B174"/>
    <hyperlink r:id="rId338" ref="E174"/>
    <hyperlink r:id="rId339" ref="B175"/>
    <hyperlink r:id="rId340" ref="E175"/>
    <hyperlink r:id="rId341" ref="B176"/>
    <hyperlink r:id="rId342" ref="E176"/>
    <hyperlink r:id="rId343" ref="B177"/>
    <hyperlink r:id="rId344" ref="E177"/>
    <hyperlink r:id="rId345" ref="B178"/>
    <hyperlink r:id="rId346" ref="E178"/>
    <hyperlink r:id="rId347" ref="B179"/>
    <hyperlink r:id="rId348" ref="E179"/>
    <hyperlink r:id="rId349" ref="B180"/>
    <hyperlink r:id="rId350" ref="E180"/>
    <hyperlink r:id="rId351" ref="B181"/>
    <hyperlink r:id="rId352" ref="E181"/>
    <hyperlink r:id="rId353" ref="E182"/>
    <hyperlink r:id="rId354" ref="B183"/>
    <hyperlink r:id="rId355" ref="E183"/>
    <hyperlink r:id="rId356" ref="B184"/>
    <hyperlink r:id="rId357" ref="E184"/>
    <hyperlink r:id="rId358" ref="B185"/>
    <hyperlink r:id="rId359" ref="E185"/>
    <hyperlink r:id="rId360" ref="B186"/>
    <hyperlink r:id="rId361" ref="E186"/>
    <hyperlink r:id="rId362" ref="B187"/>
    <hyperlink r:id="rId363" ref="E187"/>
    <hyperlink r:id="rId364" ref="B188"/>
    <hyperlink r:id="rId365" ref="E188"/>
    <hyperlink r:id="rId366" ref="B189"/>
    <hyperlink r:id="rId367" ref="E189"/>
    <hyperlink r:id="rId368" ref="B190"/>
    <hyperlink r:id="rId369" ref="E190"/>
    <hyperlink r:id="rId370" ref="B191"/>
    <hyperlink r:id="rId371" ref="E191"/>
    <hyperlink r:id="rId372" ref="B192"/>
    <hyperlink r:id="rId373" ref="E192"/>
    <hyperlink r:id="rId374" ref="B193"/>
    <hyperlink r:id="rId375" ref="E193"/>
    <hyperlink r:id="rId376" ref="B194"/>
    <hyperlink r:id="rId377" ref="E194"/>
    <hyperlink r:id="rId378" ref="B195"/>
    <hyperlink r:id="rId379" ref="E195"/>
    <hyperlink r:id="rId380" ref="B196"/>
    <hyperlink r:id="rId381" ref="E196"/>
    <hyperlink r:id="rId382" ref="B197"/>
    <hyperlink r:id="rId383" ref="E197"/>
    <hyperlink r:id="rId384" ref="B198"/>
    <hyperlink r:id="rId385" ref="E198"/>
    <hyperlink r:id="rId386" ref="B199"/>
    <hyperlink r:id="rId387" ref="E199"/>
    <hyperlink r:id="rId388" ref="B200"/>
    <hyperlink r:id="rId389" ref="E200"/>
    <hyperlink r:id="rId390" ref="B201"/>
    <hyperlink r:id="rId391" ref="E201"/>
    <hyperlink r:id="rId392" ref="B202"/>
    <hyperlink r:id="rId393" ref="E202"/>
  </hyperlinks>
  <drawing r:id="rId39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8"/>
      <c r="B1" s="3"/>
      <c r="C1" s="3"/>
      <c r="D1" s="3"/>
      <c r="E1" s="3"/>
      <c r="F1" s="3"/>
      <c r="G1" s="3"/>
      <c r="H1" s="3"/>
      <c r="I1" s="4"/>
      <c r="J1" s="29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""Lifestyle Female!A4:Y999"")"),1.0)</f>
        <v>1</v>
      </c>
      <c r="B4" s="18" t="str">
        <f>IFERROR(__xludf.DUMMYFUNCTION("""COMPUTED_VALUE"""),"rklopperr")</f>
        <v>rklopperr</v>
      </c>
      <c r="C4" s="19">
        <f>IFERROR(__xludf.DUMMYFUNCTION("""COMPUTED_VALUE"""),7000000.0)</f>
        <v>7000000</v>
      </c>
      <c r="D4" s="17" t="str">
        <f>IFERROR(__xludf.DUMMYFUNCTION("""COMPUTED_VALUE"""),"Mega")</f>
        <v>Mega</v>
      </c>
      <c r="E4" s="18" t="str">
        <f>IFERROR(__xludf.DUMMYFUNCTION("""COMPUTED_VALUE"""),"rklopperrr")</f>
        <v>rklopperrr</v>
      </c>
      <c r="F4" s="19">
        <f>IFERROR(__xludf.DUMMYFUNCTION("""COMPUTED_VALUE"""),3000000.0)</f>
        <v>3000000</v>
      </c>
      <c r="G4" s="17" t="str">
        <f>IFERROR(__xludf.DUMMYFUNCTION("""COMPUTED_VALUE"""),"Mega")</f>
        <v>Mega</v>
      </c>
      <c r="H4" s="17" t="str">
        <f>IFERROR(__xludf.DUMMYFUNCTION("""COMPUTED_VALUE"""),"Tangerang")</f>
        <v>Tangerang</v>
      </c>
      <c r="I4" s="17" t="str">
        <f>IFERROR(__xludf.DUMMYFUNCTION("""COMPUTED_VALUE"""),"- Lifestyle Female
- Actor/Actress
- Beauty")</f>
        <v>- Lifestyle Female
- Actor/Actress
- Beauty</v>
      </c>
      <c r="J4" s="17"/>
      <c r="K4" s="20">
        <f>IFERROR(__xludf.DUMMYFUNCTION("""COMPUTED_VALUE"""),2.0E7)</f>
        <v>20000000</v>
      </c>
      <c r="L4" s="20">
        <f>IFERROR(__xludf.DUMMYFUNCTION("""COMPUTED_VALUE"""),3.5E7)</f>
        <v>35000000</v>
      </c>
      <c r="M4" s="20">
        <f>IFERROR(__xludf.DUMMYFUNCTION("""COMPUTED_VALUE"""),5000000.0)</f>
        <v>5000000</v>
      </c>
      <c r="N4" s="20">
        <f>IFERROR(__xludf.DUMMYFUNCTION("""COMPUTED_VALUE"""),3.0E7)</f>
        <v>30000000</v>
      </c>
      <c r="O4" s="20">
        <f>IFERROR(__xludf.DUMMYFUNCTION("""COMPUTED_VALUE"""),4.5E7)</f>
        <v>45000000</v>
      </c>
      <c r="P4" s="20">
        <f>IFERROR(__xludf.DUMMYFUNCTION("""COMPUTED_VALUE"""),4.5E7)</f>
        <v>45000000</v>
      </c>
      <c r="Q4" s="20">
        <f>IFERROR(__xludf.DUMMYFUNCTION("""COMPUTED_VALUE"""),1.0E7)</f>
        <v>10000000</v>
      </c>
      <c r="R4" s="20">
        <f>IFERROR(__xludf.DUMMYFUNCTION("""COMPUTED_VALUE"""),4.5E7)</f>
        <v>45000000</v>
      </c>
      <c r="S4" s="20">
        <f>IFERROR(__xludf.DUMMYFUNCTION("""COMPUTED_VALUE"""),6.5E7)</f>
        <v>65000000</v>
      </c>
      <c r="T4" s="20">
        <f>IFERROR(__xludf.DUMMYFUNCTION("""COMPUTED_VALUE"""),4.5E7)</f>
        <v>45000000</v>
      </c>
      <c r="U4" s="20">
        <f>IFERROR(__xludf.DUMMYFUNCTION("""COMPUTED_VALUE"""),1.0E7)</f>
        <v>10000000</v>
      </c>
      <c r="V4" s="20">
        <f>IFERROR(__xludf.DUMMYFUNCTION("""COMPUTED_VALUE"""),1.0E7)</f>
        <v>10000000</v>
      </c>
      <c r="W4" s="17"/>
      <c r="X4" s="17"/>
      <c r="Y4" s="17"/>
    </row>
    <row r="5">
      <c r="A5" s="17">
        <f>IFERROR(__xludf.DUMMYFUNCTION("""COMPUTED_VALUE"""),2.0)</f>
        <v>2</v>
      </c>
      <c r="B5" s="18" t="str">
        <f>IFERROR(__xludf.DUMMYFUNCTION("""COMPUTED_VALUE"""),"hesfinatia")</f>
        <v>hesfinatia</v>
      </c>
      <c r="C5" s="19">
        <f>IFERROR(__xludf.DUMMYFUNCTION("""COMPUTED_VALUE"""),1200000.0)</f>
        <v>1200000</v>
      </c>
      <c r="D5" s="17" t="str">
        <f>IFERROR(__xludf.DUMMYFUNCTION("""COMPUTED_VALUE"""),"Mega")</f>
        <v>Mega</v>
      </c>
      <c r="E5" s="18" t="str">
        <f>IFERROR(__xludf.DUMMYFUNCTION("""COMPUTED_VALUE"""),"hesfinatia")</f>
        <v>hesfinatia</v>
      </c>
      <c r="F5" s="19">
        <f>IFERROR(__xludf.DUMMYFUNCTION("""COMPUTED_VALUE"""),1.48E7)</f>
        <v>14800000</v>
      </c>
      <c r="G5" s="17" t="str">
        <f>IFERROR(__xludf.DUMMYFUNCTION("""COMPUTED_VALUE"""),"Mega")</f>
        <v>Mega</v>
      </c>
      <c r="H5" s="17" t="str">
        <f>IFERROR(__xludf.DUMMYFUNCTION("""COMPUTED_VALUE"""),"Bandung")</f>
        <v>Bandung</v>
      </c>
      <c r="I5" s="17" t="str">
        <f>IFERROR(__xludf.DUMMYFUNCTION("""COMPUTED_VALUE"""),"- Lifestyle Female
- Pasutri
- Family")</f>
        <v>- Lifestyle Female
- Pasutri
- Family</v>
      </c>
      <c r="J5" s="20">
        <f>IFERROR(__xludf.DUMMYFUNCTION("""COMPUTED_VALUE"""),1500000.0)</f>
        <v>1500000</v>
      </c>
      <c r="K5" s="17"/>
      <c r="L5" s="20">
        <f>IFERROR(__xludf.DUMMYFUNCTION("""COMPUTED_VALUE"""),4500000.0)</f>
        <v>4500000</v>
      </c>
      <c r="M5" s="20" t="str">
        <f>IFERROR(__xludf.DUMMYFUNCTION("""COMPUTED_VALUE"""),"FREE")</f>
        <v>FREE</v>
      </c>
      <c r="N5" s="17"/>
      <c r="O5" s="20">
        <f>IFERROR(__xludf.DUMMYFUNCTION("""COMPUTED_VALUE"""),1.0E7)</f>
        <v>10000000</v>
      </c>
      <c r="P5" s="20">
        <f>IFERROR(__xludf.DUMMYFUNCTION("""COMPUTED_VALUE"""),1.7E7)</f>
        <v>17000000</v>
      </c>
      <c r="Q5" s="17"/>
      <c r="R5" s="20">
        <f>IFERROR(__xludf.DUMMYFUNCTION("""COMPUTED_VALUE"""),2.5E7)</f>
        <v>25000000</v>
      </c>
      <c r="S5" s="20">
        <f>IFERROR(__xludf.DUMMYFUNCTION("""COMPUTED_VALUE"""),3.3E7)</f>
        <v>33000000</v>
      </c>
      <c r="T5" s="17"/>
      <c r="U5" s="21">
        <f>IFERROR(__xludf.DUMMYFUNCTION("""COMPUTED_VALUE"""),0.5)</f>
        <v>0.5</v>
      </c>
      <c r="V5" s="17"/>
      <c r="W5" s="17"/>
      <c r="X5" s="17"/>
      <c r="Y5" s="20">
        <f>IFERROR(__xludf.DUMMYFUNCTION("""COMPUTED_VALUE"""),1.4E7)</f>
        <v>14000000</v>
      </c>
    </row>
    <row r="6">
      <c r="A6" s="17">
        <f>IFERROR(__xludf.DUMMYFUNCTION("""COMPUTED_VALUE"""),3.0)</f>
        <v>3</v>
      </c>
      <c r="B6" s="18" t="str">
        <f>IFERROR(__xludf.DUMMYFUNCTION("""COMPUTED_VALUE"""),"saritiw")</f>
        <v>saritiw</v>
      </c>
      <c r="C6" s="19">
        <f>IFERROR(__xludf.DUMMYFUNCTION("""COMPUTED_VALUE"""),999000.0)</f>
        <v>999000</v>
      </c>
      <c r="D6" s="17" t="str">
        <f>IFERROR(__xludf.DUMMYFUNCTION("""COMPUTED_VALUE"""),"Macro")</f>
        <v>Macro</v>
      </c>
      <c r="E6" s="18" t="str">
        <f>IFERROR(__xludf.DUMMYFUNCTION("""COMPUTED_VALUE"""),"sariendahpratiwi")</f>
        <v>sariendahpratiwi</v>
      </c>
      <c r="F6" s="23">
        <f>IFERROR(__xludf.DUMMYFUNCTION("""COMPUTED_VALUE"""),84300.0)</f>
        <v>84300</v>
      </c>
      <c r="G6" s="17" t="str">
        <f>IFERROR(__xludf.DUMMYFUNCTION("""COMPUTED_VALUE"""),"Micro")</f>
        <v>Micro</v>
      </c>
      <c r="H6" s="17" t="str">
        <f>IFERROR(__xludf.DUMMYFUNCTION("""COMPUTED_VALUE"""),"Bandung")</f>
        <v>Bandung</v>
      </c>
      <c r="I6" s="17" t="str">
        <f>IFERROR(__xludf.DUMMYFUNCTION("""COMPUTED_VALUE"""),"- Lifestyle Female
- Fashion Wanita")</f>
        <v>- Lifestyle Female
- Fashion Wanita</v>
      </c>
      <c r="J6" s="20">
        <f>IFERROR(__xludf.DUMMYFUNCTION("""COMPUTED_VALUE"""),2000000.0)</f>
        <v>2000000</v>
      </c>
      <c r="K6" s="20">
        <f>IFERROR(__xludf.DUMMYFUNCTION("""COMPUTED_VALUE"""),3500000.0)</f>
        <v>3500000</v>
      </c>
      <c r="L6" s="20">
        <f>IFERROR(__xludf.DUMMYFUNCTION("""COMPUTED_VALUE"""),6500000.0)</f>
        <v>6500000</v>
      </c>
      <c r="M6" s="20" t="str">
        <f>IFERROR(__xludf.DUMMYFUNCTION("""COMPUTED_VALUE"""),"FREE")</f>
        <v>FREE</v>
      </c>
      <c r="N6" s="20">
        <f>IFERROR(__xludf.DUMMYFUNCTION("""COMPUTED_VALUE"""),8000000.0)</f>
        <v>8000000</v>
      </c>
      <c r="O6" s="20">
        <f>IFERROR(__xludf.DUMMYFUNCTION("""COMPUTED_VALUE"""),1000000.0)</f>
        <v>1000000</v>
      </c>
      <c r="P6" s="20">
        <f>IFERROR(__xludf.DUMMYFUNCTION("""COMPUTED_VALUE"""),1.3E7)</f>
        <v>13000000</v>
      </c>
      <c r="Q6" s="20">
        <f>IFERROR(__xludf.DUMMYFUNCTION("""COMPUTED_VALUE"""),1000000.0)</f>
        <v>1000000</v>
      </c>
      <c r="R6" s="20">
        <f>IFERROR(__xludf.DUMMYFUNCTION("""COMPUTED_VALUE"""),8000000.0)</f>
        <v>8000000</v>
      </c>
      <c r="S6" s="20">
        <f>IFERROR(__xludf.DUMMYFUNCTION("""COMPUTED_VALUE"""),1.9E7)</f>
        <v>19000000</v>
      </c>
      <c r="T6" s="20">
        <f>IFERROR(__xludf.DUMMYFUNCTION("""COMPUTED_VALUE"""),1.0E7)</f>
        <v>10000000</v>
      </c>
      <c r="U6" s="21">
        <f>IFERROR(__xludf.DUMMYFUNCTION("""COMPUTED_VALUE"""),0.5)</f>
        <v>0.5</v>
      </c>
      <c r="V6" s="20">
        <f>IFERROR(__xludf.DUMMYFUNCTION("""COMPUTED_VALUE"""),1000000.0)</f>
        <v>1000000</v>
      </c>
      <c r="W6" s="20">
        <f>IFERROR(__xludf.DUMMYFUNCTION("""COMPUTED_VALUE"""),1000000.0)</f>
        <v>1000000</v>
      </c>
      <c r="X6" s="20">
        <f>IFERROR(__xludf.DUMMYFUNCTION("""COMPUTED_VALUE"""),5000000.0)</f>
        <v>5000000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IFERROR(__xludf.DUMMYFUNCTION("""COMPUTED_VALUE"""),"nadianraulya")</f>
        <v>nadianraulya</v>
      </c>
      <c r="C7" s="19">
        <f>IFERROR(__xludf.DUMMYFUNCTION("""COMPUTED_VALUE"""),1000000.0)</f>
        <v>1000000</v>
      </c>
      <c r="D7" s="17" t="str">
        <f>IFERROR(__xludf.DUMMYFUNCTION("""COMPUTED_VALUE"""),"Macro")</f>
        <v>Macro</v>
      </c>
      <c r="E7" s="18" t="str">
        <f>IFERROR(__xludf.DUMMYFUNCTION("""COMPUTED_VALUE"""),"nadianuraulyaa")</f>
        <v>nadianuraulyaa</v>
      </c>
      <c r="F7" s="23">
        <f>IFERROR(__xludf.DUMMYFUNCTION("""COMPUTED_VALUE"""),590200.0)</f>
        <v>590200</v>
      </c>
      <c r="G7" s="17" t="str">
        <f>IFERROR(__xludf.DUMMYFUNCTION("""COMPUTED_VALUE"""),"Macro")</f>
        <v>Macro</v>
      </c>
      <c r="H7" s="17" t="str">
        <f>IFERROR(__xludf.DUMMYFUNCTION("""COMPUTED_VALUE"""),"Bandung")</f>
        <v>Bandung</v>
      </c>
      <c r="I7" s="17" t="str">
        <f>IFERROR(__xludf.DUMMYFUNCTION("""COMPUTED_VALUE"""),"- Lifestyle Female
- Mom &amp; Kids
- Fashion Wanita")</f>
        <v>- Lifestyle Female
- Mom &amp; Kids
- Fashion Wanita</v>
      </c>
      <c r="J7" s="20">
        <f>IFERROR(__xludf.DUMMYFUNCTION("""COMPUTED_VALUE"""),500000.0)</f>
        <v>500000</v>
      </c>
      <c r="K7" s="20">
        <f>IFERROR(__xludf.DUMMYFUNCTION("""COMPUTED_VALUE"""),3000000.0)</f>
        <v>3000000</v>
      </c>
      <c r="L7" s="20">
        <f>IFERROR(__xludf.DUMMYFUNCTION("""COMPUTED_VALUE"""),3500000.0)</f>
        <v>3500000</v>
      </c>
      <c r="M7" s="20" t="str">
        <f>IFERROR(__xludf.DUMMYFUNCTION("""COMPUTED_VALUE"""),"FREE")</f>
        <v>FREE</v>
      </c>
      <c r="N7" s="20">
        <f>IFERROR(__xludf.DUMMYFUNCTION("""COMPUTED_VALUE"""),4000000.0)</f>
        <v>4000000</v>
      </c>
      <c r="O7" s="17"/>
      <c r="P7" s="20" t="str">
        <f>IFERROR(__xludf.DUMMYFUNCTION("""COMPUTED_VALUE"""),"Rp7,000,000 - Rp9,000,000")</f>
        <v>Rp7,000,000 - Rp9,000,000</v>
      </c>
      <c r="Q7" s="20" t="str">
        <f>IFERROR(__xludf.DUMMYFUNCTION("""COMPUTED_VALUE"""),"FREE")</f>
        <v>FREE</v>
      </c>
      <c r="R7" s="20">
        <f>IFERROR(__xludf.DUMMYFUNCTION("""COMPUTED_VALUE"""),1500000.0)</f>
        <v>1500000</v>
      </c>
      <c r="S7" s="20">
        <f>IFERROR(__xludf.DUMMYFUNCTION("""COMPUTED_VALUE"""),6000000.0)</f>
        <v>6000000</v>
      </c>
      <c r="T7" s="17"/>
      <c r="U7" s="17"/>
      <c r="V7" s="17"/>
      <c r="W7" s="20" t="str">
        <f>IFERROR(__xludf.DUMMYFUNCTION("""COMPUTED_VALUE"""),"FREE")</f>
        <v>FREE</v>
      </c>
      <c r="X7" s="17"/>
      <c r="Y7" s="17"/>
    </row>
    <row r="8">
      <c r="A8" s="17">
        <f>IFERROR(__xludf.DUMMYFUNCTION("""COMPUTED_VALUE"""),5.0)</f>
        <v>5</v>
      </c>
      <c r="B8" s="18" t="str">
        <f>IFERROR(__xludf.DUMMYFUNCTION("""COMPUTED_VALUE"""),"gelialinn")</f>
        <v>gelialinn</v>
      </c>
      <c r="C8" s="19">
        <f>IFERROR(__xludf.DUMMYFUNCTION("""COMPUTED_VALUE"""),1000000.0)</f>
        <v>1000000</v>
      </c>
      <c r="D8" s="17" t="str">
        <f>IFERROR(__xludf.DUMMYFUNCTION("""COMPUTED_VALUE"""),"Macro")</f>
        <v>Macro</v>
      </c>
      <c r="E8" s="18" t="str">
        <f>IFERROR(__xludf.DUMMYFUNCTION("""COMPUTED_VALUE"""),"gelialinda")</f>
        <v>gelialinda</v>
      </c>
      <c r="F8" s="19">
        <f>IFERROR(__xludf.DUMMYFUNCTION("""COMPUTED_VALUE"""),4800000.0)</f>
        <v>4800000</v>
      </c>
      <c r="G8" s="17" t="str">
        <f>IFERROR(__xludf.DUMMYFUNCTION("""COMPUTED_VALUE"""),"Mega")</f>
        <v>Mega</v>
      </c>
      <c r="H8" s="17" t="str">
        <f>IFERROR(__xludf.DUMMYFUNCTION("""COMPUTED_VALUE"""),"Tasikmalaya")</f>
        <v>Tasikmalaya</v>
      </c>
      <c r="I8" s="17" t="str">
        <f>IFERROR(__xludf.DUMMYFUNCTION("""COMPUTED_VALUE"""),"- Lifestyle Female 
- Pasutri
- Family
- Mom &amp; Kids")</f>
        <v>- Lifestyle Female 
- Pasutri
- Family
- Mom &amp; Kids</v>
      </c>
      <c r="J8" s="20">
        <f>IFERROR(__xludf.DUMMYFUNCTION("""COMPUTED_VALUE"""),6000000.0)</f>
        <v>6000000</v>
      </c>
      <c r="K8" s="20">
        <f>IFERROR(__xludf.DUMMYFUNCTION("""COMPUTED_VALUE"""),6000000.0)</f>
        <v>6000000</v>
      </c>
      <c r="L8" s="20">
        <f>IFERROR(__xludf.DUMMYFUNCTION("""COMPUTED_VALUE"""),8000000.0)</f>
        <v>8000000</v>
      </c>
      <c r="M8" s="20">
        <f>IFERROR(__xludf.DUMMYFUNCTION("""COMPUTED_VALUE"""),500000.0)</f>
        <v>500000</v>
      </c>
      <c r="N8" s="20">
        <f>IFERROR(__xludf.DUMMYFUNCTION("""COMPUTED_VALUE"""),8000000.0)</f>
        <v>8000000</v>
      </c>
      <c r="O8" s="20">
        <f>IFERROR(__xludf.DUMMYFUNCTION("""COMPUTED_VALUE"""),8500000.0)</f>
        <v>8500000</v>
      </c>
      <c r="P8" s="20">
        <f>IFERROR(__xludf.DUMMYFUNCTION("""COMPUTED_VALUE"""),2.5E7)</f>
        <v>25000000</v>
      </c>
      <c r="Q8" s="20">
        <f>IFERROR(__xludf.DUMMYFUNCTION("""COMPUTED_VALUE"""),500000.0)</f>
        <v>500000</v>
      </c>
      <c r="R8" s="20">
        <f>IFERROR(__xludf.DUMMYFUNCTION("""COMPUTED_VALUE"""),3.0E7)</f>
        <v>30000000</v>
      </c>
      <c r="S8" s="20">
        <f>IFERROR(__xludf.DUMMYFUNCTION("""COMPUTED_VALUE"""),1.0E7)</f>
        <v>10000000</v>
      </c>
      <c r="T8" s="20">
        <f>IFERROR(__xludf.DUMMYFUNCTION("""COMPUTED_VALUE"""),7000000.0)</f>
        <v>7000000</v>
      </c>
      <c r="U8" s="21">
        <f>IFERROR(__xludf.DUMMYFUNCTION("""COMPUTED_VALUE"""),0.5)</f>
        <v>0.5</v>
      </c>
      <c r="V8" s="20">
        <f>IFERROR(__xludf.DUMMYFUNCTION("""COMPUTED_VALUE"""),2000000.0)</f>
        <v>2000000</v>
      </c>
      <c r="W8" s="20">
        <f>IFERROR(__xludf.DUMMYFUNCTION("""COMPUTED_VALUE"""),2000000.0)</f>
        <v>2000000</v>
      </c>
      <c r="X8" s="20">
        <f>IFERROR(__xludf.DUMMYFUNCTION("""COMPUTED_VALUE"""),1.0E7)</f>
        <v>10000000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IFERROR(__xludf.DUMMYFUNCTION("""COMPUTED_VALUE"""),"imasfahriaty_")</f>
        <v>imasfahriaty_</v>
      </c>
      <c r="C9" s="23">
        <f>IFERROR(__xludf.DUMMYFUNCTION("""COMPUTED_VALUE"""),879000.0)</f>
        <v>879000</v>
      </c>
      <c r="D9" s="17" t="str">
        <f>IFERROR(__xludf.DUMMYFUNCTION("""COMPUTED_VALUE"""),"Macro")</f>
        <v>Macro</v>
      </c>
      <c r="E9" s="18" t="str">
        <f>IFERROR(__xludf.DUMMYFUNCTION("""COMPUTED_VALUE"""),"imasfahriaty_")</f>
        <v>imasfahriaty_</v>
      </c>
      <c r="F9" s="19">
        <f>IFERROR(__xludf.DUMMYFUNCTION("""COMPUTED_VALUE"""),3800000.0)</f>
        <v>3800000</v>
      </c>
      <c r="G9" s="17" t="str">
        <f>IFERROR(__xludf.DUMMYFUNCTION("""COMPUTED_VALUE"""),"Mega")</f>
        <v>Mega</v>
      </c>
      <c r="H9" s="17" t="str">
        <f>IFERROR(__xludf.DUMMYFUNCTION("""COMPUTED_VALUE"""),"Tangerang")</f>
        <v>Tangerang</v>
      </c>
      <c r="I9" s="17" t="str">
        <f>IFERROR(__xludf.DUMMYFUNCTION("""COMPUTED_VALUE"""),"- Lifestyle Female 
- Pasutri
- Family
- Mom &amp; Kids")</f>
        <v>- Lifestyle Female 
- Pasutri
- Family
- Mom &amp; Kids</v>
      </c>
      <c r="J9" s="20">
        <f>IFERROR(__xludf.DUMMYFUNCTION("""COMPUTED_VALUE"""),2000000.0)</f>
        <v>2000000</v>
      </c>
      <c r="K9" s="20">
        <f>IFERROR(__xludf.DUMMYFUNCTION("""COMPUTED_VALUE"""),3500000.0)</f>
        <v>3500000</v>
      </c>
      <c r="L9" s="20">
        <f>IFERROR(__xludf.DUMMYFUNCTION("""COMPUTED_VALUE"""),5000000.0)</f>
        <v>5000000</v>
      </c>
      <c r="M9" s="20" t="str">
        <f>IFERROR(__xludf.DUMMYFUNCTION("""COMPUTED_VALUE"""),"FREE")</f>
        <v>FREE</v>
      </c>
      <c r="N9" s="20">
        <f>IFERROR(__xludf.DUMMYFUNCTION("""COMPUTED_VALUE"""),6000000.0)</f>
        <v>6000000</v>
      </c>
      <c r="O9" s="20">
        <f>IFERROR(__xludf.DUMMYFUNCTION("""COMPUTED_VALUE"""),1.0E7)</f>
        <v>10000000</v>
      </c>
      <c r="P9" s="20">
        <f>IFERROR(__xludf.DUMMYFUNCTION("""COMPUTED_VALUE"""),1.5E7)</f>
        <v>15000000</v>
      </c>
      <c r="Q9" s="20">
        <f>IFERROR(__xludf.DUMMYFUNCTION("""COMPUTED_VALUE"""),1000000.0)</f>
        <v>1000000</v>
      </c>
      <c r="R9" s="20">
        <f>IFERROR(__xludf.DUMMYFUNCTION("""COMPUTED_VALUE"""),1.6E7)</f>
        <v>16000000</v>
      </c>
      <c r="S9" s="20">
        <f>IFERROR(__xludf.DUMMYFUNCTION("""COMPUTED_VALUE"""),2.0E7)</f>
        <v>20000000</v>
      </c>
      <c r="T9" s="20" t="str">
        <f>IFERROR(__xludf.DUMMYFUNCTION("""COMPUTED_VALUE"""),"-")</f>
        <v>-</v>
      </c>
      <c r="U9" s="20" t="str">
        <f>IFERROR(__xludf.DUMMYFUNCTION("""COMPUTED_VALUE"""),"100% ratecard")</f>
        <v>100% ratecard</v>
      </c>
      <c r="V9" s="20" t="str">
        <f>IFERROR(__xludf.DUMMYFUNCTION("""COMPUTED_VALUE"""),"FREE")</f>
        <v>FREE</v>
      </c>
      <c r="W9" s="20">
        <f>IFERROR(__xludf.DUMMYFUNCTION("""COMPUTED_VALUE"""),1000000.0)</f>
        <v>1000000</v>
      </c>
      <c r="X9" s="20" t="str">
        <f>IFERROR(__xludf.DUMMYFUNCTION("""COMPUTED_VALUE"""),"Rp1,000,000 (Jabodetabek) Rp2,000,000 (Luar Jabodetabek)")</f>
        <v>Rp1,000,000 (Jabodetabek) Rp2,000,000 (Luar Jabodetabek)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IFERROR(__xludf.DUMMYFUNCTION("""COMPUTED_VALUE"""),"kekevaangelista")</f>
        <v>kekevaangelista</v>
      </c>
      <c r="C10" s="23">
        <f>IFERROR(__xludf.DUMMYFUNCTION("""COMPUTED_VALUE"""),708000.0)</f>
        <v>708000</v>
      </c>
      <c r="D10" s="17" t="str">
        <f>IFERROR(__xludf.DUMMYFUNCTION("""COMPUTED_VALUE"""),"Macro")</f>
        <v>Macro</v>
      </c>
      <c r="E10" s="18" t="str">
        <f>IFERROR(__xludf.DUMMYFUNCTION("""COMPUTED_VALUE"""),"kekevaangelista")</f>
        <v>kekevaangelista</v>
      </c>
      <c r="F10" s="19">
        <f>IFERROR(__xludf.DUMMYFUNCTION("""COMPUTED_VALUE"""),1000000.0)</f>
        <v>1000000</v>
      </c>
      <c r="G10" s="17" t="str">
        <f>IFERROR(__xludf.DUMMYFUNCTION("""COMPUTED_VALUE"""),"Macro")</f>
        <v>Macro</v>
      </c>
      <c r="H10" s="17" t="str">
        <f>IFERROR(__xludf.DUMMYFUNCTION("""COMPUTED_VALUE"""),"Bogor")</f>
        <v>Bogor</v>
      </c>
      <c r="I10" s="17" t="str">
        <f>IFERROR(__xludf.DUMMYFUNCTION("""COMPUTED_VALUE"""),"- Lifestyle Female 
- Pasutri
- Family
- Mom &amp; Kids")</f>
        <v>- Lifestyle Female 
- Pasutri
- Family
- Mom &amp; Kids</v>
      </c>
      <c r="J10" s="20">
        <f>IFERROR(__xludf.DUMMYFUNCTION("""COMPUTED_VALUE"""),2500000.0)</f>
        <v>2500000</v>
      </c>
      <c r="K10" s="20">
        <f>IFERROR(__xludf.DUMMYFUNCTION("""COMPUTED_VALUE"""),2500000.0)</f>
        <v>2500000</v>
      </c>
      <c r="L10" s="20">
        <f>IFERROR(__xludf.DUMMYFUNCTION("""COMPUTED_VALUE"""),7500000.0)</f>
        <v>7500000</v>
      </c>
      <c r="M10" s="20" t="str">
        <f>IFERROR(__xludf.DUMMYFUNCTION("""COMPUTED_VALUE"""),"FREE")</f>
        <v>FREE</v>
      </c>
      <c r="N10" s="20">
        <f>IFERROR(__xludf.DUMMYFUNCTION("""COMPUTED_VALUE"""),4000000.0)</f>
        <v>4000000</v>
      </c>
      <c r="O10" s="20">
        <f>IFERROR(__xludf.DUMMYFUNCTION("""COMPUTED_VALUE"""),7500000.0)</f>
        <v>7500000</v>
      </c>
      <c r="P10" s="20">
        <f>IFERROR(__xludf.DUMMYFUNCTION("""COMPUTED_VALUE"""),1.1E7)</f>
        <v>11000000</v>
      </c>
      <c r="Q10" s="20">
        <f>IFERROR(__xludf.DUMMYFUNCTION("""COMPUTED_VALUE"""),2000000.0)</f>
        <v>2000000</v>
      </c>
      <c r="R10" s="20">
        <f>IFERROR(__xludf.DUMMYFUNCTION("""COMPUTED_VALUE"""),1.2E7)</f>
        <v>12000000</v>
      </c>
      <c r="S10" s="20">
        <f>IFERROR(__xludf.DUMMYFUNCTION("""COMPUTED_VALUE"""),1.9E7)</f>
        <v>19000000</v>
      </c>
      <c r="T10" s="17"/>
      <c r="U10" s="20">
        <f>IFERROR(__xludf.DUMMYFUNCTION("""COMPUTED_VALUE"""),3000000.0)</f>
        <v>3000000</v>
      </c>
      <c r="V10" s="20">
        <f>IFERROR(__xludf.DUMMYFUNCTION("""COMPUTED_VALUE"""),1000000.0)</f>
        <v>1000000</v>
      </c>
      <c r="W10" s="17"/>
      <c r="X10" s="20">
        <f>IFERROR(__xludf.DUMMYFUNCTION("""COMPUTED_VALUE"""),4000000.0)</f>
        <v>4000000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IFERROR(__xludf.DUMMYFUNCTION("""COMPUTED_VALUE"""),"putrinahari")</f>
        <v>putrinahari</v>
      </c>
      <c r="C11" s="23">
        <f>IFERROR(__xludf.DUMMYFUNCTION("""COMPUTED_VALUE"""),589000.0)</f>
        <v>589000</v>
      </c>
      <c r="D11" s="17" t="str">
        <f>IFERROR(__xludf.DUMMYFUNCTION("""COMPUTED_VALUE"""),"Macro")</f>
        <v>Macro</v>
      </c>
      <c r="E11" s="18" t="str">
        <f>IFERROR(__xludf.DUMMYFUNCTION("""COMPUTED_VALUE"""),"putrinaharira")</f>
        <v>putrinaharira</v>
      </c>
      <c r="F11" s="23">
        <f>IFERROR(__xludf.DUMMYFUNCTION("""COMPUTED_VALUE"""),201700.0)</f>
        <v>201700</v>
      </c>
      <c r="G11" s="17" t="str">
        <f>IFERROR(__xludf.DUMMYFUNCTION("""COMPUTED_VALUE"""),"Mid")</f>
        <v>Mid</v>
      </c>
      <c r="H11" s="17" t="str">
        <f>IFERROR(__xludf.DUMMYFUNCTION("""COMPUTED_VALUE"""),"Tangerang")</f>
        <v>Tangerang</v>
      </c>
      <c r="I11" s="17" t="str">
        <f>IFERROR(__xludf.DUMMYFUNCTION("""COMPUTED_VALUE"""),"- Lifestyle Female 
- Pasutri
- Family
- Mom &amp; Kids")</f>
        <v>- Lifestyle Female 
- Pasutri
- Family
- Mom &amp; Kids</v>
      </c>
      <c r="J11" s="20">
        <f>IFERROR(__xludf.DUMMYFUNCTION("""COMPUTED_VALUE"""),750000.0)</f>
        <v>750000</v>
      </c>
      <c r="K11" s="20">
        <f>IFERROR(__xludf.DUMMYFUNCTION("""COMPUTED_VALUE"""),1500000.0)</f>
        <v>1500000</v>
      </c>
      <c r="L11" s="20">
        <f>IFERROR(__xludf.DUMMYFUNCTION("""COMPUTED_VALUE"""),2000000.0)</f>
        <v>2000000</v>
      </c>
      <c r="M11" s="20" t="str">
        <f>IFERROR(__xludf.DUMMYFUNCTION("""COMPUTED_VALUE"""),"FREE")</f>
        <v>FREE</v>
      </c>
      <c r="N11" s="20">
        <f>IFERROR(__xludf.DUMMYFUNCTION("""COMPUTED_VALUE"""),4000000.0)</f>
        <v>4000000</v>
      </c>
      <c r="O11" s="20">
        <f>IFERROR(__xludf.DUMMYFUNCTION("""COMPUTED_VALUE"""),4000000.0)</f>
        <v>4000000</v>
      </c>
      <c r="P11" s="20">
        <f>IFERROR(__xludf.DUMMYFUNCTION("""COMPUTED_VALUE"""),6000000.0)</f>
        <v>6000000</v>
      </c>
      <c r="Q11" s="20" t="str">
        <f>IFERROR(__xludf.DUMMYFUNCTION("""COMPUTED_VALUE"""),"FREE")</f>
        <v>FREE</v>
      </c>
      <c r="R11" s="20">
        <f>IFERROR(__xludf.DUMMYFUNCTION("""COMPUTED_VALUE"""),1.0E7)</f>
        <v>10000000</v>
      </c>
      <c r="S11" s="20" t="str">
        <f>IFERROR(__xludf.DUMMYFUNCTION("""COMPUTED_VALUE"""),"FREE")</f>
        <v>FREE</v>
      </c>
      <c r="T11" s="20">
        <f>IFERROR(__xludf.DUMMYFUNCTION("""COMPUTED_VALUE"""),3000000.0)</f>
        <v>3000000</v>
      </c>
      <c r="U11" s="20" t="str">
        <f>IFERROR(__xludf.DUMMYFUNCTION("""COMPUTED_VALUE"""),"FREE")</f>
        <v>FREE</v>
      </c>
      <c r="V11" s="20" t="str">
        <f>IFERROR(__xludf.DUMMYFUNCTION("""COMPUTED_VALUE"""),"FREE")</f>
        <v>FREE</v>
      </c>
      <c r="W11" s="20" t="str">
        <f>IFERROR(__xludf.DUMMYFUNCTION("""COMPUTED_VALUE"""),"FREE")</f>
        <v>FREE</v>
      </c>
      <c r="X11" s="20">
        <f>IFERROR(__xludf.DUMMYFUNCTION("""COMPUTED_VALUE"""),1500000.0)</f>
        <v>1500000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IFERROR(__xludf.DUMMYFUNCTION("""COMPUTED_VALUE"""),"trishaazia")</f>
        <v>trishaazia</v>
      </c>
      <c r="C12" s="23">
        <f>IFERROR(__xludf.DUMMYFUNCTION("""COMPUTED_VALUE"""),571000.0)</f>
        <v>571000</v>
      </c>
      <c r="D12" s="17" t="str">
        <f>IFERROR(__xludf.DUMMYFUNCTION("""COMPUTED_VALUE"""),"Macro")</f>
        <v>Macro</v>
      </c>
      <c r="E12" s="18" t="str">
        <f>IFERROR(__xludf.DUMMYFUNCTION("""COMPUTED_VALUE"""),"trishaaazia")</f>
        <v>trishaaazia</v>
      </c>
      <c r="F12" s="19">
        <f>IFERROR(__xludf.DUMMYFUNCTION("""COMPUTED_VALUE"""),9500000.0)</f>
        <v>9500000</v>
      </c>
      <c r="G12" s="17" t="str">
        <f>IFERROR(__xludf.DUMMYFUNCTION("""COMPUTED_VALUE"""),"Mega")</f>
        <v>Mega</v>
      </c>
      <c r="H12" s="17" t="str">
        <f>IFERROR(__xludf.DUMMYFUNCTION("""COMPUTED_VALUE"""),"Depok")</f>
        <v>Depok</v>
      </c>
      <c r="I12" s="17" t="str">
        <f>IFERROR(__xludf.DUMMYFUNCTION("""COMPUTED_VALUE"""),"- Lifestyle Female 
- Pasutri
- Family
- Mom &amp; Kids")</f>
        <v>- Lifestyle Female 
- Pasutri
- Family
- Mom &amp; Kids</v>
      </c>
      <c r="J12" s="20">
        <f>IFERROR(__xludf.DUMMYFUNCTION("""COMPUTED_VALUE"""),500000.0)</f>
        <v>500000</v>
      </c>
      <c r="K12" s="20">
        <f>IFERROR(__xludf.DUMMYFUNCTION("""COMPUTED_VALUE"""),1000000.0)</f>
        <v>1000000</v>
      </c>
      <c r="L12" s="20">
        <f>IFERROR(__xludf.DUMMYFUNCTION("""COMPUTED_VALUE"""),1500000.0)</f>
        <v>1500000</v>
      </c>
      <c r="M12" s="20" t="str">
        <f>IFERROR(__xludf.DUMMYFUNCTION("""COMPUTED_VALUE"""),"FREE")</f>
        <v>FREE</v>
      </c>
      <c r="N12" s="20">
        <f>IFERROR(__xludf.DUMMYFUNCTION("""COMPUTED_VALUE"""),5000000.0)</f>
        <v>5000000</v>
      </c>
      <c r="O12" s="20">
        <f>IFERROR(__xludf.DUMMYFUNCTION("""COMPUTED_VALUE"""),5500000.0)</f>
        <v>5500000</v>
      </c>
      <c r="P12" s="20">
        <f>IFERROR(__xludf.DUMMYFUNCTION("""COMPUTED_VALUE"""),8000000.0)</f>
        <v>8000000</v>
      </c>
      <c r="Q12" s="20" t="str">
        <f>IFERROR(__xludf.DUMMYFUNCTION("""COMPUTED_VALUE"""),"FREE")</f>
        <v>FREE</v>
      </c>
      <c r="R12" s="20">
        <f>IFERROR(__xludf.DUMMYFUNCTION("""COMPUTED_VALUE"""),1.5E7)</f>
        <v>15000000</v>
      </c>
      <c r="S12" s="20">
        <f>IFERROR(__xludf.DUMMYFUNCTION("""COMPUTED_VALUE"""),1.8E7)</f>
        <v>18000000</v>
      </c>
      <c r="T12" s="20">
        <f>IFERROR(__xludf.DUMMYFUNCTION("""COMPUTED_VALUE"""),5000000.0)</f>
        <v>5000000</v>
      </c>
      <c r="U12" s="20" t="str">
        <f>IFERROR(__xludf.DUMMYFUNCTION("""COMPUTED_VALUE"""),"FREE")</f>
        <v>FREE</v>
      </c>
      <c r="V12" s="20">
        <f>IFERROR(__xludf.DUMMYFUNCTION("""COMPUTED_VALUE"""),1000000.0)</f>
        <v>1000000</v>
      </c>
      <c r="W12" s="20" t="str">
        <f>IFERROR(__xludf.DUMMYFUNCTION("""COMPUTED_VALUE"""),"FREE")</f>
        <v>FREE</v>
      </c>
      <c r="X12" s="20">
        <f>IFERROR(__xludf.DUMMYFUNCTION("""COMPUTED_VALUE"""),1000000.0)</f>
        <v>1000000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IFERROR(__xludf.DUMMYFUNCTION("""COMPUTED_VALUE"""),"Ka.reys")</f>
        <v>Ka.reys</v>
      </c>
      <c r="C13" s="23">
        <f>IFERROR(__xludf.DUMMYFUNCTION("""COMPUTED_VALUE"""),527000.0)</f>
        <v>527000</v>
      </c>
      <c r="D13" s="17" t="str">
        <f>IFERROR(__xludf.DUMMYFUNCTION("""COMPUTED_VALUE"""),"Macro")</f>
        <v>Macro</v>
      </c>
      <c r="E13" s="18" t="str">
        <f>IFERROR(__xludf.DUMMYFUNCTION("""COMPUTED_VALUE"""),"kayesssss")</f>
        <v>kayesssss</v>
      </c>
      <c r="F13" s="19">
        <f>IFERROR(__xludf.DUMMYFUNCTION("""COMPUTED_VALUE"""),3200000.0)</f>
        <v>3200000</v>
      </c>
      <c r="G13" s="17" t="str">
        <f>IFERROR(__xludf.DUMMYFUNCTION("""COMPUTED_VALUE"""),"Mega")</f>
        <v>Mega</v>
      </c>
      <c r="H13" s="17" t="str">
        <f>IFERROR(__xludf.DUMMYFUNCTION("""COMPUTED_VALUE"""),"Bekasi")</f>
        <v>Bekasi</v>
      </c>
      <c r="I13" s="17" t="str">
        <f>IFERROR(__xludf.DUMMYFUNCTION("""COMPUTED_VALUE"""),"- Lifestyle Female 
- Pasutri
- Family
- Mom &amp; Kids")</f>
        <v>- Lifestyle Female 
- Pasutri
- Family
- Mom &amp; Kids</v>
      </c>
      <c r="J13" s="20">
        <f>IFERROR(__xludf.DUMMYFUNCTION("""COMPUTED_VALUE"""),500000.0)</f>
        <v>500000</v>
      </c>
      <c r="K13" s="20">
        <f>IFERROR(__xludf.DUMMYFUNCTION("""COMPUTED_VALUE"""),1300000.0)</f>
        <v>1300000</v>
      </c>
      <c r="L13" s="17"/>
      <c r="M13" s="20" t="str">
        <f>IFERROR(__xludf.DUMMYFUNCTION("""COMPUTED_VALUE"""),"FREE")</f>
        <v>FREE</v>
      </c>
      <c r="N13" s="20">
        <f>IFERROR(__xludf.DUMMYFUNCTION("""COMPUTED_VALUE"""),2700000.0)</f>
        <v>2700000</v>
      </c>
      <c r="O13" s="17"/>
      <c r="P13" s="20">
        <f>IFERROR(__xludf.DUMMYFUNCTION("""COMPUTED_VALUE"""),3700000.0)</f>
        <v>3700000</v>
      </c>
      <c r="Q13" s="20" t="str">
        <f>IFERROR(__xludf.DUMMYFUNCTION("""COMPUTED_VALUE"""),"FREE")</f>
        <v>FREE</v>
      </c>
      <c r="R13" s="20">
        <f>IFERROR(__xludf.DUMMYFUNCTION("""COMPUTED_VALUE"""),5500000.0)</f>
        <v>5500000</v>
      </c>
      <c r="S13" s="20">
        <f>IFERROR(__xludf.DUMMYFUNCTION("""COMPUTED_VALUE"""),7000000.0)</f>
        <v>7000000</v>
      </c>
      <c r="T13" s="17"/>
      <c r="U13" s="20">
        <f>IFERROR(__xludf.DUMMYFUNCTION("""COMPUTED_VALUE"""),2000000.0)</f>
        <v>2000000</v>
      </c>
      <c r="V13" s="17"/>
      <c r="W13" s="20" t="str">
        <f>IFERROR(__xludf.DUMMYFUNCTION("""COMPUTED_VALUE"""),"FREE")</f>
        <v>FREE</v>
      </c>
      <c r="X13" s="20">
        <f>IFERROR(__xludf.DUMMYFUNCTION("""COMPUTED_VALUE"""),1500000.0)</f>
        <v>1500000</v>
      </c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IFERROR(__xludf.DUMMYFUNCTION("""COMPUTED_VALUE"""),"nadiladrn")</f>
        <v>nadiladrn</v>
      </c>
      <c r="C14" s="23">
        <f>IFERROR(__xludf.DUMMYFUNCTION("""COMPUTED_VALUE"""),509000.0)</f>
        <v>509000</v>
      </c>
      <c r="D14" s="17" t="str">
        <f>IFERROR(__xludf.DUMMYFUNCTION("""COMPUTED_VALUE"""),"Macro")</f>
        <v>Macro</v>
      </c>
      <c r="E14" s="18" t="str">
        <f>IFERROR(__xludf.DUMMYFUNCTION("""COMPUTED_VALUE"""),"dileeedrn")</f>
        <v>dileeedrn</v>
      </c>
      <c r="F14" s="23">
        <f>IFERROR(__xludf.DUMMYFUNCTION("""COMPUTED_VALUE"""),168200.0)</f>
        <v>168200</v>
      </c>
      <c r="G14" s="17" t="str">
        <f>IFERROR(__xludf.DUMMYFUNCTION("""COMPUTED_VALUE"""),"Mid")</f>
        <v>Mid</v>
      </c>
      <c r="H14" s="17" t="str">
        <f>IFERROR(__xludf.DUMMYFUNCTION("""COMPUTED_VALUE"""),"Siantar")</f>
        <v>Siantar</v>
      </c>
      <c r="I14" s="17" t="str">
        <f>IFERROR(__xludf.DUMMYFUNCTION("""COMPUTED_VALUE"""),"- Lifestyle Female
- Fashion Wanita
- Beauty")</f>
        <v>- Lifestyle Female
- Fashion Wanita
- Beauty</v>
      </c>
      <c r="J14" s="20">
        <f>IFERROR(__xludf.DUMMYFUNCTION("""COMPUTED_VALUE"""),400000.0)</f>
        <v>400000</v>
      </c>
      <c r="K14" s="20">
        <f>IFERROR(__xludf.DUMMYFUNCTION("""COMPUTED_VALUE"""),500000.0)</f>
        <v>500000</v>
      </c>
      <c r="L14" s="20">
        <f>IFERROR(__xludf.DUMMYFUNCTION("""COMPUTED_VALUE"""),650000.0)</f>
        <v>650000</v>
      </c>
      <c r="M14" s="20" t="str">
        <f>IFERROR(__xludf.DUMMYFUNCTION("""COMPUTED_VALUE"""),"FREE")</f>
        <v>FREE</v>
      </c>
      <c r="N14" s="20">
        <f>IFERROR(__xludf.DUMMYFUNCTION("""COMPUTED_VALUE"""),850000.0)</f>
        <v>850000</v>
      </c>
      <c r="O14" s="20">
        <f>IFERROR(__xludf.DUMMYFUNCTION("""COMPUTED_VALUE"""),950000.0)</f>
        <v>950000</v>
      </c>
      <c r="P14" s="20">
        <f>IFERROR(__xludf.DUMMYFUNCTION("""COMPUTED_VALUE"""),1000000.0)</f>
        <v>1000000</v>
      </c>
      <c r="Q14" s="20" t="str">
        <f>IFERROR(__xludf.DUMMYFUNCTION("""COMPUTED_VALUE"""),"FREE")</f>
        <v>FREE</v>
      </c>
      <c r="R14" s="20">
        <f>IFERROR(__xludf.DUMMYFUNCTION("""COMPUTED_VALUE"""),750000.0)</f>
        <v>750000</v>
      </c>
      <c r="S14" s="20">
        <f>IFERROR(__xludf.DUMMYFUNCTION("""COMPUTED_VALUE"""),1500000.0)</f>
        <v>1500000</v>
      </c>
      <c r="T14" s="17"/>
      <c r="U14" s="20" t="str">
        <f>IFERROR(__xludf.DUMMYFUNCTION("""COMPUTED_VALUE"""),"FREE")</f>
        <v>FREE</v>
      </c>
      <c r="V14" s="17"/>
      <c r="W14" s="20" t="str">
        <f>IFERROR(__xludf.DUMMYFUNCTION("""COMPUTED_VALUE"""),"FREE")</f>
        <v>FREE</v>
      </c>
      <c r="X14" s="20" t="str">
        <f>IFERROR(__xludf.DUMMYFUNCTION("""COMPUTED_VALUE"""),"Rp1.500.000 - Rp2.500.000")</f>
        <v>Rp1.500.000 - Rp2.500.000</v>
      </c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IFERROR(__xludf.DUMMYFUNCTION("""COMPUTED_VALUE"""),"aisyafputri")</f>
        <v>aisyafputri</v>
      </c>
      <c r="C15" s="23">
        <f>IFERROR(__xludf.DUMMYFUNCTION("""COMPUTED_VALUE"""),456000.0)</f>
        <v>456000</v>
      </c>
      <c r="D15" s="17" t="str">
        <f>IFERROR(__xludf.DUMMYFUNCTION("""COMPUTED_VALUE"""),"Mid")</f>
        <v>Mid</v>
      </c>
      <c r="E15" s="18" t="str">
        <f>IFERROR(__xludf.DUMMYFUNCTION("""COMPUTED_VALUE"""),"aisyafputri")</f>
        <v>aisyafputri</v>
      </c>
      <c r="F15" s="19">
        <f>IFERROR(__xludf.DUMMYFUNCTION("""COMPUTED_VALUE"""),986500.0)</f>
        <v>986500</v>
      </c>
      <c r="G15" s="17" t="str">
        <f>IFERROR(__xludf.DUMMYFUNCTION("""COMPUTED_VALUE"""),"Macro")</f>
        <v>Macro</v>
      </c>
      <c r="H15" s="17" t="str">
        <f>IFERROR(__xludf.DUMMYFUNCTION("""COMPUTED_VALUE"""),"Bogor")</f>
        <v>Bogor</v>
      </c>
      <c r="I15" s="17" t="str">
        <f>IFERROR(__xludf.DUMMYFUNCTION("""COMPUTED_VALUE"""),"- Lifestyle Female 
- Pasutri
- Family
- Mom &amp; Kids")</f>
        <v>- Lifestyle Female 
- Pasutri
- Family
- Mom &amp; Kids</v>
      </c>
      <c r="J15" s="20">
        <f>IFERROR(__xludf.DUMMYFUNCTION("""COMPUTED_VALUE"""),500000.0)</f>
        <v>500000</v>
      </c>
      <c r="K15" s="20">
        <f>IFERROR(__xludf.DUMMYFUNCTION("""COMPUTED_VALUE"""),3000000.0)</f>
        <v>3000000</v>
      </c>
      <c r="L15" s="20">
        <f>IFERROR(__xludf.DUMMYFUNCTION("""COMPUTED_VALUE"""),5000000.0)</f>
        <v>5000000</v>
      </c>
      <c r="M15" s="20" t="str">
        <f>IFERROR(__xludf.DUMMYFUNCTION("""COMPUTED_VALUE"""),"FREE")</f>
        <v>FREE</v>
      </c>
      <c r="N15" s="20">
        <f>IFERROR(__xludf.DUMMYFUNCTION("""COMPUTED_VALUE"""),4500000.0)</f>
        <v>4500000</v>
      </c>
      <c r="O15" s="20">
        <f>IFERROR(__xludf.DUMMYFUNCTION("""COMPUTED_VALUE"""),5000000.0)</f>
        <v>5000000</v>
      </c>
      <c r="P15" s="20">
        <f>IFERROR(__xludf.DUMMYFUNCTION("""COMPUTED_VALUE"""),7500000.0)</f>
        <v>7500000</v>
      </c>
      <c r="Q15" s="20" t="str">
        <f>IFERROR(__xludf.DUMMYFUNCTION("""COMPUTED_VALUE"""),"FREE")</f>
        <v>FREE</v>
      </c>
      <c r="R15" s="20">
        <f>IFERROR(__xludf.DUMMYFUNCTION("""COMPUTED_VALUE"""),7000000.0)</f>
        <v>7000000</v>
      </c>
      <c r="S15" s="20">
        <f>IFERROR(__xludf.DUMMYFUNCTION("""COMPUTED_VALUE"""),3000000.0)</f>
        <v>3000000</v>
      </c>
      <c r="T15" s="17"/>
      <c r="U15" s="20">
        <f>IFERROR(__xludf.DUMMYFUNCTION("""COMPUTED_VALUE"""),3000000.0)</f>
        <v>3000000</v>
      </c>
      <c r="V15" s="20">
        <f>IFERROR(__xludf.DUMMYFUNCTION("""COMPUTED_VALUE"""),1500000.0)</f>
        <v>1500000</v>
      </c>
      <c r="W15" s="20">
        <f>IFERROR(__xludf.DUMMYFUNCTION("""COMPUTED_VALUE"""),500000.0)</f>
        <v>500000</v>
      </c>
      <c r="X15" s="20">
        <f>IFERROR(__xludf.DUMMYFUNCTION("""COMPUTED_VALUE"""),1500000.0)</f>
        <v>1500000</v>
      </c>
      <c r="Y15" s="17"/>
    </row>
    <row r="16">
      <c r="A16" s="17">
        <f>IFERROR(__xludf.DUMMYFUNCTION("""COMPUTED_VALUE"""),13.0)</f>
        <v>13</v>
      </c>
      <c r="B16" s="18" t="str">
        <f>IFERROR(__xludf.DUMMYFUNCTION("""COMPUTED_VALUE"""),"aisyah_putri17")</f>
        <v>aisyah_putri17</v>
      </c>
      <c r="C16" s="23">
        <f>IFERROR(__xludf.DUMMYFUNCTION("""COMPUTED_VALUE"""),440000.0)</f>
        <v>440000</v>
      </c>
      <c r="D16" s="17" t="str">
        <f>IFERROR(__xludf.DUMMYFUNCTION("""COMPUTED_VALUE"""),"Mid")</f>
        <v>Mid</v>
      </c>
      <c r="E16" s="18" t="str">
        <f>IFERROR(__xludf.DUMMYFUNCTION("""COMPUTED_VALUE"""),"aisyah_wanitakalem")</f>
        <v>aisyah_wanitakalem</v>
      </c>
      <c r="F16" s="19">
        <f>IFERROR(__xludf.DUMMYFUNCTION("""COMPUTED_VALUE"""),2200000.0)</f>
        <v>2200000</v>
      </c>
      <c r="G16" s="17" t="str">
        <f>IFERROR(__xludf.DUMMYFUNCTION("""COMPUTED_VALUE"""),"Mega")</f>
        <v>Mega</v>
      </c>
      <c r="H16" s="17" t="str">
        <f>IFERROR(__xludf.DUMMYFUNCTION("""COMPUTED_VALUE"""),"Jakarta")</f>
        <v>Jakarta</v>
      </c>
      <c r="I16" s="17" t="str">
        <f>IFERROR(__xludf.DUMMYFUNCTION("""COMPUTED_VALUE"""),"- Lifestyle Female
- Comedy")</f>
        <v>- Lifestyle Female
- Comedy</v>
      </c>
      <c r="J16" s="17"/>
      <c r="K16" s="20">
        <f>IFERROR(__xludf.DUMMYFUNCTION("""COMPUTED_VALUE"""),2000000.0)</f>
        <v>2000000</v>
      </c>
      <c r="L16" s="20">
        <f>IFERROR(__xludf.DUMMYFUNCTION("""COMPUTED_VALUE"""),3500000.0)</f>
        <v>3500000</v>
      </c>
      <c r="M16" s="20" t="str">
        <f>IFERROR(__xludf.DUMMYFUNCTION("""COMPUTED_VALUE"""),"FREE")</f>
        <v>FREE</v>
      </c>
      <c r="N16" s="20">
        <f>IFERROR(__xludf.DUMMYFUNCTION("""COMPUTED_VALUE"""),5000000.0)</f>
        <v>5000000</v>
      </c>
      <c r="O16" s="20">
        <f>IFERROR(__xludf.DUMMYFUNCTION("""COMPUTED_VALUE"""),7000000.0)</f>
        <v>7000000</v>
      </c>
      <c r="P16" s="20">
        <f>IFERROR(__xludf.DUMMYFUNCTION("""COMPUTED_VALUE"""),1.0E7)</f>
        <v>10000000</v>
      </c>
      <c r="Q16" s="20">
        <f>IFERROR(__xludf.DUMMYFUNCTION("""COMPUTED_VALUE"""),1000000.0)</f>
        <v>1000000</v>
      </c>
      <c r="R16" s="20">
        <f>IFERROR(__xludf.DUMMYFUNCTION("""COMPUTED_VALUE"""),1.5E7)</f>
        <v>15000000</v>
      </c>
      <c r="S16" s="20">
        <f>IFERROR(__xludf.DUMMYFUNCTION("""COMPUTED_VALUE"""),2.0E7)</f>
        <v>20000000</v>
      </c>
      <c r="T16" s="20">
        <f>IFERROR(__xludf.DUMMYFUNCTION("""COMPUTED_VALUE"""),6000000.0)</f>
        <v>6000000</v>
      </c>
      <c r="U16" s="21">
        <f>IFERROR(__xludf.DUMMYFUNCTION("""COMPUTED_VALUE"""),1.0)</f>
        <v>1</v>
      </c>
      <c r="V16" s="20">
        <f>IFERROR(__xludf.DUMMYFUNCTION("""COMPUTED_VALUE"""),1000000.0)</f>
        <v>1000000</v>
      </c>
      <c r="W16" s="20">
        <f>IFERROR(__xludf.DUMMYFUNCTION("""COMPUTED_VALUE"""),1000000.0)</f>
        <v>1000000</v>
      </c>
      <c r="X16" s="20">
        <f>IFERROR(__xludf.DUMMYFUNCTION("""COMPUTED_VALUE"""),3000000.0)</f>
        <v>3000000</v>
      </c>
      <c r="Y16" s="17"/>
    </row>
    <row r="17">
      <c r="A17" s="17">
        <f>IFERROR(__xludf.DUMMYFUNCTION("""COMPUTED_VALUE"""),14.0)</f>
        <v>14</v>
      </c>
      <c r="B17" s="18" t="str">
        <f>IFERROR(__xludf.DUMMYFUNCTION("""COMPUTED_VALUE"""),"nabilabellai_")</f>
        <v>nabilabellai_</v>
      </c>
      <c r="C17" s="23">
        <f>IFERROR(__xludf.DUMMYFUNCTION("""COMPUTED_VALUE"""),420000.0)</f>
        <v>420000</v>
      </c>
      <c r="D17" s="17" t="str">
        <f>IFERROR(__xludf.DUMMYFUNCTION("""COMPUTED_VALUE"""),"Mid")</f>
        <v>Mid</v>
      </c>
      <c r="E17" s="18" t="str">
        <f>IFERROR(__xludf.DUMMYFUNCTION("""COMPUTED_VALUE"""),"nabilabellai_")</f>
        <v>nabilabellai_</v>
      </c>
      <c r="F17" s="23">
        <f>IFERROR(__xludf.DUMMYFUNCTION("""COMPUTED_VALUE"""),106700.0)</f>
        <v>106700</v>
      </c>
      <c r="G17" s="17" t="str">
        <f>IFERROR(__xludf.DUMMYFUNCTION("""COMPUTED_VALUE"""),"Mid")</f>
        <v>Mid</v>
      </c>
      <c r="H17" s="17" t="str">
        <f>IFERROR(__xludf.DUMMYFUNCTION("""COMPUTED_VALUE"""),"Bandung")</f>
        <v>Bandung</v>
      </c>
      <c r="I17" s="17" t="str">
        <f>IFERROR(__xludf.DUMMYFUNCTION("""COMPUTED_VALUE"""),"- Lifestyle Female
- Fashion Wanita
- Mom &amp; Kids")</f>
        <v>- Lifestyle Female
- Fashion Wanita
- Mom &amp; Kids</v>
      </c>
      <c r="J17" s="20">
        <f>IFERROR(__xludf.DUMMYFUNCTION("""COMPUTED_VALUE"""),600000.0)</f>
        <v>600000</v>
      </c>
      <c r="K17" s="20">
        <f>IFERROR(__xludf.DUMMYFUNCTION("""COMPUTED_VALUE"""),7000000.0)</f>
        <v>7000000</v>
      </c>
      <c r="L17" s="20">
        <f>IFERROR(__xludf.DUMMYFUNCTION("""COMPUTED_VALUE"""),8000000.0)</f>
        <v>8000000</v>
      </c>
      <c r="M17" s="20" t="str">
        <f>IFERROR(__xludf.DUMMYFUNCTION("""COMPUTED_VALUE"""),"FREE")</f>
        <v>FREE</v>
      </c>
      <c r="N17" s="20">
        <f>IFERROR(__xludf.DUMMYFUNCTION("""COMPUTED_VALUE"""),7000000.0)</f>
        <v>7000000</v>
      </c>
      <c r="O17" s="20">
        <f>IFERROR(__xludf.DUMMYFUNCTION("""COMPUTED_VALUE"""),8000000.0)</f>
        <v>8000000</v>
      </c>
      <c r="P17" s="20">
        <f>IFERROR(__xludf.DUMMYFUNCTION("""COMPUTED_VALUE"""),1.5E7)</f>
        <v>15000000</v>
      </c>
      <c r="Q17" s="20" t="str">
        <f>IFERROR(__xludf.DUMMYFUNCTION("""COMPUTED_VALUE"""),"FREE")</f>
        <v>FREE</v>
      </c>
      <c r="R17" s="20">
        <f>IFERROR(__xludf.DUMMYFUNCTION("""COMPUTED_VALUE"""),8000000.0)</f>
        <v>8000000</v>
      </c>
      <c r="S17" s="20">
        <f>IFERROR(__xludf.DUMMYFUNCTION("""COMPUTED_VALUE"""),1.5E7)</f>
        <v>15000000</v>
      </c>
      <c r="T17" s="20">
        <f>IFERROR(__xludf.DUMMYFUNCTION("""COMPUTED_VALUE"""),5000000.0)</f>
        <v>5000000</v>
      </c>
      <c r="U17" s="20" t="str">
        <f>IFERROR(__xludf.DUMMYFUNCTION("""COMPUTED_VALUE"""),"FREE")</f>
        <v>FREE</v>
      </c>
      <c r="V17" s="20" t="str">
        <f>IFERROR(__xludf.DUMMYFUNCTION("""COMPUTED_VALUE"""),"Pake Code Boost")</f>
        <v>Pake Code Boost</v>
      </c>
      <c r="W17" s="20">
        <f>IFERROR(__xludf.DUMMYFUNCTION("""COMPUTED_VALUE"""),1000000.0)</f>
        <v>1000000</v>
      </c>
      <c r="X17" s="20">
        <f>IFERROR(__xludf.DUMMYFUNCTION("""COMPUTED_VALUE"""),5000000.0)</f>
        <v>5000000</v>
      </c>
      <c r="Y17" s="17"/>
    </row>
    <row r="18">
      <c r="A18" s="17">
        <f>IFERROR(__xludf.DUMMYFUNCTION("""COMPUTED_VALUE"""),15.0)</f>
        <v>15</v>
      </c>
      <c r="B18" s="18" t="str">
        <f>IFERROR(__xludf.DUMMYFUNCTION("""COMPUTED_VALUE"""),"seviqfebinita")</f>
        <v>seviqfebinita</v>
      </c>
      <c r="C18" s="23">
        <f>IFERROR(__xludf.DUMMYFUNCTION("""COMPUTED_VALUE"""),417000.0)</f>
        <v>417000</v>
      </c>
      <c r="D18" s="17" t="str">
        <f>IFERROR(__xludf.DUMMYFUNCTION("""COMPUTED_VALUE"""),"Mid")</f>
        <v>Mid</v>
      </c>
      <c r="E18" s="18" t="str">
        <f>IFERROR(__xludf.DUMMYFUNCTION("""COMPUTED_VALUE"""),"seviqfebinita")</f>
        <v>seviqfebinita</v>
      </c>
      <c r="F18" s="23">
        <f>IFERROR(__xludf.DUMMYFUNCTION("""COMPUTED_VALUE"""),103500.0)</f>
        <v>103500</v>
      </c>
      <c r="G18" s="17" t="str">
        <f>IFERROR(__xludf.DUMMYFUNCTION("""COMPUTED_VALUE"""),"Mid")</f>
        <v>Mid</v>
      </c>
      <c r="H18" s="17" t="str">
        <f>IFERROR(__xludf.DUMMYFUNCTION("""COMPUTED_VALUE"""),"Jakarta")</f>
        <v>Jakarta</v>
      </c>
      <c r="I18" s="17" t="str">
        <f>IFERROR(__xludf.DUMMYFUNCTION("""COMPUTED_VALUE"""),"- Lifestyle Female
- Fashion Wanita
- Mom &amp; Kids")</f>
        <v>- Lifestyle Female
- Fashion Wanita
- Mom &amp; Kids</v>
      </c>
      <c r="J18" s="20">
        <f>IFERROR(__xludf.DUMMYFUNCTION("""COMPUTED_VALUE"""),1000000.0)</f>
        <v>1000000</v>
      </c>
      <c r="K18" s="20">
        <f>IFERROR(__xludf.DUMMYFUNCTION("""COMPUTED_VALUE"""),5000000.0)</f>
        <v>5000000</v>
      </c>
      <c r="L18" s="20">
        <f>IFERROR(__xludf.DUMMYFUNCTION("""COMPUTED_VALUE"""),7500000.0)</f>
        <v>7500000</v>
      </c>
      <c r="M18" s="20" t="str">
        <f>IFERROR(__xludf.DUMMYFUNCTION("""COMPUTED_VALUE"""),"FREE")</f>
        <v>FREE</v>
      </c>
      <c r="N18" s="20">
        <f>IFERROR(__xludf.DUMMYFUNCTION("""COMPUTED_VALUE"""),8000000.0)</f>
        <v>8000000</v>
      </c>
      <c r="O18" s="20">
        <f>IFERROR(__xludf.DUMMYFUNCTION("""COMPUTED_VALUE"""),1.0E7)</f>
        <v>10000000</v>
      </c>
      <c r="P18" s="20">
        <f>IFERROR(__xludf.DUMMYFUNCTION("""COMPUTED_VALUE"""),1.5E7)</f>
        <v>15000000</v>
      </c>
      <c r="Q18" s="20" t="str">
        <f>IFERROR(__xludf.DUMMYFUNCTION("""COMPUTED_VALUE"""),"FREE")</f>
        <v>FREE</v>
      </c>
      <c r="R18" s="20">
        <f>IFERROR(__xludf.DUMMYFUNCTION("""COMPUTED_VALUE"""),1.0E7)</f>
        <v>10000000</v>
      </c>
      <c r="S18" s="20">
        <f>IFERROR(__xludf.DUMMYFUNCTION("""COMPUTED_VALUE"""),2.0E7)</f>
        <v>20000000</v>
      </c>
      <c r="T18" s="20" t="str">
        <f>IFERROR(__xludf.DUMMYFUNCTION("""COMPUTED_VALUE"""),"Rp10,000,000/2 jam")</f>
        <v>Rp10,000,000/2 jam</v>
      </c>
      <c r="U18" s="17" t="str">
        <f>IFERROR(__xludf.DUMMYFUNCTION("""COMPUTED_VALUE"""),"+100%")</f>
        <v>+100%</v>
      </c>
      <c r="V18" s="20">
        <f>IFERROR(__xludf.DUMMYFUNCTION("""COMPUTED_VALUE"""),3000000.0)</f>
        <v>3000000</v>
      </c>
      <c r="W18" s="20">
        <f>IFERROR(__xludf.DUMMYFUNCTION("""COMPUTED_VALUE"""),3000000.0)</f>
        <v>3000000</v>
      </c>
      <c r="X18" s="20">
        <f>IFERROR(__xludf.DUMMYFUNCTION("""COMPUTED_VALUE"""),1.5E7)</f>
        <v>15000000</v>
      </c>
      <c r="Y18" s="17"/>
    </row>
    <row r="19">
      <c r="A19" s="17">
        <f>IFERROR(__xludf.DUMMYFUNCTION("""COMPUTED_VALUE"""),16.0)</f>
        <v>16</v>
      </c>
      <c r="B19" s="18" t="str">
        <f>IFERROR(__xludf.DUMMYFUNCTION("""COMPUTED_VALUE"""),"alminetaaz")</f>
        <v>alminetaaz</v>
      </c>
      <c r="C19" s="23">
        <f>IFERROR(__xludf.DUMMYFUNCTION("""COMPUTED_VALUE"""),382000.0)</f>
        <v>382000</v>
      </c>
      <c r="D19" s="17" t="str">
        <f>IFERROR(__xludf.DUMMYFUNCTION("""COMPUTED_VALUE"""),"Mid")</f>
        <v>Mid</v>
      </c>
      <c r="E19" s="18" t="str">
        <f>IFERROR(__xludf.DUMMYFUNCTION("""COMPUTED_VALUE"""),"almineta")</f>
        <v>almineta</v>
      </c>
      <c r="F19" s="19">
        <f>IFERROR(__xludf.DUMMYFUNCTION("""COMPUTED_VALUE"""),2800000.0)</f>
        <v>2800000</v>
      </c>
      <c r="G19" s="17" t="str">
        <f>IFERROR(__xludf.DUMMYFUNCTION("""COMPUTED_VALUE"""),"Mega")</f>
        <v>Mega</v>
      </c>
      <c r="H19" s="17" t="str">
        <f>IFERROR(__xludf.DUMMYFUNCTION("""COMPUTED_VALUE"""),"Jakarta")</f>
        <v>Jakarta</v>
      </c>
      <c r="I19" s="17" t="str">
        <f>IFERROR(__xludf.DUMMYFUNCTION("""COMPUTED_VALUE"""),"- Fashion Wanita
- Lifestyle Female
- Pasutri
- Beauty")</f>
        <v>- Fashion Wanita
- Lifestyle Female
- Pasutri
- Beauty</v>
      </c>
      <c r="J19" s="20">
        <f>IFERROR(__xludf.DUMMYFUNCTION("""COMPUTED_VALUE"""),1500000.0)</f>
        <v>1500000</v>
      </c>
      <c r="K19" s="20">
        <f>IFERROR(__xludf.DUMMYFUNCTION("""COMPUTED_VALUE"""),5500000.0)</f>
        <v>5500000</v>
      </c>
      <c r="L19" s="20">
        <f>IFERROR(__xludf.DUMMYFUNCTION("""COMPUTED_VALUE"""),7000000.0)</f>
        <v>7000000</v>
      </c>
      <c r="M19" s="20" t="str">
        <f>IFERROR(__xludf.DUMMYFUNCTION("""COMPUTED_VALUE"""),"FREE")</f>
        <v>FREE</v>
      </c>
      <c r="N19" s="20">
        <f>IFERROR(__xludf.DUMMYFUNCTION("""COMPUTED_VALUE"""),4500000.0)</f>
        <v>4500000</v>
      </c>
      <c r="O19" s="20" t="str">
        <f>IFERROR(__xludf.DUMMYFUNCTION("""COMPUTED_VALUE"""),"Rp700,000/slide")</f>
        <v>Rp700,000/slide</v>
      </c>
      <c r="P19" s="20">
        <f>IFERROR(__xludf.DUMMYFUNCTION("""COMPUTED_VALUE"""),1.2E7)</f>
        <v>12000000</v>
      </c>
      <c r="Q19" s="20">
        <f>IFERROR(__xludf.DUMMYFUNCTION("""COMPUTED_VALUE"""),1500000.0)</f>
        <v>1500000</v>
      </c>
      <c r="R19" s="20">
        <f>IFERROR(__xludf.DUMMYFUNCTION("""COMPUTED_VALUE"""),2.2E7)</f>
        <v>22000000</v>
      </c>
      <c r="S19" s="20">
        <f>IFERROR(__xludf.DUMMYFUNCTION("""COMPUTED_VALUE"""),1.0E7)</f>
        <v>10000000</v>
      </c>
      <c r="T19" s="20">
        <f>IFERROR(__xludf.DUMMYFUNCTION("""COMPUTED_VALUE"""),1.0E7)</f>
        <v>10000000</v>
      </c>
      <c r="U19" s="20">
        <f>IFERROR(__xludf.DUMMYFUNCTION("""COMPUTED_VALUE"""),3.5E7)</f>
        <v>35000000</v>
      </c>
      <c r="V19" s="21">
        <f>IFERROR(__xludf.DUMMYFUNCTION("""COMPUTED_VALUE"""),0.5)</f>
        <v>0.5</v>
      </c>
      <c r="W19" s="20">
        <f>IFERROR(__xludf.DUMMYFUNCTION("""COMPUTED_VALUE"""),1500000.0)</f>
        <v>1500000</v>
      </c>
      <c r="X19" s="20">
        <f>IFERROR(__xludf.DUMMYFUNCTION("""COMPUTED_VALUE"""),3000000.0)</f>
        <v>3000000</v>
      </c>
      <c r="Y19" s="17"/>
    </row>
    <row r="20">
      <c r="A20" s="17">
        <f>IFERROR(__xludf.DUMMYFUNCTION("""COMPUTED_VALUE"""),17.0)</f>
        <v>17</v>
      </c>
      <c r="B20" s="18" t="str">
        <f>IFERROR(__xludf.DUMMYFUNCTION("""COMPUTED_VALUE"""),"elyanisa_")</f>
        <v>elyanisa_</v>
      </c>
      <c r="C20" s="23">
        <f>IFERROR(__xludf.DUMMYFUNCTION("""COMPUTED_VALUE"""),379000.0)</f>
        <v>379000</v>
      </c>
      <c r="D20" s="17" t="str">
        <f>IFERROR(__xludf.DUMMYFUNCTION("""COMPUTED_VALUE"""),"Mid")</f>
        <v>Mid</v>
      </c>
      <c r="E20" s="18" t="str">
        <f>IFERROR(__xludf.DUMMYFUNCTION("""COMPUTED_VALUE"""),"elyanisaa")</f>
        <v>elyanisaa</v>
      </c>
      <c r="F20" s="23">
        <f>IFERROR(__xludf.DUMMYFUNCTION("""COMPUTED_VALUE"""),72500.0)</f>
        <v>72500</v>
      </c>
      <c r="G20" s="17" t="str">
        <f>IFERROR(__xludf.DUMMYFUNCTION("""COMPUTED_VALUE"""),"Micro")</f>
        <v>Micro</v>
      </c>
      <c r="H20" s="17" t="str">
        <f>IFERROR(__xludf.DUMMYFUNCTION("""COMPUTED_VALUE"""),"Cimahi")</f>
        <v>Cimahi</v>
      </c>
      <c r="I20" s="17" t="str">
        <f>IFERROR(__xludf.DUMMYFUNCTION("""COMPUTED_VALUE"""),"- Lifestyle Female
- Fashion Wanita
- Mom &amp; Kids")</f>
        <v>- Lifestyle Female
- Fashion Wanita
- Mom &amp; Kids</v>
      </c>
      <c r="J20" s="20">
        <f>IFERROR(__xludf.DUMMYFUNCTION("""COMPUTED_VALUE"""),200000.0)</f>
        <v>200000</v>
      </c>
      <c r="K20" s="20">
        <f>IFERROR(__xludf.DUMMYFUNCTION("""COMPUTED_VALUE"""),1500000.0)</f>
        <v>1500000</v>
      </c>
      <c r="L20" s="17"/>
      <c r="M20" s="20" t="str">
        <f>IFERROR(__xludf.DUMMYFUNCTION("""COMPUTED_VALUE"""),"FREE")</f>
        <v>FREE</v>
      </c>
      <c r="N20" s="20">
        <f>IFERROR(__xludf.DUMMYFUNCTION("""COMPUTED_VALUE"""),3000000.0)</f>
        <v>3000000</v>
      </c>
      <c r="O20" s="17"/>
      <c r="P20" s="20">
        <f>IFERROR(__xludf.DUMMYFUNCTION("""COMPUTED_VALUE"""),8000000.0)</f>
        <v>8000000</v>
      </c>
      <c r="Q20" s="20" t="str">
        <f>IFERROR(__xludf.DUMMYFUNCTION("""COMPUTED_VALUE"""),"FREE")</f>
        <v>FREE</v>
      </c>
      <c r="R20" s="20">
        <f>IFERROR(__xludf.DUMMYFUNCTION("""COMPUTED_VALUE"""),3000000.0)</f>
        <v>3000000</v>
      </c>
      <c r="S20" s="20">
        <f>IFERROR(__xludf.DUMMYFUNCTION("""COMPUTED_VALUE"""),8000000.0)</f>
        <v>8000000</v>
      </c>
      <c r="T20" s="17"/>
      <c r="U20" s="17"/>
      <c r="V20" s="17"/>
      <c r="W20" s="17"/>
      <c r="X20" s="17" t="str">
        <f>IFERROR(__xludf.DUMMYFUNCTION("""COMPUTED_VALUE"""),"+Rp1,000,000 - Rp3,000,000")</f>
        <v>+Rp1,000,000 - Rp3,000,000</v>
      </c>
      <c r="Y20" s="17"/>
    </row>
    <row r="21">
      <c r="A21" s="17">
        <f>IFERROR(__xludf.DUMMYFUNCTION("""COMPUTED_VALUE"""),18.0)</f>
        <v>18</v>
      </c>
      <c r="B21" s="18" t="str">
        <f>IFERROR(__xludf.DUMMYFUNCTION("""COMPUTED_VALUE"""),"bellzky16")</f>
        <v>bellzky16</v>
      </c>
      <c r="C21" s="23">
        <f>IFERROR(__xludf.DUMMYFUNCTION("""COMPUTED_VALUE"""),315000.0)</f>
        <v>315000</v>
      </c>
      <c r="D21" s="17" t="str">
        <f>IFERROR(__xludf.DUMMYFUNCTION("""COMPUTED_VALUE"""),"Mid")</f>
        <v>Mid</v>
      </c>
      <c r="E21" s="24" t="str">
        <f>IFERROR(__xludf.DUMMYFUNCTION("""COMPUTED_VALUE"""),"bellzky16")</f>
        <v>bellzky16</v>
      </c>
      <c r="F21" s="19">
        <f>IFERROR(__xludf.DUMMYFUNCTION("""COMPUTED_VALUE"""),4000000.0)</f>
        <v>4000000</v>
      </c>
      <c r="G21" s="17" t="str">
        <f>IFERROR(__xludf.DUMMYFUNCTION("""COMPUTED_VALUE"""),"Mega")</f>
        <v>Mega</v>
      </c>
      <c r="H21" s="20" t="str">
        <f>IFERROR(__xludf.DUMMYFUNCTION("""COMPUTED_VALUE"""),"Tangerang")</f>
        <v>Tangerang</v>
      </c>
      <c r="I21" s="17" t="str">
        <f>IFERROR(__xludf.DUMMYFUNCTION("""COMPUTED_VALUE"""),"- Lifestyle Female 
- Pasutri
- Family
- Mom &amp; Kids")</f>
        <v>- Lifestyle Female 
- Pasutri
- Family
- Mom &amp; Kids</v>
      </c>
      <c r="J21" s="20">
        <f>IFERROR(__xludf.DUMMYFUNCTION("""COMPUTED_VALUE"""),1000000.0)</f>
        <v>1000000</v>
      </c>
      <c r="K21" s="20">
        <f>IFERROR(__xludf.DUMMYFUNCTION("""COMPUTED_VALUE"""),2000000.0)</f>
        <v>2000000</v>
      </c>
      <c r="L21" s="20">
        <f>IFERROR(__xludf.DUMMYFUNCTION("""COMPUTED_VALUE"""),6000000.0)</f>
        <v>6000000</v>
      </c>
      <c r="M21" s="17"/>
      <c r="N21" s="20">
        <f>IFERROR(__xludf.DUMMYFUNCTION("""COMPUTED_VALUE"""),5000000.0)</f>
        <v>5000000</v>
      </c>
      <c r="O21" s="20">
        <f>IFERROR(__xludf.DUMMYFUNCTION("""COMPUTED_VALUE"""),7000000.0)</f>
        <v>7000000</v>
      </c>
      <c r="P21" s="20">
        <f>IFERROR(__xludf.DUMMYFUNCTION("""COMPUTED_VALUE"""),8000000.0)</f>
        <v>8000000</v>
      </c>
      <c r="Q21" s="17"/>
      <c r="R21" s="20">
        <f>IFERROR(__xludf.DUMMYFUNCTION("""COMPUTED_VALUE"""),1.5E7)</f>
        <v>15000000</v>
      </c>
      <c r="S21" s="20">
        <f>IFERROR(__xludf.DUMMYFUNCTION("""COMPUTED_VALUE"""),2.1E7)</f>
        <v>21000000</v>
      </c>
      <c r="T21" s="20">
        <f>IFERROR(__xludf.DUMMYFUNCTION("""COMPUTED_VALUE"""),7000000.0)</f>
        <v>7000000</v>
      </c>
      <c r="U21" s="17"/>
      <c r="V21" s="17"/>
      <c r="W21" s="20">
        <f>IFERROR(__xludf.DUMMYFUNCTION("""COMPUTED_VALUE"""),3000000.0)</f>
        <v>3000000</v>
      </c>
      <c r="X21" s="20">
        <f>IFERROR(__xludf.DUMMYFUNCTION("""COMPUTED_VALUE"""),5000000.0)</f>
        <v>5000000</v>
      </c>
      <c r="Y21" s="17"/>
    </row>
    <row r="22">
      <c r="A22" s="17">
        <f>IFERROR(__xludf.DUMMYFUNCTION("""COMPUTED_VALUE"""),19.0)</f>
        <v>19</v>
      </c>
      <c r="B22" s="18" t="str">
        <f>IFERROR(__xludf.DUMMYFUNCTION("""COMPUTED_VALUE"""),"hellodhanii")</f>
        <v>hellodhanii</v>
      </c>
      <c r="C22" s="23">
        <f>IFERROR(__xludf.DUMMYFUNCTION("""COMPUTED_VALUE"""),299000.0)</f>
        <v>299000</v>
      </c>
      <c r="D22" s="17" t="str">
        <f>IFERROR(__xludf.DUMMYFUNCTION("""COMPUTED_VALUE"""),"Mid")</f>
        <v>Mid</v>
      </c>
      <c r="E22" s="24" t="str">
        <f>IFERROR(__xludf.DUMMYFUNCTION("""COMPUTED_VALUE"""),"hellodhani")</f>
        <v>hellodhani</v>
      </c>
      <c r="F22" s="19">
        <f>IFERROR(__xludf.DUMMYFUNCTION("""COMPUTED_VALUE"""),2300000.0)</f>
        <v>2300000</v>
      </c>
      <c r="G22" s="17" t="str">
        <f>IFERROR(__xludf.DUMMYFUNCTION("""COMPUTED_VALUE"""),"Mega")</f>
        <v>Mega</v>
      </c>
      <c r="H22" s="20" t="str">
        <f>IFERROR(__xludf.DUMMYFUNCTION("""COMPUTED_VALUE"""),"Jakarta")</f>
        <v>Jakarta</v>
      </c>
      <c r="I22" s="17" t="str">
        <f>IFERROR(__xludf.DUMMYFUNCTION("""COMPUTED_VALUE"""),"- Beauty
- Lifestyle Female
- Fashion Wanita")</f>
        <v>- Beauty
- Lifestyle Female
- Fashion Wanita</v>
      </c>
      <c r="J22" s="20">
        <f>IFERROR(__xludf.DUMMYFUNCTION("""COMPUTED_VALUE"""),1000000.0)</f>
        <v>1000000</v>
      </c>
      <c r="K22" s="20">
        <f>IFERROR(__xludf.DUMMYFUNCTION("""COMPUTED_VALUE"""),3000000.0)</f>
        <v>3000000</v>
      </c>
      <c r="L22" s="20">
        <f>IFERROR(__xludf.DUMMYFUNCTION("""COMPUTED_VALUE"""),4000000.0)</f>
        <v>4000000</v>
      </c>
      <c r="M22" s="20" t="str">
        <f>IFERROR(__xludf.DUMMYFUNCTION("""COMPUTED_VALUE"""),"FREE")</f>
        <v>FREE</v>
      </c>
      <c r="N22" s="20">
        <f>IFERROR(__xludf.DUMMYFUNCTION("""COMPUTED_VALUE"""),3500000.0)</f>
        <v>3500000</v>
      </c>
      <c r="O22" s="20" t="str">
        <f>IFERROR(__xludf.DUMMYFUNCTION("""COMPUTED_VALUE"""),"FREE")</f>
        <v>FREE</v>
      </c>
      <c r="P22" s="20">
        <f>IFERROR(__xludf.DUMMYFUNCTION("""COMPUTED_VALUE"""),9000000.0)</f>
        <v>9000000</v>
      </c>
      <c r="Q22" s="20" t="str">
        <f>IFERROR(__xludf.DUMMYFUNCTION("""COMPUTED_VALUE"""),"FREE")</f>
        <v>FREE</v>
      </c>
      <c r="R22" s="20">
        <f>IFERROR(__xludf.DUMMYFUNCTION("""COMPUTED_VALUE"""),7000000.0)</f>
        <v>7000000</v>
      </c>
      <c r="S22" s="20">
        <f>IFERROR(__xludf.DUMMYFUNCTION("""COMPUTED_VALUE"""),4500000.0)</f>
        <v>4500000</v>
      </c>
      <c r="T22" s="20">
        <f>IFERROR(__xludf.DUMMYFUNCTION("""COMPUTED_VALUE"""),4000000.0)</f>
        <v>4000000</v>
      </c>
      <c r="U22" s="20" t="str">
        <f>IFERROR(__xludf.DUMMYFUNCTION("""COMPUTED_VALUE"""),"100% SOW")</f>
        <v>100% SOW</v>
      </c>
      <c r="V22" s="20" t="str">
        <f>IFERROR(__xludf.DUMMYFUNCTION("""COMPUTED_VALUE"""),"FREE")</f>
        <v>FREE</v>
      </c>
      <c r="W22" s="20" t="str">
        <f>IFERROR(__xludf.DUMMYFUNCTION("""COMPUTED_VALUE"""),"FREE")</f>
        <v>FREE</v>
      </c>
      <c r="X22" s="20">
        <f>IFERROR(__xludf.DUMMYFUNCTION("""COMPUTED_VALUE"""),1000000.0)</f>
        <v>1000000</v>
      </c>
      <c r="Y22" s="17"/>
    </row>
    <row r="23">
      <c r="A23" s="17">
        <f>IFERROR(__xludf.DUMMYFUNCTION("""COMPUTED_VALUE"""),20.0)</f>
        <v>20</v>
      </c>
      <c r="B23" s="18" t="str">
        <f>IFERROR(__xludf.DUMMYFUNCTION("""COMPUTED_VALUE"""),"jelitawidiaw")</f>
        <v>jelitawidiaw</v>
      </c>
      <c r="C23" s="23">
        <f>IFERROR(__xludf.DUMMYFUNCTION("""COMPUTED_VALUE"""),297000.0)</f>
        <v>297000</v>
      </c>
      <c r="D23" s="17" t="str">
        <f>IFERROR(__xludf.DUMMYFUNCTION("""COMPUTED_VALUE"""),"Mid")</f>
        <v>Mid</v>
      </c>
      <c r="E23" s="18" t="str">
        <f>IFERROR(__xludf.DUMMYFUNCTION("""COMPUTED_VALUE"""),"jelitawidiaw")</f>
        <v>jelitawidiaw</v>
      </c>
      <c r="F23" s="19">
        <f>IFERROR(__xludf.DUMMYFUNCTION("""COMPUTED_VALUE"""),4800000.0)</f>
        <v>4800000</v>
      </c>
      <c r="G23" s="17" t="str">
        <f>IFERROR(__xludf.DUMMYFUNCTION("""COMPUTED_VALUE"""),"Mega")</f>
        <v>Mega</v>
      </c>
      <c r="H23" s="17" t="str">
        <f>IFERROR(__xludf.DUMMYFUNCTION("""COMPUTED_VALUE"""),"Tangerang")</f>
        <v>Tangerang</v>
      </c>
      <c r="I23" s="17" t="str">
        <f>IFERROR(__xludf.DUMMYFUNCTION("""COMPUTED_VALUE"""),"- Lifestyle Female 
- Pasutri
- Family
- Mom &amp; Kids")</f>
        <v>- Lifestyle Female 
- Pasutri
- Family
- Mom &amp; Kids</v>
      </c>
      <c r="J23" s="20">
        <f>IFERROR(__xludf.DUMMYFUNCTION("""COMPUTED_VALUE"""),500000.0)</f>
        <v>500000</v>
      </c>
      <c r="K23" s="20">
        <f>IFERROR(__xludf.DUMMYFUNCTION("""COMPUTED_VALUE"""),2000000.0)</f>
        <v>2000000</v>
      </c>
      <c r="L23" s="20">
        <f>IFERROR(__xludf.DUMMYFUNCTION("""COMPUTED_VALUE"""),3000000.0)</f>
        <v>3000000</v>
      </c>
      <c r="M23" s="20">
        <f>IFERROR(__xludf.DUMMYFUNCTION("""COMPUTED_VALUE"""),500000.0)</f>
        <v>500000</v>
      </c>
      <c r="N23" s="20">
        <f>IFERROR(__xludf.DUMMYFUNCTION("""COMPUTED_VALUE"""),2500000.0)</f>
        <v>2500000</v>
      </c>
      <c r="O23" s="17"/>
      <c r="P23" s="20">
        <f>IFERROR(__xludf.DUMMYFUNCTION("""COMPUTED_VALUE"""),7000000.0)</f>
        <v>7000000</v>
      </c>
      <c r="Q23" s="20" t="str">
        <f>IFERROR(__xludf.DUMMYFUNCTION("""COMPUTED_VALUE"""),"FREE")</f>
        <v>FREE</v>
      </c>
      <c r="R23" s="20">
        <f>IFERROR(__xludf.DUMMYFUNCTION("""COMPUTED_VALUE"""),1.7E7)</f>
        <v>17000000</v>
      </c>
      <c r="S23" s="20">
        <f>IFERROR(__xludf.DUMMYFUNCTION("""COMPUTED_VALUE"""),2.0E7)</f>
        <v>20000000</v>
      </c>
      <c r="T23" s="20">
        <f>IFERROR(__xludf.DUMMYFUNCTION("""COMPUTED_VALUE"""),1.4E7)</f>
        <v>14000000</v>
      </c>
      <c r="U23" s="20">
        <f>IFERROR(__xludf.DUMMYFUNCTION("""COMPUTED_VALUE"""),7500000.0)</f>
        <v>7500000</v>
      </c>
      <c r="V23" s="20" t="str">
        <f>IFERROR(__xludf.DUMMYFUNCTION("""COMPUTED_VALUE"""),"FREE 7D")</f>
        <v>FREE 7D</v>
      </c>
      <c r="W23" s="20" t="str">
        <f>IFERROR(__xludf.DUMMYFUNCTION("""COMPUTED_VALUE"""),"FREE")</f>
        <v>FREE</v>
      </c>
      <c r="X23" s="20">
        <f>IFERROR(__xludf.DUMMYFUNCTION("""COMPUTED_VALUE"""),1000000.0)</f>
        <v>1000000</v>
      </c>
      <c r="Y23" s="17"/>
    </row>
    <row r="24">
      <c r="A24" s="17">
        <f>IFERROR(__xludf.DUMMYFUNCTION("""COMPUTED_VALUE"""),21.0)</f>
        <v>21</v>
      </c>
      <c r="B24" s="18" t="str">
        <f>IFERROR(__xludf.DUMMYFUNCTION("""COMPUTED_VALUE"""),"nennyzoe")</f>
        <v>nennyzoe</v>
      </c>
      <c r="C24" s="23">
        <f>IFERROR(__xludf.DUMMYFUNCTION("""COMPUTED_VALUE"""),270000.0)</f>
        <v>270000</v>
      </c>
      <c r="D24" s="17" t="str">
        <f>IFERROR(__xludf.DUMMYFUNCTION("""COMPUTED_VALUE"""),"Mid")</f>
        <v>Mid</v>
      </c>
      <c r="E24" s="18" t="str">
        <f>IFERROR(__xludf.DUMMYFUNCTION("""COMPUTED_VALUE"""),"nennyzoe")</f>
        <v>nennyzoe</v>
      </c>
      <c r="F24" s="19">
        <f>IFERROR(__xludf.DUMMYFUNCTION("""COMPUTED_VALUE"""),1100000.0)</f>
        <v>1100000</v>
      </c>
      <c r="G24" s="17" t="str">
        <f>IFERROR(__xludf.DUMMYFUNCTION("""COMPUTED_VALUE"""),"Mega")</f>
        <v>Mega</v>
      </c>
      <c r="H24" s="17" t="str">
        <f>IFERROR(__xludf.DUMMYFUNCTION("""COMPUTED_VALUE"""),"Bandung")</f>
        <v>Bandung</v>
      </c>
      <c r="I24" s="17" t="str">
        <f>IFERROR(__xludf.DUMMYFUNCTION("""COMPUTED_VALUE"""),"- Fashion Wanita
- Lifestyle Female
- Beauty
- Family")</f>
        <v>- Fashion Wanita
- Lifestyle Female
- Beauty
- Family</v>
      </c>
      <c r="J24" s="20">
        <f>IFERROR(__xludf.DUMMYFUNCTION("""COMPUTED_VALUE"""),400000.0)</f>
        <v>400000</v>
      </c>
      <c r="K24" s="20">
        <f>IFERROR(__xludf.DUMMYFUNCTION("""COMPUTED_VALUE"""),2000000.0)</f>
        <v>2000000</v>
      </c>
      <c r="L24" s="20">
        <f>IFERROR(__xludf.DUMMYFUNCTION("""COMPUTED_VALUE"""),5000000.0)</f>
        <v>5000000</v>
      </c>
      <c r="M24" s="20" t="str">
        <f>IFERROR(__xludf.DUMMYFUNCTION("""COMPUTED_VALUE"""),"FREE")</f>
        <v>FREE</v>
      </c>
      <c r="N24" s="20">
        <f>IFERROR(__xludf.DUMMYFUNCTION("""COMPUTED_VALUE"""),3500000.0)</f>
        <v>3500000</v>
      </c>
      <c r="O24" s="20">
        <f>IFERROR(__xludf.DUMMYFUNCTION("""COMPUTED_VALUE"""),4000000.0)</f>
        <v>4000000</v>
      </c>
      <c r="P24" s="20">
        <f>IFERROR(__xludf.DUMMYFUNCTION("""COMPUTED_VALUE"""),7500000.0)</f>
        <v>7500000</v>
      </c>
      <c r="Q24" s="20" t="str">
        <f>IFERROR(__xludf.DUMMYFUNCTION("""COMPUTED_VALUE"""),"FREE")</f>
        <v>FREE</v>
      </c>
      <c r="R24" s="20">
        <f>IFERROR(__xludf.DUMMYFUNCTION("""COMPUTED_VALUE"""),1.0E7)</f>
        <v>10000000</v>
      </c>
      <c r="S24" s="20">
        <f>IFERROR(__xludf.DUMMYFUNCTION("""COMPUTED_VALUE"""),1.5E7)</f>
        <v>15000000</v>
      </c>
      <c r="T24" s="20">
        <f>IFERROR(__xludf.DUMMYFUNCTION("""COMPUTED_VALUE"""),8000000.0)</f>
        <v>8000000</v>
      </c>
      <c r="U24" s="20">
        <f>IFERROR(__xludf.DUMMYFUNCTION("""COMPUTED_VALUE"""),1.5E7)</f>
        <v>15000000</v>
      </c>
      <c r="V24" s="21">
        <f>IFERROR(__xludf.DUMMYFUNCTION("""COMPUTED_VALUE"""),0.5)</f>
        <v>0.5</v>
      </c>
      <c r="W24" s="20">
        <f>IFERROR(__xludf.DUMMYFUNCTION("""COMPUTED_VALUE"""),1000000.0)</f>
        <v>1000000</v>
      </c>
      <c r="X24" s="20">
        <f>IFERROR(__xludf.DUMMYFUNCTION("""COMPUTED_VALUE"""),2000000.0)</f>
        <v>2000000</v>
      </c>
      <c r="Y24" s="17"/>
    </row>
    <row r="25">
      <c r="A25" s="17">
        <f>IFERROR(__xludf.DUMMYFUNCTION("""COMPUTED_VALUE"""),22.0)</f>
        <v>22</v>
      </c>
      <c r="B25" s="18" t="str">
        <f>IFERROR(__xludf.DUMMYFUNCTION("""COMPUTED_VALUE"""),"angelicamanopo")</f>
        <v>angelicamanopo</v>
      </c>
      <c r="C25" s="23">
        <f>IFERROR(__xludf.DUMMYFUNCTION("""COMPUTED_VALUE"""),231000.0)</f>
        <v>231000</v>
      </c>
      <c r="D25" s="17" t="str">
        <f>IFERROR(__xludf.DUMMYFUNCTION("""COMPUTED_VALUE"""),"Mid")</f>
        <v>Mid</v>
      </c>
      <c r="E25" s="18" t="str">
        <f>IFERROR(__xludf.DUMMYFUNCTION("""COMPUTED_VALUE"""),"angelicamanopo")</f>
        <v>angelicamanopo</v>
      </c>
      <c r="F25" s="23">
        <f>IFERROR(__xludf.DUMMYFUNCTION("""COMPUTED_VALUE"""),100600.0)</f>
        <v>100600</v>
      </c>
      <c r="G25" s="17" t="str">
        <f>IFERROR(__xludf.DUMMYFUNCTION("""COMPUTED_VALUE"""),"Mid")</f>
        <v>Mid</v>
      </c>
      <c r="H25" s="17" t="str">
        <f>IFERROR(__xludf.DUMMYFUNCTION("""COMPUTED_VALUE"""),"Jakarta Timur")</f>
        <v>Jakarta Timur</v>
      </c>
      <c r="I25" s="17" t="str">
        <f>IFERROR(__xludf.DUMMYFUNCTION("""COMPUTED_VALUE"""),"- Lifestyle Female
- Mom &amp; Kids")</f>
        <v>- Lifestyle Female
- Mom &amp; Kids</v>
      </c>
      <c r="J25" s="20">
        <f>IFERROR(__xludf.DUMMYFUNCTION("""COMPUTED_VALUE"""),2000000.0)</f>
        <v>2000000</v>
      </c>
      <c r="K25" s="20">
        <f>IFERROR(__xludf.DUMMYFUNCTION("""COMPUTED_VALUE"""),2500000.0)</f>
        <v>2500000</v>
      </c>
      <c r="L25" s="20">
        <f>IFERROR(__xludf.DUMMYFUNCTION("""COMPUTED_VALUE"""),3000000.0)</f>
        <v>3000000</v>
      </c>
      <c r="M25" s="20" t="str">
        <f>IFERROR(__xludf.DUMMYFUNCTION("""COMPUTED_VALUE"""),"FREE")</f>
        <v>FREE</v>
      </c>
      <c r="N25" s="20">
        <f>IFERROR(__xludf.DUMMYFUNCTION("""COMPUTED_VALUE"""),3500000.0)</f>
        <v>3500000</v>
      </c>
      <c r="O25" s="20">
        <f>IFERROR(__xludf.DUMMYFUNCTION("""COMPUTED_VALUE"""),4500000.0)</f>
        <v>4500000</v>
      </c>
      <c r="P25" s="20">
        <f>IFERROR(__xludf.DUMMYFUNCTION("""COMPUTED_VALUE"""),5000000.0)</f>
        <v>5000000</v>
      </c>
      <c r="Q25" s="20" t="str">
        <f>IFERROR(__xludf.DUMMYFUNCTION("""COMPUTED_VALUE"""),"FREE")</f>
        <v>FREE</v>
      </c>
      <c r="R25" s="20">
        <f>IFERROR(__xludf.DUMMYFUNCTION("""COMPUTED_VALUE"""),3500000.0)</f>
        <v>3500000</v>
      </c>
      <c r="S25" s="20">
        <f>IFERROR(__xludf.DUMMYFUNCTION("""COMPUTED_VALUE"""),5000000.0)</f>
        <v>5000000</v>
      </c>
      <c r="T25" s="20">
        <f>IFERROR(__xludf.DUMMYFUNCTION("""COMPUTED_VALUE"""),5000000.0)</f>
        <v>5000000</v>
      </c>
      <c r="U25" s="21">
        <f>IFERROR(__xludf.DUMMYFUNCTION("""COMPUTED_VALUE"""),0.25)</f>
        <v>0.25</v>
      </c>
      <c r="V25" s="20">
        <f>IFERROR(__xludf.DUMMYFUNCTION("""COMPUTED_VALUE"""),1000000.0)</f>
        <v>1000000</v>
      </c>
      <c r="W25" s="20">
        <f>IFERROR(__xludf.DUMMYFUNCTION("""COMPUTED_VALUE"""),1000000.0)</f>
        <v>1000000</v>
      </c>
      <c r="X25" s="20">
        <f>IFERROR(__xludf.DUMMYFUNCTION("""COMPUTED_VALUE"""),6000000.0)</f>
        <v>6000000</v>
      </c>
      <c r="Y25" s="17"/>
    </row>
    <row r="26">
      <c r="A26" s="17">
        <f>IFERROR(__xludf.DUMMYFUNCTION("""COMPUTED_VALUE"""),23.0)</f>
        <v>23</v>
      </c>
      <c r="B26" s="18" t="str">
        <f>IFERROR(__xludf.DUMMYFUNCTION("""COMPUTED_VALUE"""),"viaazulviani")</f>
        <v>viaazulviani</v>
      </c>
      <c r="C26" s="23">
        <f>IFERROR(__xludf.DUMMYFUNCTION("""COMPUTED_VALUE"""),205000.0)</f>
        <v>205000</v>
      </c>
      <c r="D26" s="17" t="str">
        <f>IFERROR(__xludf.DUMMYFUNCTION("""COMPUTED_VALUE"""),"Mid")</f>
        <v>Mid</v>
      </c>
      <c r="E26" s="18" t="str">
        <f>IFERROR(__xludf.DUMMYFUNCTION("""COMPUTED_VALUE"""),"viaazulviani")</f>
        <v>viaazulviani</v>
      </c>
      <c r="F26" s="23">
        <f>IFERROR(__xludf.DUMMYFUNCTION("""COMPUTED_VALUE"""),127000.0)</f>
        <v>127000</v>
      </c>
      <c r="G26" s="17" t="str">
        <f>IFERROR(__xludf.DUMMYFUNCTION("""COMPUTED_VALUE"""),"Mid")</f>
        <v>Mid</v>
      </c>
      <c r="H26" s="17" t="str">
        <f>IFERROR(__xludf.DUMMYFUNCTION("""COMPUTED_VALUE"""),"Medan")</f>
        <v>Medan</v>
      </c>
      <c r="I26" s="17" t="str">
        <f>IFERROR(__xludf.DUMMYFUNCTION("""COMPUTED_VALUE"""),"- Fashion Wanita 
- Lifestyle Female
- Beauty
- Mom &amp; Kids")</f>
        <v>- Fashion Wanita 
- Lifestyle Female
- Beauty
- Mom &amp; Kids</v>
      </c>
      <c r="J26" s="20">
        <f>IFERROR(__xludf.DUMMYFUNCTION("""COMPUTED_VALUE"""),500000.0)</f>
        <v>500000</v>
      </c>
      <c r="K26" s="20">
        <f>IFERROR(__xludf.DUMMYFUNCTION("""COMPUTED_VALUE"""),1500000.0)</f>
        <v>1500000</v>
      </c>
      <c r="L26" s="20">
        <f>IFERROR(__xludf.DUMMYFUNCTION("""COMPUTED_VALUE"""),3500000.0)</f>
        <v>3500000</v>
      </c>
      <c r="M26" s="20" t="str">
        <f>IFERROR(__xludf.DUMMYFUNCTION("""COMPUTED_VALUE"""),"FREE")</f>
        <v>FREE</v>
      </c>
      <c r="N26" s="20">
        <f>IFERROR(__xludf.DUMMYFUNCTION("""COMPUTED_VALUE"""),3500000.0)</f>
        <v>3500000</v>
      </c>
      <c r="O26" s="20">
        <f>IFERROR(__xludf.DUMMYFUNCTION("""COMPUTED_VALUE"""),4500000.0)</f>
        <v>4500000</v>
      </c>
      <c r="P26" s="20">
        <f>IFERROR(__xludf.DUMMYFUNCTION("""COMPUTED_VALUE"""),6000000.0)</f>
        <v>6000000</v>
      </c>
      <c r="Q26" s="20" t="str">
        <f>IFERROR(__xludf.DUMMYFUNCTION("""COMPUTED_VALUE"""),"FREE")</f>
        <v>FREE</v>
      </c>
      <c r="R26" s="20">
        <f>IFERROR(__xludf.DUMMYFUNCTION("""COMPUTED_VALUE"""),2500000.0)</f>
        <v>2500000</v>
      </c>
      <c r="S26" s="20">
        <f>IFERROR(__xludf.DUMMYFUNCTION("""COMPUTED_VALUE"""),6000000.0)</f>
        <v>6000000</v>
      </c>
      <c r="T26" s="20">
        <f>IFERROR(__xludf.DUMMYFUNCTION("""COMPUTED_VALUE"""),4000000.0)</f>
        <v>4000000</v>
      </c>
      <c r="U26" s="21">
        <f>IFERROR(__xludf.DUMMYFUNCTION("""COMPUTED_VALUE"""),0.5)</f>
        <v>0.5</v>
      </c>
      <c r="V26" s="20">
        <f>IFERROR(__xludf.DUMMYFUNCTION("""COMPUTED_VALUE"""),1000000.0)</f>
        <v>1000000</v>
      </c>
      <c r="W26" s="20" t="str">
        <f>IFERROR(__xludf.DUMMYFUNCTION("""COMPUTED_VALUE"""),"FREE")</f>
        <v>FREE</v>
      </c>
      <c r="X26" s="20">
        <f>IFERROR(__xludf.DUMMYFUNCTION("""COMPUTED_VALUE"""),8000000.0)</f>
        <v>8000000</v>
      </c>
      <c r="Y26" s="17"/>
    </row>
    <row r="27">
      <c r="A27" s="17">
        <f>IFERROR(__xludf.DUMMYFUNCTION("""COMPUTED_VALUE"""),24.0)</f>
        <v>24</v>
      </c>
      <c r="B27" s="18" t="str">
        <f>IFERROR(__xludf.DUMMYFUNCTION("""COMPUTED_VALUE"""),"cyntiaar")</f>
        <v>cyntiaar</v>
      </c>
      <c r="C27" s="23">
        <f>IFERROR(__xludf.DUMMYFUNCTION("""COMPUTED_VALUE"""),196000.0)</f>
        <v>196000</v>
      </c>
      <c r="D27" s="17" t="str">
        <f>IFERROR(__xludf.DUMMYFUNCTION("""COMPUTED_VALUE"""),"Mid")</f>
        <v>Mid</v>
      </c>
      <c r="E27" s="18" t="str">
        <f>IFERROR(__xludf.DUMMYFUNCTION("""COMPUTED_VALUE"""),"cyntiaar_")</f>
        <v>cyntiaar_</v>
      </c>
      <c r="F27" s="19">
        <f>IFERROR(__xludf.DUMMYFUNCTION("""COMPUTED_VALUE"""),1700000.0)</f>
        <v>1700000</v>
      </c>
      <c r="G27" s="17" t="str">
        <f>IFERROR(__xludf.DUMMYFUNCTION("""COMPUTED_VALUE"""),"Mega")</f>
        <v>Mega</v>
      </c>
      <c r="H27" s="17" t="str">
        <f>IFERROR(__xludf.DUMMYFUNCTION("""COMPUTED_VALUE"""),"Bandung")</f>
        <v>Bandung</v>
      </c>
      <c r="I27" s="17" t="str">
        <f>IFERROR(__xludf.DUMMYFUNCTION("""COMPUTED_VALUE"""),"- Beauty
- Lifestyle Female
- Pasutri")</f>
        <v>- Beauty
- Lifestyle Female
- Pasutri</v>
      </c>
      <c r="J27" s="20">
        <f>IFERROR(__xludf.DUMMYFUNCTION("""COMPUTED_VALUE"""),500000.0)</f>
        <v>500000</v>
      </c>
      <c r="K27" s="20">
        <f>IFERROR(__xludf.DUMMYFUNCTION("""COMPUTED_VALUE"""),1500000.0)</f>
        <v>1500000</v>
      </c>
      <c r="L27" s="20">
        <f>IFERROR(__xludf.DUMMYFUNCTION("""COMPUTED_VALUE"""),3000000.0)</f>
        <v>3000000</v>
      </c>
      <c r="M27" s="20" t="str">
        <f>IFERROR(__xludf.DUMMYFUNCTION("""COMPUTED_VALUE"""),"FREE")</f>
        <v>FREE</v>
      </c>
      <c r="N27" s="20">
        <f>IFERROR(__xludf.DUMMYFUNCTION("""COMPUTED_VALUE"""),5000000.0)</f>
        <v>5000000</v>
      </c>
      <c r="O27" s="17"/>
      <c r="P27" s="20">
        <f>IFERROR(__xludf.DUMMYFUNCTION("""COMPUTED_VALUE"""),1.1E7)</f>
        <v>11000000</v>
      </c>
      <c r="Q27" s="20" t="str">
        <f>IFERROR(__xludf.DUMMYFUNCTION("""COMPUTED_VALUE"""),"FREE")</f>
        <v>FREE</v>
      </c>
      <c r="R27" s="20">
        <f>IFERROR(__xludf.DUMMYFUNCTION("""COMPUTED_VALUE"""),1.5E7)</f>
        <v>15000000</v>
      </c>
      <c r="S27" s="20" t="str">
        <f>IFERROR(__xludf.DUMMYFUNCTION("""COMPUTED_VALUE"""),"Add 6.500.000")</f>
        <v>Add 6.500.000</v>
      </c>
      <c r="T27" s="20" t="str">
        <f>IFERROR(__xludf.DUMMYFUNCTION("""COMPUTED_VALUE"""),"ask")</f>
        <v>ask</v>
      </c>
      <c r="U27" s="17"/>
      <c r="V27" s="17"/>
      <c r="W27" s="20" t="str">
        <f>IFERROR(__xludf.DUMMYFUNCTION("""COMPUTED_VALUE"""),"FREE")</f>
        <v>FREE</v>
      </c>
      <c r="X27" s="20" t="str">
        <f>IFERROR(__xludf.DUMMYFUNCTION("""COMPUTED_VALUE"""),"Add 2.500.000")</f>
        <v>Add 2.500.000</v>
      </c>
      <c r="Y27" s="17"/>
    </row>
    <row r="28">
      <c r="A28" s="17">
        <f>IFERROR(__xludf.DUMMYFUNCTION("""COMPUTED_VALUE"""),25.0)</f>
        <v>25</v>
      </c>
      <c r="B28" s="18" t="str">
        <f>IFERROR(__xludf.DUMMYFUNCTION("""COMPUTED_VALUE"""),"frdhuha")</f>
        <v>frdhuha</v>
      </c>
      <c r="C28" s="23">
        <f>IFERROR(__xludf.DUMMYFUNCTION("""COMPUTED_VALUE"""),188000.0)</f>
        <v>188000</v>
      </c>
      <c r="D28" s="17" t="str">
        <f>IFERROR(__xludf.DUMMYFUNCTION("""COMPUTED_VALUE"""),"Mid")</f>
        <v>Mid</v>
      </c>
      <c r="E28" s="18" t="str">
        <f>IFERROR(__xludf.DUMMYFUNCTION("""COMPUTED_VALUE"""),"faridahuha")</f>
        <v>faridahuha</v>
      </c>
      <c r="F28" s="19">
        <f>IFERROR(__xludf.DUMMYFUNCTION("""COMPUTED_VALUE"""),3800000.0)</f>
        <v>3800000</v>
      </c>
      <c r="G28" s="17" t="str">
        <f>IFERROR(__xludf.DUMMYFUNCTION("""COMPUTED_VALUE"""),"Mega")</f>
        <v>Mega</v>
      </c>
      <c r="H28" s="17" t="str">
        <f>IFERROR(__xludf.DUMMYFUNCTION("""COMPUTED_VALUE"""),"Jakarta")</f>
        <v>Jakarta</v>
      </c>
      <c r="I28" s="17" t="str">
        <f>IFERROR(__xludf.DUMMYFUNCTION("""COMPUTED_VALUE"""),"- Lifestyle Female 
- Pasutri
- Entrepreneur")</f>
        <v>- Lifestyle Female 
- Pasutri
- Entrepreneur</v>
      </c>
      <c r="J28" s="17"/>
      <c r="K28" s="20">
        <f>IFERROR(__xludf.DUMMYFUNCTION("""COMPUTED_VALUE"""),1000000.0)</f>
        <v>1000000</v>
      </c>
      <c r="L28" s="17"/>
      <c r="M28" s="20" t="str">
        <f>IFERROR(__xludf.DUMMYFUNCTION("""COMPUTED_VALUE"""),"FREE")</f>
        <v>FREE</v>
      </c>
      <c r="N28" s="17"/>
      <c r="O28" s="17"/>
      <c r="P28" s="20">
        <f>IFERROR(__xludf.DUMMYFUNCTION("""COMPUTED_VALUE"""),5000000.0)</f>
        <v>5000000</v>
      </c>
      <c r="Q28" s="17"/>
      <c r="R28" s="20">
        <f>IFERROR(__xludf.DUMMYFUNCTION("""COMPUTED_VALUE"""),1.5E7)</f>
        <v>15000000</v>
      </c>
      <c r="S28" s="20">
        <f>IFERROR(__xludf.DUMMYFUNCTION("""COMPUTED_VALUE"""),500000.0)</f>
        <v>500000</v>
      </c>
      <c r="T28" s="17"/>
      <c r="U28" s="17"/>
      <c r="V28" s="20" t="str">
        <f>IFERROR(__xludf.DUMMYFUNCTION("""COMPUTED_VALUE"""),"FREE")</f>
        <v>FREE</v>
      </c>
      <c r="W28" s="20">
        <f>IFERROR(__xludf.DUMMYFUNCTION("""COMPUTED_VALUE"""),500000.0)</f>
        <v>500000</v>
      </c>
      <c r="X28" s="20">
        <f>IFERROR(__xludf.DUMMYFUNCTION("""COMPUTED_VALUE"""),1.5E7)</f>
        <v>15000000</v>
      </c>
      <c r="Y28" s="17"/>
    </row>
    <row r="29">
      <c r="A29" s="17">
        <f>IFERROR(__xludf.DUMMYFUNCTION("""COMPUTED_VALUE"""),26.0)</f>
        <v>26</v>
      </c>
      <c r="B29" s="18" t="str">
        <f>IFERROR(__xludf.DUMMYFUNCTION("""COMPUTED_VALUE"""),"vsbvi")</f>
        <v>vsbvi</v>
      </c>
      <c r="C29" s="23">
        <f>IFERROR(__xludf.DUMMYFUNCTION("""COMPUTED_VALUE"""),176000.0)</f>
        <v>176000</v>
      </c>
      <c r="D29" s="17" t="str">
        <f>IFERROR(__xludf.DUMMYFUNCTION("""COMPUTED_VALUE"""),"Mid")</f>
        <v>Mid</v>
      </c>
      <c r="E29" s="18" t="str">
        <f>IFERROR(__xludf.DUMMYFUNCTION("""COMPUTED_VALUE"""),"vsbvix")</f>
        <v>vsbvix</v>
      </c>
      <c r="F29" s="23">
        <f>IFERROR(__xludf.DUMMYFUNCTION("""COMPUTED_VALUE"""),557400.0)</f>
        <v>557400</v>
      </c>
      <c r="G29" s="17" t="str">
        <f>IFERROR(__xludf.DUMMYFUNCTION("""COMPUTED_VALUE"""),"Macro")</f>
        <v>Macro</v>
      </c>
      <c r="H29" s="17" t="str">
        <f>IFERROR(__xludf.DUMMYFUNCTION("""COMPUTED_VALUE"""),"Tangerang")</f>
        <v>Tangerang</v>
      </c>
      <c r="I29" s="17" t="str">
        <f>IFERROR(__xludf.DUMMYFUNCTION("""COMPUTED_VALUE"""),"Lifestyle Female")</f>
        <v>Lifestyle Female</v>
      </c>
      <c r="J29" s="17"/>
      <c r="K29" s="17"/>
      <c r="L29" s="20">
        <f>IFERROR(__xludf.DUMMYFUNCTION("""COMPUTED_VALUE"""),1600000.0)</f>
        <v>1600000</v>
      </c>
      <c r="M29" s="20" t="str">
        <f>IFERROR(__xludf.DUMMYFUNCTION("""COMPUTED_VALUE"""),"FREE")</f>
        <v>FREE</v>
      </c>
      <c r="N29" s="20">
        <f>IFERROR(__xludf.DUMMYFUNCTION("""COMPUTED_VALUE"""),1500000.0)</f>
        <v>1500000</v>
      </c>
      <c r="O29" s="20">
        <f>IFERROR(__xludf.DUMMYFUNCTION("""COMPUTED_VALUE"""),1800000.0)</f>
        <v>1800000</v>
      </c>
      <c r="P29" s="20">
        <f>IFERROR(__xludf.DUMMYFUNCTION("""COMPUTED_VALUE"""),2500000.0)</f>
        <v>2500000</v>
      </c>
      <c r="Q29" s="20" t="str">
        <f>IFERROR(__xludf.DUMMYFUNCTION("""COMPUTED_VALUE"""),"FREE")</f>
        <v>FREE</v>
      </c>
      <c r="R29" s="20">
        <f>IFERROR(__xludf.DUMMYFUNCTION("""COMPUTED_VALUE"""),2500000.0)</f>
        <v>2500000</v>
      </c>
      <c r="S29" s="20">
        <f>IFERROR(__xludf.DUMMYFUNCTION("""COMPUTED_VALUE"""),4000000.0)</f>
        <v>4000000</v>
      </c>
      <c r="T29" s="17"/>
      <c r="U29" s="17"/>
      <c r="V29" s="20">
        <f>IFERROR(__xludf.DUMMYFUNCTION("""COMPUTED_VALUE"""),600000.0)</f>
        <v>600000</v>
      </c>
      <c r="W29" s="20">
        <f>IFERROR(__xludf.DUMMYFUNCTION("""COMPUTED_VALUE"""),600000.0)</f>
        <v>600000</v>
      </c>
      <c r="X29" s="20">
        <f>IFERROR(__xludf.DUMMYFUNCTION("""COMPUTED_VALUE"""),1000000.0)</f>
        <v>1000000</v>
      </c>
      <c r="Y29" s="17"/>
    </row>
    <row r="30">
      <c r="A30" s="17">
        <f>IFERROR(__xludf.DUMMYFUNCTION("""COMPUTED_VALUE"""),27.0)</f>
        <v>27</v>
      </c>
      <c r="B30" s="18" t="str">
        <f>IFERROR(__xludf.DUMMYFUNCTION("""COMPUTED_VALUE"""),"keziagc")</f>
        <v>keziagc</v>
      </c>
      <c r="C30" s="23">
        <f>IFERROR(__xludf.DUMMYFUNCTION("""COMPUTED_VALUE"""),148000.0)</f>
        <v>148000</v>
      </c>
      <c r="D30" s="17" t="str">
        <f>IFERROR(__xludf.DUMMYFUNCTION("""COMPUTED_VALUE"""),"Mid")</f>
        <v>Mid</v>
      </c>
      <c r="E30" s="18" t="str">
        <f>IFERROR(__xludf.DUMMYFUNCTION("""COMPUTED_VALUE"""),"keziagc")</f>
        <v>keziagc</v>
      </c>
      <c r="F30" s="23">
        <f>IFERROR(__xludf.DUMMYFUNCTION("""COMPUTED_VALUE"""),14000.0)</f>
        <v>14000</v>
      </c>
      <c r="G30" s="17" t="str">
        <f>IFERROR(__xludf.DUMMYFUNCTION("""COMPUTED_VALUE"""),"Micro")</f>
        <v>Micro</v>
      </c>
      <c r="H30" s="17" t="str">
        <f>IFERROR(__xludf.DUMMYFUNCTION("""COMPUTED_VALUE"""),"Tangerang")</f>
        <v>Tangerang</v>
      </c>
      <c r="I30" s="17" t="str">
        <f>IFERROR(__xludf.DUMMYFUNCTION("""COMPUTED_VALUE"""),"- Mom &amp; Kids
- Homeliving
- Lifestyle Female")</f>
        <v>- Mom &amp; Kids
- Homeliving
- Lifestyle Female</v>
      </c>
      <c r="J30" s="17"/>
      <c r="K30" s="20">
        <f>IFERROR(__xludf.DUMMYFUNCTION("""COMPUTED_VALUE"""),780000.0)</f>
        <v>780000</v>
      </c>
      <c r="L30" s="20">
        <f>IFERROR(__xludf.DUMMYFUNCTION("""COMPUTED_VALUE"""),1480000.0)</f>
        <v>1480000</v>
      </c>
      <c r="M30" s="20" t="str">
        <f>IFERROR(__xludf.DUMMYFUNCTION("""COMPUTED_VALUE"""),"FREE")</f>
        <v>FREE</v>
      </c>
      <c r="N30" s="20">
        <f>IFERROR(__xludf.DUMMYFUNCTION("""COMPUTED_VALUE"""),2980000.0)</f>
        <v>2980000</v>
      </c>
      <c r="O30" s="17"/>
      <c r="P30" s="20">
        <f>IFERROR(__xludf.DUMMYFUNCTION("""COMPUTED_VALUE"""),4580000.0)</f>
        <v>4580000</v>
      </c>
      <c r="Q30" s="20" t="str">
        <f>IFERROR(__xludf.DUMMYFUNCTION("""COMPUTED_VALUE"""),"FREE")</f>
        <v>FREE</v>
      </c>
      <c r="R30" s="17"/>
      <c r="S30" s="17"/>
      <c r="T30" s="20">
        <f>IFERROR(__xludf.DUMMYFUNCTION("""COMPUTED_VALUE"""),1980000.0)</f>
        <v>1980000</v>
      </c>
      <c r="U30" s="20" t="str">
        <f>IFERROR(__xludf.DUMMYFUNCTION("""COMPUTED_VALUE"""),"FREE")</f>
        <v>FREE</v>
      </c>
      <c r="V30" s="17"/>
      <c r="W30" s="20" t="str">
        <f>IFERROR(__xludf.DUMMYFUNCTION("""COMPUTED_VALUE"""),"FREE")</f>
        <v>FREE</v>
      </c>
      <c r="X30" s="20">
        <f>IFERROR(__xludf.DUMMYFUNCTION("""COMPUTED_VALUE"""),2980000.0)</f>
        <v>2980000</v>
      </c>
      <c r="Y30" s="17"/>
    </row>
    <row r="31">
      <c r="A31" s="17">
        <f>IFERROR(__xludf.DUMMYFUNCTION("""COMPUTED_VALUE"""),28.0)</f>
        <v>28</v>
      </c>
      <c r="B31" s="18" t="str">
        <f>IFERROR(__xludf.DUMMYFUNCTION("""COMPUTED_VALUE"""),"sylvamulachelaa")</f>
        <v>sylvamulachelaa</v>
      </c>
      <c r="C31" s="23">
        <f>IFERROR(__xludf.DUMMYFUNCTION("""COMPUTED_VALUE"""),145000.0)</f>
        <v>145000</v>
      </c>
      <c r="D31" s="17" t="str">
        <f>IFERROR(__xludf.DUMMYFUNCTION("""COMPUTED_VALUE"""),"Mid")</f>
        <v>Mid</v>
      </c>
      <c r="E31" s="18" t="str">
        <f>IFERROR(__xludf.DUMMYFUNCTION("""COMPUTED_VALUE"""),"sylvamulachelaa")</f>
        <v>sylvamulachelaa</v>
      </c>
      <c r="F31" s="23">
        <f>IFERROR(__xludf.DUMMYFUNCTION("""COMPUTED_VALUE"""),9717.0)</f>
        <v>9717</v>
      </c>
      <c r="G31" s="17" t="str">
        <f>IFERROR(__xludf.DUMMYFUNCTION("""COMPUTED_VALUE"""),"Nano")</f>
        <v>Nano</v>
      </c>
      <c r="H31" s="17" t="str">
        <f>IFERROR(__xludf.DUMMYFUNCTION("""COMPUTED_VALUE"""),"Tangerang")</f>
        <v>Tangerang</v>
      </c>
      <c r="I31" s="17" t="str">
        <f>IFERROR(__xludf.DUMMYFUNCTION("""COMPUTED_VALUE"""),"- Fashion Wanita
- Lifestyle Female
- Place Review")</f>
        <v>- Fashion Wanita
- Lifestyle Female
- Place Review</v>
      </c>
      <c r="J31" s="20">
        <f>IFERROR(__xludf.DUMMYFUNCTION("""COMPUTED_VALUE"""),200000.0)</f>
        <v>200000</v>
      </c>
      <c r="K31" s="20">
        <f>IFERROR(__xludf.DUMMYFUNCTION("""COMPUTED_VALUE"""),300000.0)</f>
        <v>300000</v>
      </c>
      <c r="L31" s="20">
        <f>IFERROR(__xludf.DUMMYFUNCTION("""COMPUTED_VALUE"""),500000.0)</f>
        <v>500000</v>
      </c>
      <c r="M31" s="20" t="str">
        <f>IFERROR(__xludf.DUMMYFUNCTION("""COMPUTED_VALUE"""),"FREE")</f>
        <v>FREE</v>
      </c>
      <c r="N31" s="20">
        <f>IFERROR(__xludf.DUMMYFUNCTION("""COMPUTED_VALUE"""),750000.0)</f>
        <v>750000</v>
      </c>
      <c r="O31" s="20">
        <f>IFERROR(__xludf.DUMMYFUNCTION("""COMPUTED_VALUE"""),750000.0)</f>
        <v>750000</v>
      </c>
      <c r="P31" s="20">
        <f>IFERROR(__xludf.DUMMYFUNCTION("""COMPUTED_VALUE"""),950000.0)</f>
        <v>950000</v>
      </c>
      <c r="Q31" s="20" t="str">
        <f>IFERROR(__xludf.DUMMYFUNCTION("""COMPUTED_VALUE"""),"FREE")</f>
        <v>FREE</v>
      </c>
      <c r="R31" s="20">
        <f>IFERROR(__xludf.DUMMYFUNCTION("""COMPUTED_VALUE"""),400000.0)</f>
        <v>400000</v>
      </c>
      <c r="S31" s="20">
        <f>IFERROR(__xludf.DUMMYFUNCTION("""COMPUTED_VALUE"""),700000.0)</f>
        <v>700000</v>
      </c>
      <c r="T31" s="17"/>
      <c r="U31" s="20">
        <f>IFERROR(__xludf.DUMMYFUNCTION("""COMPUTED_VALUE"""),250000.0)</f>
        <v>250000</v>
      </c>
      <c r="V31" s="20" t="str">
        <f>IFERROR(__xludf.DUMMYFUNCTION("""COMPUTED_VALUE"""),"FREE")</f>
        <v>FREE</v>
      </c>
      <c r="W31" s="20" t="str">
        <f>IFERROR(__xludf.DUMMYFUNCTION("""COMPUTED_VALUE"""),"FREE")</f>
        <v>FREE</v>
      </c>
      <c r="X31" s="20">
        <f>IFERROR(__xludf.DUMMYFUNCTION("""COMPUTED_VALUE"""),1200000.0)</f>
        <v>1200000</v>
      </c>
      <c r="Y31" s="17"/>
    </row>
    <row r="32">
      <c r="A32" s="17">
        <f>IFERROR(__xludf.DUMMYFUNCTION("""COMPUTED_VALUE"""),29.0)</f>
        <v>29</v>
      </c>
      <c r="B32" s="18" t="str">
        <f>IFERROR(__xludf.DUMMYFUNCTION("""COMPUTED_VALUE"""),"ulyaslsss__")</f>
        <v>ulyaslsss__</v>
      </c>
      <c r="C32" s="23">
        <f>IFERROR(__xludf.DUMMYFUNCTION("""COMPUTED_VALUE"""),114000.0)</f>
        <v>114000</v>
      </c>
      <c r="D32" s="17" t="str">
        <f>IFERROR(__xludf.DUMMYFUNCTION("""COMPUTED_VALUE"""),"Mid")</f>
        <v>Mid</v>
      </c>
      <c r="E32" s="18" t="str">
        <f>IFERROR(__xludf.DUMMYFUNCTION("""COMPUTED_VALUE"""),"ulyasalsabilaa")</f>
        <v>ulyasalsabilaa</v>
      </c>
      <c r="F32" s="23">
        <f>IFERROR(__xludf.DUMMYFUNCTION("""COMPUTED_VALUE"""),14500.0)</f>
        <v>14500</v>
      </c>
      <c r="G32" s="17" t="str">
        <f>IFERROR(__xludf.DUMMYFUNCTION("""COMPUTED_VALUE"""),"Micro")</f>
        <v>Micro</v>
      </c>
      <c r="H32" s="17" t="str">
        <f>IFERROR(__xludf.DUMMYFUNCTION("""COMPUTED_VALUE"""),"Bandung")</f>
        <v>Bandung</v>
      </c>
      <c r="I32" s="17" t="str">
        <f>IFERROR(__xludf.DUMMYFUNCTION("""COMPUTED_VALUE"""),"- Fashion Wanita
- Lifestyle Female
- Beauty")</f>
        <v>- Fashion Wanita
- Lifestyle Female
- Beauty</v>
      </c>
      <c r="J32" s="20">
        <f>IFERROR(__xludf.DUMMYFUNCTION("""COMPUTED_VALUE"""),100000.0)</f>
        <v>100000</v>
      </c>
      <c r="K32" s="20">
        <f>IFERROR(__xludf.DUMMYFUNCTION("""COMPUTED_VALUE"""),200000.0)</f>
        <v>200000</v>
      </c>
      <c r="L32" s="20">
        <f>IFERROR(__xludf.DUMMYFUNCTION("""COMPUTED_VALUE"""),250000.0)</f>
        <v>250000</v>
      </c>
      <c r="M32" s="20">
        <f>IFERROR(__xludf.DUMMYFUNCTION("""COMPUTED_VALUE"""),100000.0)</f>
        <v>100000</v>
      </c>
      <c r="N32" s="20">
        <f>IFERROR(__xludf.DUMMYFUNCTION("""COMPUTED_VALUE"""),300000.0)</f>
        <v>300000</v>
      </c>
      <c r="O32" s="20">
        <f>IFERROR(__xludf.DUMMYFUNCTION("""COMPUTED_VALUE"""),500000.0)</f>
        <v>500000</v>
      </c>
      <c r="P32" s="20">
        <f>IFERROR(__xludf.DUMMYFUNCTION("""COMPUTED_VALUE"""),700000.0)</f>
        <v>700000</v>
      </c>
      <c r="Q32" s="20" t="str">
        <f>IFERROR(__xludf.DUMMYFUNCTION("""COMPUTED_VALUE"""),"FREE")</f>
        <v>FREE</v>
      </c>
      <c r="R32" s="20">
        <f>IFERROR(__xludf.DUMMYFUNCTION("""COMPUTED_VALUE"""),400000.0)</f>
        <v>400000</v>
      </c>
      <c r="S32" s="20">
        <f>IFERROR(__xludf.DUMMYFUNCTION("""COMPUTED_VALUE"""),700000.0)</f>
        <v>700000</v>
      </c>
      <c r="T32" s="20">
        <f>IFERROR(__xludf.DUMMYFUNCTION("""COMPUTED_VALUE"""),500000.0)</f>
        <v>500000</v>
      </c>
      <c r="U32" s="20">
        <f>IFERROR(__xludf.DUMMYFUNCTION("""COMPUTED_VALUE"""),200000.0)</f>
        <v>200000</v>
      </c>
      <c r="V32" s="20" t="str">
        <f>IFERROR(__xludf.DUMMYFUNCTION("""COMPUTED_VALUE"""),"FREE")</f>
        <v>FREE</v>
      </c>
      <c r="W32" s="20" t="str">
        <f>IFERROR(__xludf.DUMMYFUNCTION("""COMPUTED_VALUE"""),"FREE")</f>
        <v>FREE</v>
      </c>
      <c r="X32" s="17"/>
      <c r="Y32" s="17"/>
    </row>
    <row r="33">
      <c r="A33" s="17">
        <f>IFERROR(__xludf.DUMMYFUNCTION("""COMPUTED_VALUE"""),30.0)</f>
        <v>30</v>
      </c>
      <c r="B33" s="18" t="str">
        <f>IFERROR(__xludf.DUMMYFUNCTION("""COMPUTED_VALUE"""),"mutiarasgt")</f>
        <v>mutiarasgt</v>
      </c>
      <c r="C33" s="23">
        <f>IFERROR(__xludf.DUMMYFUNCTION("""COMPUTED_VALUE"""),107000.0)</f>
        <v>107000</v>
      </c>
      <c r="D33" s="17" t="str">
        <f>IFERROR(__xludf.DUMMYFUNCTION("""COMPUTED_VALUE"""),"Mid")</f>
        <v>Mid</v>
      </c>
      <c r="E33" s="18" t="str">
        <f>IFERROR(__xludf.DUMMYFUNCTION("""COMPUTED_VALUE"""),"mutiarsh")</f>
        <v>mutiarsh</v>
      </c>
      <c r="F33" s="23">
        <f>IFERROR(__xludf.DUMMYFUNCTION("""COMPUTED_VALUE"""),6735.0)</f>
        <v>6735</v>
      </c>
      <c r="G33" s="17" t="str">
        <f>IFERROR(__xludf.DUMMYFUNCTION("""COMPUTED_VALUE"""),"Nano")</f>
        <v>Nano</v>
      </c>
      <c r="H33" s="17" t="str">
        <f>IFERROR(__xludf.DUMMYFUNCTION("""COMPUTED_VALUE"""),"Bekasi")</f>
        <v>Bekasi</v>
      </c>
      <c r="I33" s="17" t="str">
        <f>IFERROR(__xludf.DUMMYFUNCTION("""COMPUTED_VALUE"""),"- Fashion Wanita
- Lifestyle Female
- Beauty")</f>
        <v>- Fashion Wanita
- Lifestyle Female
- Beauty</v>
      </c>
      <c r="J33" s="20">
        <f>IFERROR(__xludf.DUMMYFUNCTION("""COMPUTED_VALUE"""),200000.0)</f>
        <v>200000</v>
      </c>
      <c r="K33" s="20">
        <f>IFERROR(__xludf.DUMMYFUNCTION("""COMPUTED_VALUE"""),300000.0)</f>
        <v>300000</v>
      </c>
      <c r="L33" s="20">
        <f>IFERROR(__xludf.DUMMYFUNCTION("""COMPUTED_VALUE"""),300000.0)</f>
        <v>300000</v>
      </c>
      <c r="M33" s="20" t="str">
        <f>IFERROR(__xludf.DUMMYFUNCTION("""COMPUTED_VALUE"""),"FREE")</f>
        <v>FREE</v>
      </c>
      <c r="N33" s="20">
        <f>IFERROR(__xludf.DUMMYFUNCTION("""COMPUTED_VALUE"""),400000.0)</f>
        <v>400000</v>
      </c>
      <c r="O33" s="20">
        <f>IFERROR(__xludf.DUMMYFUNCTION("""COMPUTED_VALUE"""),450000.0)</f>
        <v>450000</v>
      </c>
      <c r="P33" s="20">
        <f>IFERROR(__xludf.DUMMYFUNCTION("""COMPUTED_VALUE"""),700000.0)</f>
        <v>700000</v>
      </c>
      <c r="Q33" s="20" t="str">
        <f>IFERROR(__xludf.DUMMYFUNCTION("""COMPUTED_VALUE"""),"FREE")</f>
        <v>FREE</v>
      </c>
      <c r="R33" s="20">
        <f>IFERROR(__xludf.DUMMYFUNCTION("""COMPUTED_VALUE"""),500000.0)</f>
        <v>500000</v>
      </c>
      <c r="S33" s="20">
        <f>IFERROR(__xludf.DUMMYFUNCTION("""COMPUTED_VALUE"""),900000.0)</f>
        <v>900000</v>
      </c>
      <c r="T33" s="17"/>
      <c r="U33" s="20" t="str">
        <f>IFERROR(__xludf.DUMMYFUNCTION("""COMPUTED_VALUE"""),"FREE")</f>
        <v>FREE</v>
      </c>
      <c r="V33" s="20" t="str">
        <f>IFERROR(__xludf.DUMMYFUNCTION("""COMPUTED_VALUE"""),"FREE")</f>
        <v>FREE</v>
      </c>
      <c r="W33" s="20" t="str">
        <f>IFERROR(__xludf.DUMMYFUNCTION("""COMPUTED_VALUE"""),"FREE")</f>
        <v>FREE</v>
      </c>
      <c r="X33" s="20">
        <f>IFERROR(__xludf.DUMMYFUNCTION("""COMPUTED_VALUE"""),2000000.0)</f>
        <v>2000000</v>
      </c>
      <c r="Y33" s="17"/>
    </row>
    <row r="34">
      <c r="A34" s="17">
        <f>IFERROR(__xludf.DUMMYFUNCTION("""COMPUTED_VALUE"""),31.0)</f>
        <v>31</v>
      </c>
      <c r="B34" s="18" t="str">
        <f>IFERROR(__xludf.DUMMYFUNCTION("""COMPUTED_VALUE"""),"jessicashainaa")</f>
        <v>jessicashainaa</v>
      </c>
      <c r="C34" s="23">
        <f>IFERROR(__xludf.DUMMYFUNCTION("""COMPUTED_VALUE"""),135000.0)</f>
        <v>135000</v>
      </c>
      <c r="D34" s="17" t="str">
        <f>IFERROR(__xludf.DUMMYFUNCTION("""COMPUTED_VALUE"""),"Mid")</f>
        <v>Mid</v>
      </c>
      <c r="E34" s="18" t="str">
        <f>IFERROR(__xludf.DUMMYFUNCTION("""COMPUTED_VALUE"""),"jessivns")</f>
        <v>jessivns</v>
      </c>
      <c r="F34" s="23">
        <f>IFERROR(__xludf.DUMMYFUNCTION("""COMPUTED_VALUE"""),148500.0)</f>
        <v>148500</v>
      </c>
      <c r="G34" s="17" t="str">
        <f>IFERROR(__xludf.DUMMYFUNCTION("""COMPUTED_VALUE"""),"Mid")</f>
        <v>Mid</v>
      </c>
      <c r="H34" s="17" t="str">
        <f>IFERROR(__xludf.DUMMYFUNCTION("""COMPUTED_VALUE"""),"Jakarta")</f>
        <v>Jakarta</v>
      </c>
      <c r="I34" s="17" t="str">
        <f>IFERROR(__xludf.DUMMYFUNCTION("""COMPUTED_VALUE"""),"- Lifestyle Female
- Actor / Actress")</f>
        <v>- Lifestyle Female
- Actor / Actress</v>
      </c>
      <c r="J34" s="20">
        <f>IFERROR(__xludf.DUMMYFUNCTION("""COMPUTED_VALUE"""),2500000.0)</f>
        <v>2500000</v>
      </c>
      <c r="K34" s="20">
        <f>IFERROR(__xludf.DUMMYFUNCTION("""COMPUTED_VALUE"""),2000000.0)</f>
        <v>2000000</v>
      </c>
      <c r="L34" s="20">
        <f>IFERROR(__xludf.DUMMYFUNCTION("""COMPUTED_VALUE"""),4500000.0)</f>
        <v>4500000</v>
      </c>
      <c r="M34" s="20">
        <f>IFERROR(__xludf.DUMMYFUNCTION("""COMPUTED_VALUE"""),500000.0)</f>
        <v>500000</v>
      </c>
      <c r="N34" s="20">
        <f>IFERROR(__xludf.DUMMYFUNCTION("""COMPUTED_VALUE"""),7000000.0)</f>
        <v>7000000</v>
      </c>
      <c r="O34" s="20">
        <f>IFERROR(__xludf.DUMMYFUNCTION("""COMPUTED_VALUE"""),7000000.0)</f>
        <v>7000000</v>
      </c>
      <c r="P34" s="20">
        <f>IFERROR(__xludf.DUMMYFUNCTION("""COMPUTED_VALUE"""),8000000.0)</f>
        <v>8000000</v>
      </c>
      <c r="Q34" s="21">
        <f>IFERROR(__xludf.DUMMYFUNCTION("""COMPUTED_VALUE"""),0.3)</f>
        <v>0.3</v>
      </c>
      <c r="R34" s="20">
        <f>IFERROR(__xludf.DUMMYFUNCTION("""COMPUTED_VALUE"""),8000000.0)</f>
        <v>8000000</v>
      </c>
      <c r="S34" s="20">
        <f>IFERROR(__xludf.DUMMYFUNCTION("""COMPUTED_VALUE"""),1.2E7)</f>
        <v>12000000</v>
      </c>
      <c r="T34" s="20">
        <f>IFERROR(__xludf.DUMMYFUNCTION("""COMPUTED_VALUE"""),8000000.0)</f>
        <v>8000000</v>
      </c>
      <c r="U34" s="21">
        <f>IFERROR(__xludf.DUMMYFUNCTION("""COMPUTED_VALUE"""),0.5)</f>
        <v>0.5</v>
      </c>
      <c r="V34" s="21">
        <f>IFERROR(__xludf.DUMMYFUNCTION("""COMPUTED_VALUE"""),0.5)</f>
        <v>0.5</v>
      </c>
      <c r="W34" s="20" t="str">
        <f>IFERROR(__xludf.DUMMYFUNCTION("""COMPUTED_VALUE"""),"FREE")</f>
        <v>FREE</v>
      </c>
      <c r="X34" s="20">
        <f>IFERROR(__xludf.DUMMYFUNCTION("""COMPUTED_VALUE"""),5000000.0)</f>
        <v>5000000</v>
      </c>
      <c r="Y34" s="17"/>
    </row>
    <row r="35">
      <c r="A35" s="17">
        <f>IFERROR(__xludf.DUMMYFUNCTION("""COMPUTED_VALUE"""),32.0)</f>
        <v>32</v>
      </c>
      <c r="B35" s="18" t="str">
        <f>IFERROR(__xludf.DUMMYFUNCTION("""COMPUTED_VALUE"""),"sasyaclarissa")</f>
        <v>sasyaclarissa</v>
      </c>
      <c r="C35" s="23">
        <f>IFERROR(__xludf.DUMMYFUNCTION("""COMPUTED_VALUE"""),39300.0)</f>
        <v>39300</v>
      </c>
      <c r="D35" s="17" t="str">
        <f>IFERROR(__xludf.DUMMYFUNCTION("""COMPUTED_VALUE"""),"Micro")</f>
        <v>Micro</v>
      </c>
      <c r="E35" s="18" t="str">
        <f>IFERROR(__xludf.DUMMYFUNCTION("""COMPUTED_VALUE"""),"sasyaclarissa_")</f>
        <v>sasyaclarissa_</v>
      </c>
      <c r="F35" s="23">
        <f>IFERROR(__xludf.DUMMYFUNCTION("""COMPUTED_VALUE"""),118700.0)</f>
        <v>118700</v>
      </c>
      <c r="G35" s="17" t="str">
        <f>IFERROR(__xludf.DUMMYFUNCTION("""COMPUTED_VALUE"""),"Mid")</f>
        <v>Mid</v>
      </c>
      <c r="H35" s="17" t="str">
        <f>IFERROR(__xludf.DUMMYFUNCTION("""COMPUTED_VALUE"""),"Bekasi")</f>
        <v>Bekasi</v>
      </c>
      <c r="I35" s="17" t="str">
        <f>IFERROR(__xludf.DUMMYFUNCTION("""COMPUTED_VALUE"""),"- Lifestyle Female")</f>
        <v>- Lifestyle Female</v>
      </c>
      <c r="J35" s="20">
        <f>IFERROR(__xludf.DUMMYFUNCTION("""COMPUTED_VALUE"""),150000.0)</f>
        <v>150000</v>
      </c>
      <c r="K35" s="20">
        <f>IFERROR(__xludf.DUMMYFUNCTION("""COMPUTED_VALUE"""),250000.0)</f>
        <v>250000</v>
      </c>
      <c r="L35" s="20">
        <f>IFERROR(__xludf.DUMMYFUNCTION("""COMPUTED_VALUE"""),250000.0)</f>
        <v>250000</v>
      </c>
      <c r="M35" s="20" t="str">
        <f>IFERROR(__xludf.DUMMYFUNCTION("""COMPUTED_VALUE"""),"FREE")</f>
        <v>FREE</v>
      </c>
      <c r="N35" s="20">
        <f>IFERROR(__xludf.DUMMYFUNCTION("""COMPUTED_VALUE"""),350000.0)</f>
        <v>350000</v>
      </c>
      <c r="O35" s="20">
        <f>IFERROR(__xludf.DUMMYFUNCTION("""COMPUTED_VALUE"""),450000.0)</f>
        <v>450000</v>
      </c>
      <c r="P35" s="20">
        <f>IFERROR(__xludf.DUMMYFUNCTION("""COMPUTED_VALUE"""),950000.0)</f>
        <v>950000</v>
      </c>
      <c r="Q35" s="20" t="str">
        <f>IFERROR(__xludf.DUMMYFUNCTION("""COMPUTED_VALUE"""),"FREE")</f>
        <v>FREE</v>
      </c>
      <c r="R35" s="20">
        <f>IFERROR(__xludf.DUMMYFUNCTION("""COMPUTED_VALUE"""),900000.0)</f>
        <v>900000</v>
      </c>
      <c r="S35" s="20">
        <f>IFERROR(__xludf.DUMMYFUNCTION("""COMPUTED_VALUE"""),1200000.0)</f>
        <v>1200000</v>
      </c>
      <c r="T35" s="20">
        <f>IFERROR(__xludf.DUMMYFUNCTION("""COMPUTED_VALUE"""),1100000.0)</f>
        <v>1100000</v>
      </c>
      <c r="U35" s="20" t="str">
        <f>IFERROR(__xludf.DUMMYFUNCTION("""COMPUTED_VALUE"""),"FREE")</f>
        <v>FREE</v>
      </c>
      <c r="V35" s="20" t="str">
        <f>IFERROR(__xludf.DUMMYFUNCTION("""COMPUTED_VALUE"""),"FREE")</f>
        <v>FREE</v>
      </c>
      <c r="W35" s="20" t="str">
        <f>IFERROR(__xludf.DUMMYFUNCTION("""COMPUTED_VALUE"""),"FREE")</f>
        <v>FREE</v>
      </c>
      <c r="X35" s="20">
        <f>IFERROR(__xludf.DUMMYFUNCTION("""COMPUTED_VALUE"""),800000.0)</f>
        <v>800000</v>
      </c>
      <c r="Y35" s="17"/>
    </row>
    <row r="36">
      <c r="A36" s="17">
        <f>IFERROR(__xludf.DUMMYFUNCTION("""COMPUTED_VALUE"""),33.0)</f>
        <v>33</v>
      </c>
      <c r="B36" s="18" t="str">
        <f>IFERROR(__xludf.DUMMYFUNCTION("""COMPUTED_VALUE"""),"salmaristiana")</f>
        <v>salmaristiana</v>
      </c>
      <c r="C36" s="23">
        <f>IFERROR(__xludf.DUMMYFUNCTION("""COMPUTED_VALUE"""),39000.0)</f>
        <v>39000</v>
      </c>
      <c r="D36" s="17" t="str">
        <f>IFERROR(__xludf.DUMMYFUNCTION("""COMPUTED_VALUE"""),"Micro")</f>
        <v>Micro</v>
      </c>
      <c r="E36" s="18" t="str">
        <f>IFERROR(__xludf.DUMMYFUNCTION("""COMPUTED_VALUE"""),"salmaaristiana")</f>
        <v>salmaaristiana</v>
      </c>
      <c r="F36" s="19">
        <f>IFERROR(__xludf.DUMMYFUNCTION("""COMPUTED_VALUE"""),2200000.0)</f>
        <v>2200000</v>
      </c>
      <c r="G36" s="17" t="str">
        <f>IFERROR(__xludf.DUMMYFUNCTION("""COMPUTED_VALUE"""),"Mega")</f>
        <v>Mega</v>
      </c>
      <c r="H36" s="17" t="str">
        <f>IFERROR(__xludf.DUMMYFUNCTION("""COMPUTED_VALUE"""),"Bogor")</f>
        <v>Bogor</v>
      </c>
      <c r="I36" s="17" t="str">
        <f>IFERROR(__xludf.DUMMYFUNCTION("""COMPUTED_VALUE"""),"- Lifestyle Female
- Comedy")</f>
        <v>- Lifestyle Female
- Comedy</v>
      </c>
      <c r="J36" s="20">
        <f>IFERROR(__xludf.DUMMYFUNCTION("""COMPUTED_VALUE"""),200000.0)</f>
        <v>200000</v>
      </c>
      <c r="K36" s="20">
        <f>IFERROR(__xludf.DUMMYFUNCTION("""COMPUTED_VALUE"""),200000.0)</f>
        <v>200000</v>
      </c>
      <c r="L36" s="20">
        <f>IFERROR(__xludf.DUMMYFUNCTION("""COMPUTED_VALUE"""),500000.0)</f>
        <v>500000</v>
      </c>
      <c r="M36" s="20" t="str">
        <f>IFERROR(__xludf.DUMMYFUNCTION("""COMPUTED_VALUE"""),"FREE")</f>
        <v>FREE</v>
      </c>
      <c r="N36" s="20">
        <f>IFERROR(__xludf.DUMMYFUNCTION("""COMPUTED_VALUE"""),800000.0)</f>
        <v>800000</v>
      </c>
      <c r="O36" s="20">
        <f>IFERROR(__xludf.DUMMYFUNCTION("""COMPUTED_VALUE"""),1000000.0)</f>
        <v>1000000</v>
      </c>
      <c r="P36" s="20">
        <f>IFERROR(__xludf.DUMMYFUNCTION("""COMPUTED_VALUE"""),1500000.0)</f>
        <v>1500000</v>
      </c>
      <c r="Q36" s="20" t="str">
        <f>IFERROR(__xludf.DUMMYFUNCTION("""COMPUTED_VALUE"""),"FREE")</f>
        <v>FREE</v>
      </c>
      <c r="R36" s="20">
        <f>IFERROR(__xludf.DUMMYFUNCTION("""COMPUTED_VALUE"""),6000000.0)</f>
        <v>6000000</v>
      </c>
      <c r="S36" s="20">
        <f>IFERROR(__xludf.DUMMYFUNCTION("""COMPUTED_VALUE"""),7000000.0)</f>
        <v>7000000</v>
      </c>
      <c r="T36" s="20">
        <f>IFERROR(__xludf.DUMMYFUNCTION("""COMPUTED_VALUE"""),2000000.0)</f>
        <v>2000000</v>
      </c>
      <c r="U36" s="20">
        <f>IFERROR(__xludf.DUMMYFUNCTION("""COMPUTED_VALUE"""),1000000.0)</f>
        <v>1000000</v>
      </c>
      <c r="V36" s="20" t="str">
        <f>IFERROR(__xludf.DUMMYFUNCTION("""COMPUTED_VALUE"""),"FREE")</f>
        <v>FREE</v>
      </c>
      <c r="W36" s="20" t="str">
        <f>IFERROR(__xludf.DUMMYFUNCTION("""COMPUTED_VALUE"""),"FREE")</f>
        <v>FREE</v>
      </c>
      <c r="X36" s="20">
        <f>IFERROR(__xludf.DUMMYFUNCTION("""COMPUTED_VALUE"""),8000000.0)</f>
        <v>8000000</v>
      </c>
      <c r="Y36" s="17"/>
    </row>
    <row r="37">
      <c r="A37" s="17">
        <f>IFERROR(__xludf.DUMMYFUNCTION("""COMPUTED_VALUE"""),34.0)</f>
        <v>34</v>
      </c>
      <c r="B37" s="18" t="str">
        <f>IFERROR(__xludf.DUMMYFUNCTION("""COMPUTED_VALUE"""),"rifaeny0")</f>
        <v>rifaeny0</v>
      </c>
      <c r="C37" s="23">
        <f>IFERROR(__xludf.DUMMYFUNCTION("""COMPUTED_VALUE"""),11500.0)</f>
        <v>11500</v>
      </c>
      <c r="D37" s="17" t="str">
        <f>IFERROR(__xludf.DUMMYFUNCTION("""COMPUTED_VALUE"""),"Micro")</f>
        <v>Micro</v>
      </c>
      <c r="E37" s="18" t="str">
        <f>IFERROR(__xludf.DUMMYFUNCTION("""COMPUTED_VALUE"""),"rifani665")</f>
        <v>rifani665</v>
      </c>
      <c r="F37" s="23">
        <f>IFERROR(__xludf.DUMMYFUNCTION("""COMPUTED_VALUE"""),240800.0)</f>
        <v>240800</v>
      </c>
      <c r="G37" s="17" t="str">
        <f>IFERROR(__xludf.DUMMYFUNCTION("""COMPUTED_VALUE"""),"Mid")</f>
        <v>Mid</v>
      </c>
      <c r="H37" s="17" t="str">
        <f>IFERROR(__xludf.DUMMYFUNCTION("""COMPUTED_VALUE"""),"Jakarta")</f>
        <v>Jakarta</v>
      </c>
      <c r="I37" s="17" t="str">
        <f>IFERROR(__xludf.DUMMYFUNCTION("""COMPUTED_VALUE"""),"- FnB
- Lifestyle Female
- Place review")</f>
        <v>- FnB
- Lifestyle Female
- Place review</v>
      </c>
      <c r="J37" s="20">
        <f>IFERROR(__xludf.DUMMYFUNCTION("""COMPUTED_VALUE"""),200000.0)</f>
        <v>200000</v>
      </c>
      <c r="K37" s="20">
        <f>IFERROR(__xludf.DUMMYFUNCTION("""COMPUTED_VALUE"""),500000.0)</f>
        <v>500000</v>
      </c>
      <c r="L37" s="20">
        <f>IFERROR(__xludf.DUMMYFUNCTION("""COMPUTED_VALUE"""),1300000.0)</f>
        <v>1300000</v>
      </c>
      <c r="M37" s="20">
        <f>IFERROR(__xludf.DUMMYFUNCTION("""COMPUTED_VALUE"""),200000.0)</f>
        <v>200000</v>
      </c>
      <c r="N37" s="20">
        <f>IFERROR(__xludf.DUMMYFUNCTION("""COMPUTED_VALUE"""),1500000.0)</f>
        <v>1500000</v>
      </c>
      <c r="O37" s="20">
        <f>IFERROR(__xludf.DUMMYFUNCTION("""COMPUTED_VALUE"""),1500000.0)</f>
        <v>1500000</v>
      </c>
      <c r="P37" s="20">
        <f>IFERROR(__xludf.DUMMYFUNCTION("""COMPUTED_VALUE"""),2000000.0)</f>
        <v>2000000</v>
      </c>
      <c r="Q37" s="20" t="str">
        <f>IFERROR(__xludf.DUMMYFUNCTION("""COMPUTED_VALUE"""),"FREE")</f>
        <v>FREE</v>
      </c>
      <c r="R37" s="20">
        <f>IFERROR(__xludf.DUMMYFUNCTION("""COMPUTED_VALUE"""),3500000.0)</f>
        <v>3500000</v>
      </c>
      <c r="S37" s="20">
        <f>IFERROR(__xludf.DUMMYFUNCTION("""COMPUTED_VALUE"""),4200000.0)</f>
        <v>4200000</v>
      </c>
      <c r="T37" s="20">
        <f>IFERROR(__xludf.DUMMYFUNCTION("""COMPUTED_VALUE"""),5000000.0)</f>
        <v>5000000</v>
      </c>
      <c r="U37" s="21">
        <f>IFERROR(__xludf.DUMMYFUNCTION("""COMPUTED_VALUE"""),1.0)</f>
        <v>1</v>
      </c>
      <c r="V37" s="21">
        <f>IFERROR(__xludf.DUMMYFUNCTION("""COMPUTED_VALUE"""),0.3)</f>
        <v>0.3</v>
      </c>
      <c r="W37" s="20">
        <f>IFERROR(__xludf.DUMMYFUNCTION("""COMPUTED_VALUE"""),500000.0)</f>
        <v>500000</v>
      </c>
      <c r="X37" s="20">
        <f>IFERROR(__xludf.DUMMYFUNCTION("""COMPUTED_VALUE"""),1000000.0)</f>
        <v>1000000</v>
      </c>
      <c r="Y37" s="17"/>
    </row>
    <row r="38">
      <c r="A38" s="17">
        <f>IFERROR(__xludf.DUMMYFUNCTION("""COMPUTED_VALUE"""),35.0)</f>
        <v>35</v>
      </c>
      <c r="B38" s="17" t="str">
        <f>IFERROR(__xludf.DUMMYFUNCTION("""COMPUTED_VALUE"""),"TikTok Only")</f>
        <v>TikTok Only</v>
      </c>
      <c r="C38" s="17"/>
      <c r="D38" s="17"/>
      <c r="E38" s="18" t="str">
        <f>IFERROR(__xludf.DUMMYFUNCTION("""COMPUTED_VALUE"""),"almineta2")</f>
        <v>almineta2</v>
      </c>
      <c r="F38" s="19">
        <f>IFERROR(__xludf.DUMMYFUNCTION("""COMPUTED_VALUE"""),1600000.0)</f>
        <v>1600000</v>
      </c>
      <c r="G38" s="17" t="str">
        <f>IFERROR(__xludf.DUMMYFUNCTION("""COMPUTED_VALUE"""),"Mega")</f>
        <v>Mega</v>
      </c>
      <c r="H38" s="17" t="str">
        <f>IFERROR(__xludf.DUMMYFUNCTION("""COMPUTED_VALUE"""),"Bandung")</f>
        <v>Bandung</v>
      </c>
      <c r="I38" s="17" t="str">
        <f>IFERROR(__xludf.DUMMYFUNCTION("""COMPUTED_VALUE"""),"-Lifestyle Female
- Fashion Wanita
- Beauty")</f>
        <v>-Lifestyle Female
- Fashion Wanita
- Beauty</v>
      </c>
      <c r="J38" s="17"/>
      <c r="K38" s="17"/>
      <c r="L38" s="17"/>
      <c r="M38" s="17"/>
      <c r="N38" s="17"/>
      <c r="O38" s="17"/>
      <c r="P38" s="17"/>
      <c r="Q38" s="17"/>
      <c r="R38" s="20">
        <f>IFERROR(__xludf.DUMMYFUNCTION("""COMPUTED_VALUE"""),1.6E7)</f>
        <v>16000000</v>
      </c>
      <c r="S38" s="17" t="str">
        <f>IFERROR(__xludf.DUMMYFUNCTION("""COMPUTED_VALUE"""),"Rp8,500,000")</f>
        <v>Rp8,500,000</v>
      </c>
      <c r="T38" s="17"/>
      <c r="U38" s="17"/>
      <c r="V38" s="17"/>
      <c r="W38" s="17"/>
      <c r="X38" s="17"/>
      <c r="Y38" s="17"/>
    </row>
    <row r="39">
      <c r="A39" s="17">
        <f>IFERROR(__xludf.DUMMYFUNCTION("""COMPUTED_VALUE"""),36.0)</f>
        <v>36</v>
      </c>
      <c r="B39" s="18" t="str">
        <f>IFERROR(__xludf.DUMMYFUNCTION("""COMPUTED_VALUE"""),"@aaliyah.massaid")</f>
        <v>@aaliyah.massaid</v>
      </c>
      <c r="C39" s="19">
        <f>IFERROR(__xludf.DUMMYFUNCTION("""COMPUTED_VALUE"""),2600000.0)</f>
        <v>2600000</v>
      </c>
      <c r="D39" s="17" t="str">
        <f>IFERROR(__xludf.DUMMYFUNCTION("""COMPUTED_VALUE"""),"Mega")</f>
        <v>Mega</v>
      </c>
      <c r="E39" s="18" t="str">
        <f>IFERROR(__xludf.DUMMYFUNCTION("""COMPUTED_VALUE"""),"@aalmassaid")</f>
        <v>@aalmassaid</v>
      </c>
      <c r="F39" s="23">
        <f>IFERROR(__xludf.DUMMYFUNCTION("""COMPUTED_VALUE"""),705600.0)</f>
        <v>705600</v>
      </c>
      <c r="G39" s="17" t="str">
        <f>IFERROR(__xludf.DUMMYFUNCTION("""COMPUTED_VALUE"""),"Macro")</f>
        <v>Macro</v>
      </c>
      <c r="H39" s="17" t="str">
        <f>IFERROR(__xludf.DUMMYFUNCTION("""COMPUTED_VALUE"""),"Jakarta")</f>
        <v>Jakarta</v>
      </c>
      <c r="I39" s="17" t="str">
        <f>IFERROR(__xludf.DUMMYFUNCTION("""COMPUTED_VALUE"""),"- Lifestyle Female
- Actor/Actress")</f>
        <v>- Lifestyle Female
- Actor/Actress</v>
      </c>
      <c r="J39" s="17"/>
      <c r="K39" s="20">
        <f>IFERROR(__xludf.DUMMYFUNCTION("""COMPUTED_VALUE"""),1.5E7)</f>
        <v>15000000</v>
      </c>
      <c r="L39" s="20">
        <f>IFERROR(__xludf.DUMMYFUNCTION("""COMPUTED_VALUE"""),3.5E7)</f>
        <v>35000000</v>
      </c>
      <c r="M39" s="17"/>
      <c r="N39" s="20">
        <f>IFERROR(__xludf.DUMMYFUNCTION("""COMPUTED_VALUE"""),3.5E7)</f>
        <v>35000000</v>
      </c>
      <c r="O39" s="17"/>
      <c r="P39" s="20">
        <f>IFERROR(__xludf.DUMMYFUNCTION("""COMPUTED_VALUE"""),4.5E7)</f>
        <v>45000000</v>
      </c>
      <c r="Q39" s="17"/>
      <c r="R39" s="20">
        <f>IFERROR(__xludf.DUMMYFUNCTION("""COMPUTED_VALUE"""),3.5E7)</f>
        <v>35000000</v>
      </c>
      <c r="S39" s="17"/>
      <c r="T39" s="20">
        <f>IFERROR(__xludf.DUMMYFUNCTION("""COMPUTED_VALUE"""),4.0E7)</f>
        <v>40000000</v>
      </c>
      <c r="U39" s="17"/>
      <c r="V39" s="17"/>
      <c r="W39" s="17"/>
      <c r="X39" s="20" t="str">
        <f>IFERROR(__xludf.DUMMYFUNCTION("""COMPUTED_VALUE"""),"Rp 50,000,000 - Rp 60,000,000")</f>
        <v>Rp 50,000,000 - Rp 60,000,000</v>
      </c>
      <c r="Y39" s="17"/>
    </row>
    <row r="40">
      <c r="A40" s="17">
        <f>IFERROR(__xludf.DUMMYFUNCTION("""COMPUTED_VALUE"""),37.0)</f>
        <v>37</v>
      </c>
      <c r="B40" s="18" t="str">
        <f>IFERROR(__xludf.DUMMYFUNCTION("""COMPUTED_VALUE"""),"@emyaghnia")</f>
        <v>@emyaghnia</v>
      </c>
      <c r="C40" s="19">
        <f>IFERROR(__xludf.DUMMYFUNCTION("""COMPUTED_VALUE"""),2500000.0)</f>
        <v>2500000</v>
      </c>
      <c r="D40" s="17" t="str">
        <f>IFERROR(__xludf.DUMMYFUNCTION("""COMPUTED_VALUE"""),"Mega")</f>
        <v>Mega</v>
      </c>
      <c r="E40" s="18" t="str">
        <f>IFERROR(__xludf.DUMMYFUNCTION("""COMPUTED_VALUE"""),"@emyaghnia")</f>
        <v>@emyaghnia</v>
      </c>
      <c r="F40" s="19">
        <f>IFERROR(__xludf.DUMMYFUNCTION("""COMPUTED_VALUE"""),2300000.0)</f>
        <v>2300000</v>
      </c>
      <c r="G40" s="17" t="str">
        <f>IFERROR(__xludf.DUMMYFUNCTION("""COMPUTED_VALUE"""),"Mega")</f>
        <v>Mega</v>
      </c>
      <c r="H40" s="17" t="str">
        <f>IFERROR(__xludf.DUMMYFUNCTION("""COMPUTED_VALUE"""),"Bandung")</f>
        <v>Bandung</v>
      </c>
      <c r="I40" s="17" t="str">
        <f>IFERROR(__xludf.DUMMYFUNCTION("""COMPUTED_VALUE"""),"- Lifestyle Female
- Beauty")</f>
        <v>- Lifestyle Female
- Beauty</v>
      </c>
      <c r="J40" s="17"/>
      <c r="K40" s="20">
        <f>IFERROR(__xludf.DUMMYFUNCTION("""COMPUTED_VALUE"""),7000000.0)</f>
        <v>7000000</v>
      </c>
      <c r="L40" s="20">
        <f>IFERROR(__xludf.DUMMYFUNCTION("""COMPUTED_VALUE"""),2.0E7)</f>
        <v>20000000</v>
      </c>
      <c r="M40" s="20" t="str">
        <f>IFERROR(__xludf.DUMMYFUNCTION("""COMPUTED_VALUE"""),"FREE")</f>
        <v>FREE</v>
      </c>
      <c r="N40" s="20">
        <f>IFERROR(__xludf.DUMMYFUNCTION("""COMPUTED_VALUE"""),2.7E7)</f>
        <v>27000000</v>
      </c>
      <c r="O40" s="20">
        <f>IFERROR(__xludf.DUMMYFUNCTION("""COMPUTED_VALUE"""),3.0E7)</f>
        <v>30000000</v>
      </c>
      <c r="P40" s="20">
        <f>IFERROR(__xludf.DUMMYFUNCTION("""COMPUTED_VALUE"""),3.65E7)</f>
        <v>36500000</v>
      </c>
      <c r="Q40" s="20">
        <f>IFERROR(__xludf.DUMMYFUNCTION("""COMPUTED_VALUE"""),5000000.0)</f>
        <v>5000000</v>
      </c>
      <c r="R40" s="20">
        <f>IFERROR(__xludf.DUMMYFUNCTION("""COMPUTED_VALUE"""),3.8E7)</f>
        <v>38000000</v>
      </c>
      <c r="S40" s="20">
        <f>IFERROR(__xludf.DUMMYFUNCTION("""COMPUTED_VALUE"""),4.8E7)</f>
        <v>48000000</v>
      </c>
      <c r="T40" s="20">
        <f>IFERROR(__xludf.DUMMYFUNCTION("""COMPUTED_VALUE"""),5.3E7)</f>
        <v>53000000</v>
      </c>
      <c r="U40" s="21">
        <f>IFERROR(__xludf.DUMMYFUNCTION("""COMPUTED_VALUE"""),1.0)</f>
        <v>1</v>
      </c>
      <c r="V40" s="20">
        <f>IFERROR(__xludf.DUMMYFUNCTION("""COMPUTED_VALUE"""),1.5E7)</f>
        <v>15000000</v>
      </c>
      <c r="W40" s="20">
        <f>IFERROR(__xludf.DUMMYFUNCTION("""COMPUTED_VALUE"""),5000000.0)</f>
        <v>5000000</v>
      </c>
      <c r="X40" s="20">
        <f>IFERROR(__xludf.DUMMYFUNCTION("""COMPUTED_VALUE"""),4.5E7)</f>
        <v>45000000</v>
      </c>
      <c r="Y40" s="17"/>
    </row>
    <row r="41">
      <c r="A41" s="17">
        <f>IFERROR(__xludf.DUMMYFUNCTION("""COMPUTED_VALUE"""),38.0)</f>
        <v>38</v>
      </c>
      <c r="B41" s="18" t="str">
        <f>IFERROR(__xludf.DUMMYFUNCTION("""COMPUTED_VALUE"""),"@gabybsaputra")</f>
        <v>@gabybsaputra</v>
      </c>
      <c r="C41" s="23">
        <f>IFERROR(__xludf.DUMMYFUNCTION("""COMPUTED_VALUE"""),129000.0)</f>
        <v>129000</v>
      </c>
      <c r="D41" s="17" t="str">
        <f>IFERROR(__xludf.DUMMYFUNCTION("""COMPUTED_VALUE"""),"Mid")</f>
        <v>Mid</v>
      </c>
      <c r="E41" s="18" t="str">
        <f>IFERROR(__xludf.DUMMYFUNCTION("""COMPUTED_VALUE"""),"@gabybsaputraa")</f>
        <v>@gabybsaputraa</v>
      </c>
      <c r="F41" s="23">
        <f>IFERROR(__xludf.DUMMYFUNCTION("""COMPUTED_VALUE"""),166400.0)</f>
        <v>166400</v>
      </c>
      <c r="G41" s="17" t="str">
        <f>IFERROR(__xludf.DUMMYFUNCTION("""COMPUTED_VALUE"""),"Mid")</f>
        <v>Mid</v>
      </c>
      <c r="H41" s="17" t="str">
        <f>IFERROR(__xludf.DUMMYFUNCTION("""COMPUTED_VALUE"""),"Bekasi")</f>
        <v>Bekasi</v>
      </c>
      <c r="I41" s="17" t="str">
        <f>IFERROR(__xludf.DUMMYFUNCTION("""COMPUTED_VALUE"""),"- Beauty 
- Lifestyle Female")</f>
        <v>- Beauty 
- Lifestyle Female</v>
      </c>
      <c r="J41" s="17"/>
      <c r="K41" s="20">
        <f>IFERROR(__xludf.DUMMYFUNCTION("""COMPUTED_VALUE"""),4000000.0)</f>
        <v>4000000</v>
      </c>
      <c r="L41" s="20">
        <f>IFERROR(__xludf.DUMMYFUNCTION("""COMPUTED_VALUE"""),6000000.0)</f>
        <v>6000000</v>
      </c>
      <c r="M41" s="20" t="str">
        <f>IFERROR(__xludf.DUMMYFUNCTION("""COMPUTED_VALUE"""),"FREE")</f>
        <v>FREE</v>
      </c>
      <c r="N41" s="20">
        <f>IFERROR(__xludf.DUMMYFUNCTION("""COMPUTED_VALUE"""),4500000.0)</f>
        <v>4500000</v>
      </c>
      <c r="O41" s="20">
        <f>IFERROR(__xludf.DUMMYFUNCTION("""COMPUTED_VALUE"""),5500000.0)</f>
        <v>5500000</v>
      </c>
      <c r="P41" s="20">
        <f>IFERROR(__xludf.DUMMYFUNCTION("""COMPUTED_VALUE"""),1.2E7)</f>
        <v>12000000</v>
      </c>
      <c r="Q41" s="20">
        <f>IFERROR(__xludf.DUMMYFUNCTION("""COMPUTED_VALUE"""),3000000.0)</f>
        <v>3000000</v>
      </c>
      <c r="R41" s="20">
        <f>IFERROR(__xludf.DUMMYFUNCTION("""COMPUTED_VALUE"""),1.2E7)</f>
        <v>12000000</v>
      </c>
      <c r="S41" s="20">
        <f>IFERROR(__xludf.DUMMYFUNCTION("""COMPUTED_VALUE"""),5500000.0)</f>
        <v>5500000</v>
      </c>
      <c r="T41" s="17"/>
      <c r="U41" s="21">
        <f>IFERROR(__xludf.DUMMYFUNCTION("""COMPUTED_VALUE"""),1.0)</f>
        <v>1</v>
      </c>
      <c r="V41" s="20" t="str">
        <f>IFERROR(__xludf.DUMMYFUNCTION("""COMPUTED_VALUE"""),"FREE")</f>
        <v>FREE</v>
      </c>
      <c r="W41" s="20" t="str">
        <f>IFERROR(__xludf.DUMMYFUNCTION("""COMPUTED_VALUE"""),"FREE")</f>
        <v>FREE</v>
      </c>
      <c r="X41" s="20" t="str">
        <f>IFERROR(__xludf.DUMMYFUNCTION("""COMPUTED_VALUE"""),"Jadetabek : Rp7,000,000")</f>
        <v>Jadetabek : Rp7,000,000</v>
      </c>
      <c r="Y41" s="17"/>
    </row>
    <row r="42">
      <c r="A42" s="17">
        <f>IFERROR(__xludf.DUMMYFUNCTION("""COMPUTED_VALUE"""),39.0)</f>
        <v>39</v>
      </c>
      <c r="B42" s="18" t="str">
        <f>IFERROR(__xludf.DUMMYFUNCTION("""COMPUTED_VALUE"""),"@abellyc")</f>
        <v>@abellyc</v>
      </c>
      <c r="C42" s="19">
        <f>IFERROR(__xludf.DUMMYFUNCTION("""COMPUTED_VALUE"""),1100000.0)</f>
        <v>1100000</v>
      </c>
      <c r="D42" s="17" t="str">
        <f>IFERROR(__xludf.DUMMYFUNCTION("""COMPUTED_VALUE"""),"Mega")</f>
        <v>Mega</v>
      </c>
      <c r="E42" s="18" t="str">
        <f>IFERROR(__xludf.DUMMYFUNCTION("""COMPUTED_VALUE"""),"@abel_cantika")</f>
        <v>@abel_cantika</v>
      </c>
      <c r="F42" s="23">
        <f>IFERROR(__xludf.DUMMYFUNCTION("""COMPUTED_VALUE"""),237800.0)</f>
        <v>237800</v>
      </c>
      <c r="G42" s="17" t="str">
        <f>IFERROR(__xludf.DUMMYFUNCTION("""COMPUTED_VALUE"""),"Mid")</f>
        <v>Mid</v>
      </c>
      <c r="H42" s="17" t="str">
        <f>IFERROR(__xludf.DUMMYFUNCTION("""COMPUTED_VALUE"""),"Jakarta Timur")</f>
        <v>Jakarta Timur</v>
      </c>
      <c r="I42" s="17" t="str">
        <f>IFERROR(__xludf.DUMMYFUNCTION("""COMPUTED_VALUE"""),"- Beauty 
- Lifestyle Female
- Family")</f>
        <v>- Beauty 
- Lifestyle Female
- Family</v>
      </c>
      <c r="J42" s="17"/>
      <c r="K42" s="20">
        <f>IFERROR(__xludf.DUMMYFUNCTION("""COMPUTED_VALUE"""),1.1E7)</f>
        <v>11000000</v>
      </c>
      <c r="L42" s="20">
        <f>IFERROR(__xludf.DUMMYFUNCTION("""COMPUTED_VALUE"""),4.0E7)</f>
        <v>40000000</v>
      </c>
      <c r="M42" s="20">
        <f>IFERROR(__xludf.DUMMYFUNCTION("""COMPUTED_VALUE"""),700000.0)</f>
        <v>700000</v>
      </c>
      <c r="N42" s="20">
        <f>IFERROR(__xludf.DUMMYFUNCTION("""COMPUTED_VALUE"""),3.0E7)</f>
        <v>30000000</v>
      </c>
      <c r="O42" s="20">
        <f>IFERROR(__xludf.DUMMYFUNCTION("""COMPUTED_VALUE"""),3.3E7)</f>
        <v>33000000</v>
      </c>
      <c r="P42" s="20">
        <f>IFERROR(__xludf.DUMMYFUNCTION("""COMPUTED_VALUE"""),7.5E7)</f>
        <v>75000000</v>
      </c>
      <c r="Q42" s="17"/>
      <c r="R42" s="20">
        <f>IFERROR(__xludf.DUMMYFUNCTION("""COMPUTED_VALUE"""),6.0E7)</f>
        <v>60000000</v>
      </c>
      <c r="S42" s="20">
        <f>IFERROR(__xludf.DUMMYFUNCTION("""COMPUTED_VALUE"""),1.1E8)</f>
        <v>110000000</v>
      </c>
      <c r="T42" s="20">
        <f>IFERROR(__xludf.DUMMYFUNCTION("""COMPUTED_VALUE"""),2.5E7)</f>
        <v>25000000</v>
      </c>
      <c r="U42" s="20" t="str">
        <f>IFERROR(__xludf.DUMMYFUNCTION("""COMPUTED_VALUE"""),"Rp 30,000,000 - Rp70,000,000")</f>
        <v>Rp 30,000,000 - Rp70,000,000</v>
      </c>
      <c r="V42" s="20">
        <f>IFERROR(__xludf.DUMMYFUNCTION("""COMPUTED_VALUE"""),5000000.0)</f>
        <v>5000000</v>
      </c>
      <c r="W42" s="17" t="str">
        <f>IFERROR(__xludf.DUMMYFUNCTION("""COMPUTED_VALUE"""),"+Rp1,500,000")</f>
        <v>+Rp1,500,000</v>
      </c>
      <c r="X42" s="20">
        <f>IFERROR(__xludf.DUMMYFUNCTION("""COMPUTED_VALUE"""),2.7E7)</f>
        <v>27000000</v>
      </c>
      <c r="Y42" s="17"/>
    </row>
    <row r="43">
      <c r="A43" s="17">
        <f>IFERROR(__xludf.DUMMYFUNCTION("""COMPUTED_VALUE"""),40.0)</f>
        <v>40</v>
      </c>
      <c r="B43" s="18" t="str">
        <f>IFERROR(__xludf.DUMMYFUNCTION("""COMPUTED_VALUE"""),"@rucenuenda")</f>
        <v>@rucenuenda</v>
      </c>
      <c r="C43" s="25">
        <f>IFERROR(__xludf.DUMMYFUNCTION("""COMPUTED_VALUE"""),1700000.0)</f>
        <v>1700000</v>
      </c>
      <c r="D43" s="17" t="str">
        <f>IFERROR(__xludf.DUMMYFUNCTION("""COMPUTED_VALUE"""),"Mega")</f>
        <v>Mega</v>
      </c>
      <c r="E43" s="18" t="str">
        <f>IFERROR(__xludf.DUMMYFUNCTION("""COMPUTED_VALUE"""),"@rucenuenda1")</f>
        <v>@rucenuenda1</v>
      </c>
      <c r="F43" s="26">
        <f>IFERROR(__xludf.DUMMYFUNCTION("""COMPUTED_VALUE"""),6500000.0)</f>
        <v>6500000</v>
      </c>
      <c r="G43" s="17" t="str">
        <f>IFERROR(__xludf.DUMMYFUNCTION("""COMPUTED_VALUE"""),"Mega")</f>
        <v>Mega</v>
      </c>
      <c r="H43" s="17" t="str">
        <f>IFERROR(__xludf.DUMMYFUNCTION("""COMPUTED_VALUE"""),"Tangerang")</f>
        <v>Tangerang</v>
      </c>
      <c r="I43" s="17" t="str">
        <f>IFERROR(__xludf.DUMMYFUNCTION("""COMPUTED_VALUE"""),"- Lifestyle Female
- Mom &amp; Kids")</f>
        <v>- Lifestyle Female
- Mom &amp; Kids</v>
      </c>
      <c r="J43" s="20">
        <f>IFERROR(__xludf.DUMMYFUNCTION("""COMPUTED_VALUE"""),1.05E7)</f>
        <v>10500000</v>
      </c>
      <c r="K43" s="20">
        <f>IFERROR(__xludf.DUMMYFUNCTION("""COMPUTED_VALUE"""),1.3E7)</f>
        <v>13000000</v>
      </c>
      <c r="L43" s="20">
        <f>IFERROR(__xludf.DUMMYFUNCTION("""COMPUTED_VALUE"""),2.5E7)</f>
        <v>25000000</v>
      </c>
      <c r="M43" s="20" t="str">
        <f>IFERROR(__xludf.DUMMYFUNCTION("""COMPUTED_VALUE"""),"FREE")</f>
        <v>FREE</v>
      </c>
      <c r="N43" s="20">
        <f>IFERROR(__xludf.DUMMYFUNCTION("""COMPUTED_VALUE"""),3.0E7)</f>
        <v>30000000</v>
      </c>
      <c r="O43" s="20">
        <f>IFERROR(__xludf.DUMMYFUNCTION("""COMPUTED_VALUE"""),3.3E7)</f>
        <v>33000000</v>
      </c>
      <c r="P43" s="20">
        <f>IFERROR(__xludf.DUMMYFUNCTION("""COMPUTED_VALUE"""),3.5E7)</f>
        <v>35000000</v>
      </c>
      <c r="Q43" s="21">
        <f>IFERROR(__xludf.DUMMYFUNCTION("""COMPUTED_VALUE"""),0.3)</f>
        <v>0.3</v>
      </c>
      <c r="R43" s="20">
        <f>IFERROR(__xludf.DUMMYFUNCTION("""COMPUTED_VALUE"""),4.5E7)</f>
        <v>45000000</v>
      </c>
      <c r="S43" s="20">
        <f>IFERROR(__xludf.DUMMYFUNCTION("""COMPUTED_VALUE"""),2.5E7)</f>
        <v>25000000</v>
      </c>
      <c r="T43" s="20">
        <f>IFERROR(__xludf.DUMMYFUNCTION("""COMPUTED_VALUE"""),3.0E7)</f>
        <v>30000000</v>
      </c>
      <c r="U43" s="21">
        <f>IFERROR(__xludf.DUMMYFUNCTION("""COMPUTED_VALUE"""),1.0)</f>
        <v>1</v>
      </c>
      <c r="V43" s="20">
        <f>IFERROR(__xludf.DUMMYFUNCTION("""COMPUTED_VALUE"""),1.0E7)</f>
        <v>10000000</v>
      </c>
      <c r="W43" s="20">
        <f>IFERROR(__xludf.DUMMYFUNCTION("""COMPUTED_VALUE"""),3500000.0)</f>
        <v>3500000</v>
      </c>
      <c r="X43" s="20">
        <f>IFERROR(__xludf.DUMMYFUNCTION("""COMPUTED_VALUE"""),2.0E7)</f>
        <v>20000000</v>
      </c>
      <c r="Y43" s="17"/>
    </row>
    <row r="44">
      <c r="A44" s="17">
        <f>IFERROR(__xludf.DUMMYFUNCTION("""COMPUTED_VALUE"""),41.0)</f>
        <v>41</v>
      </c>
      <c r="B44" s="18" t="str">
        <f>IFERROR(__xludf.DUMMYFUNCTION("""COMPUTED_VALUE"""),"@jenniferchrstie")</f>
        <v>@jenniferchrstie</v>
      </c>
      <c r="C44" s="23">
        <f>IFERROR(__xludf.DUMMYFUNCTION("""COMPUTED_VALUE"""),979000.0)</f>
        <v>979000</v>
      </c>
      <c r="D44" s="17" t="str">
        <f>IFERROR(__xludf.DUMMYFUNCTION("""COMPUTED_VALUE"""),"Macro")</f>
        <v>Macro</v>
      </c>
      <c r="E44" s="18" t="str">
        <f>IFERROR(__xludf.DUMMYFUNCTION("""COMPUTED_VALUE"""),"@jenniferchrstie")</f>
        <v>@jenniferchrstie</v>
      </c>
      <c r="F44" s="19">
        <f>IFERROR(__xludf.DUMMYFUNCTION("""COMPUTED_VALUE"""),2600000.0)</f>
        <v>2600000</v>
      </c>
      <c r="G44" s="17" t="str">
        <f>IFERROR(__xludf.DUMMYFUNCTION("""COMPUTED_VALUE"""),"Mega")</f>
        <v>Mega</v>
      </c>
      <c r="H44" s="17" t="str">
        <f>IFERROR(__xludf.DUMMYFUNCTION("""COMPUTED_VALUE"""),"Jakarta")</f>
        <v>Jakarta</v>
      </c>
      <c r="I44" s="17" t="str">
        <f>IFERROR(__xludf.DUMMYFUNCTION("""COMPUTED_VALUE"""),"- Lifestyle Female 
- Pasutri")</f>
        <v>- Lifestyle Female 
- Pasutri</v>
      </c>
      <c r="J44" s="17"/>
      <c r="K44" s="20">
        <f>IFERROR(__xludf.DUMMYFUNCTION("""COMPUTED_VALUE"""),2.0E7)</f>
        <v>20000000</v>
      </c>
      <c r="L44" s="20">
        <f>IFERROR(__xludf.DUMMYFUNCTION("""COMPUTED_VALUE"""),2.2E7)</f>
        <v>22000000</v>
      </c>
      <c r="M44" s="20">
        <f>IFERROR(__xludf.DUMMYFUNCTION("""COMPUTED_VALUE"""),2000000.0)</f>
        <v>2000000</v>
      </c>
      <c r="N44" s="20">
        <f>IFERROR(__xludf.DUMMYFUNCTION("""COMPUTED_VALUE"""),2.5E7)</f>
        <v>25000000</v>
      </c>
      <c r="O44" s="20">
        <f>IFERROR(__xludf.DUMMYFUNCTION("""COMPUTED_VALUE"""),2.5E7)</f>
        <v>25000000</v>
      </c>
      <c r="P44" s="20">
        <f>IFERROR(__xludf.DUMMYFUNCTION("""COMPUTED_VALUE"""),3.0E7)</f>
        <v>30000000</v>
      </c>
      <c r="Q44" s="20">
        <f>IFERROR(__xludf.DUMMYFUNCTION("""COMPUTED_VALUE"""),1.0E7)</f>
        <v>10000000</v>
      </c>
      <c r="R44" s="20">
        <f>IFERROR(__xludf.DUMMYFUNCTION("""COMPUTED_VALUE"""),3.3E7)</f>
        <v>33000000</v>
      </c>
      <c r="S44" s="20">
        <f>IFERROR(__xludf.DUMMYFUNCTION("""COMPUTED_VALUE"""),1.0E7)</f>
        <v>10000000</v>
      </c>
      <c r="T44" s="20">
        <f>IFERROR(__xludf.DUMMYFUNCTION("""COMPUTED_VALUE"""),1.5E7)</f>
        <v>15000000</v>
      </c>
      <c r="U44" s="21">
        <f>IFERROR(__xludf.DUMMYFUNCTION("""COMPUTED_VALUE"""),0.5)</f>
        <v>0.5</v>
      </c>
      <c r="V44" s="21">
        <f>IFERROR(__xludf.DUMMYFUNCTION("""COMPUTED_VALUE"""),0.2)</f>
        <v>0.2</v>
      </c>
      <c r="W44" s="17"/>
      <c r="X44" s="20">
        <f>IFERROR(__xludf.DUMMYFUNCTION("""COMPUTED_VALUE"""),8000000.0)</f>
        <v>8000000</v>
      </c>
      <c r="Y44" s="17"/>
    </row>
    <row r="45">
      <c r="A45" s="17">
        <f>IFERROR(__xludf.DUMMYFUNCTION("""COMPUTED_VALUE"""),42.0)</f>
        <v>42</v>
      </c>
      <c r="B45" s="18" t="str">
        <f>IFERROR(__xludf.DUMMYFUNCTION("""COMPUTED_VALUE"""),"@kezialetheia")</f>
        <v>@kezialetheia</v>
      </c>
      <c r="C45" s="23">
        <f>IFERROR(__xludf.DUMMYFUNCTION("""COMPUTED_VALUE"""),238000.0)</f>
        <v>238000</v>
      </c>
      <c r="D45" s="17" t="str">
        <f>IFERROR(__xludf.DUMMYFUNCTION("""COMPUTED_VALUE"""),"Mid")</f>
        <v>Mid</v>
      </c>
      <c r="E45" s="18" t="str">
        <f>IFERROR(__xludf.DUMMYFUNCTION("""COMPUTED_VALUE"""),"@keziaaletheia")</f>
        <v>@keziaaletheia</v>
      </c>
      <c r="F45" s="23">
        <f>IFERROR(__xludf.DUMMYFUNCTION("""COMPUTED_VALUE"""),473700.0)</f>
        <v>473700</v>
      </c>
      <c r="G45" s="17" t="str">
        <f>IFERROR(__xludf.DUMMYFUNCTION("""COMPUTED_VALUE"""),"Mid")</f>
        <v>Mid</v>
      </c>
      <c r="H45" s="17" t="str">
        <f>IFERROR(__xludf.DUMMYFUNCTION("""COMPUTED_VALUE"""),"Jakarta Selatan")</f>
        <v>Jakarta Selatan</v>
      </c>
      <c r="I45" s="17" t="str">
        <f>IFERROR(__xludf.DUMMYFUNCTION("""COMPUTED_VALUE"""),"- Lifestyle Female
- Beauty")</f>
        <v>- Lifestyle Female
- Beauty</v>
      </c>
      <c r="J45" s="17"/>
      <c r="K45" s="20">
        <f>IFERROR(__xludf.DUMMYFUNCTION("""COMPUTED_VALUE"""),5000000.0)</f>
        <v>5000000</v>
      </c>
      <c r="L45" s="20">
        <f>IFERROR(__xludf.DUMMYFUNCTION("""COMPUTED_VALUE"""),8000000.0)</f>
        <v>8000000</v>
      </c>
      <c r="M45" s="17"/>
      <c r="N45" s="20">
        <f>IFERROR(__xludf.DUMMYFUNCTION("""COMPUTED_VALUE"""),1.0E7)</f>
        <v>10000000</v>
      </c>
      <c r="O45" s="20">
        <f>IFERROR(__xludf.DUMMYFUNCTION("""COMPUTED_VALUE"""),1.1E7)</f>
        <v>11000000</v>
      </c>
      <c r="P45" s="20">
        <f>IFERROR(__xludf.DUMMYFUNCTION("""COMPUTED_VALUE"""),2.0E7)</f>
        <v>20000000</v>
      </c>
      <c r="Q45" s="17"/>
      <c r="R45" s="20">
        <f>IFERROR(__xludf.DUMMYFUNCTION("""COMPUTED_VALUE"""),2.0E7)</f>
        <v>20000000</v>
      </c>
      <c r="S45" s="17"/>
      <c r="T45" s="20">
        <f>IFERROR(__xludf.DUMMYFUNCTION("""COMPUTED_VALUE"""),2.0E7)</f>
        <v>20000000</v>
      </c>
      <c r="U45" s="17" t="str">
        <f>IFERROR(__xludf.DUMMYFUNCTION("""COMPUTED_VALUE"""),"70% / month")</f>
        <v>70% / month</v>
      </c>
      <c r="V45" s="21">
        <f>IFERROR(__xludf.DUMMYFUNCTION("""COMPUTED_VALUE"""),0.25)</f>
        <v>0.25</v>
      </c>
      <c r="W45" s="21">
        <f>IFERROR(__xludf.DUMMYFUNCTION("""COMPUTED_VALUE"""),0.25)</f>
        <v>0.25</v>
      </c>
      <c r="X45" s="17"/>
      <c r="Y45" s="17"/>
    </row>
    <row r="46">
      <c r="A46" s="17">
        <f>IFERROR(__xludf.DUMMYFUNCTION("""COMPUTED_VALUE"""),43.0)</f>
        <v>43</v>
      </c>
      <c r="B46" s="18" t="str">
        <f>IFERROR(__xludf.DUMMYFUNCTION("""COMPUTED_VALUE"""),"@yourminbite")</f>
        <v>@yourminbite</v>
      </c>
      <c r="C46" s="23">
        <f>IFERROR(__xludf.DUMMYFUNCTION("""COMPUTED_VALUE"""),259000.0)</f>
        <v>259000</v>
      </c>
      <c r="D46" s="17" t="str">
        <f>IFERROR(__xludf.DUMMYFUNCTION("""COMPUTED_VALUE"""),"Mid")</f>
        <v>Mid</v>
      </c>
      <c r="E46" s="18" t="str">
        <f>IFERROR(__xludf.DUMMYFUNCTION("""COMPUTED_VALUE"""),"@yourminbite")</f>
        <v>@yourminbite</v>
      </c>
      <c r="F46" s="19">
        <f>IFERROR(__xludf.DUMMYFUNCTION("""COMPUTED_VALUE"""),1100000.0)</f>
        <v>1100000</v>
      </c>
      <c r="G46" s="17" t="str">
        <f>IFERROR(__xludf.DUMMYFUNCTION("""COMPUTED_VALUE"""),"Mega")</f>
        <v>Mega</v>
      </c>
      <c r="H46" s="17" t="str">
        <f>IFERROR(__xludf.DUMMYFUNCTION("""COMPUTED_VALUE"""),"Jakarta")</f>
        <v>Jakarta</v>
      </c>
      <c r="I46" s="17" t="str">
        <f>IFERROR(__xludf.DUMMYFUNCTION("""COMPUTED_VALUE"""),"- Lifestyle Female
- Comedy")</f>
        <v>- Lifestyle Female
- Comedy</v>
      </c>
      <c r="J46" s="17"/>
      <c r="K46" s="20">
        <f>IFERROR(__xludf.DUMMYFUNCTION("""COMPUTED_VALUE"""),5500000.0)</f>
        <v>5500000</v>
      </c>
      <c r="L46" s="20">
        <f>IFERROR(__xludf.DUMMYFUNCTION("""COMPUTED_VALUE"""),6500000.0)</f>
        <v>6500000</v>
      </c>
      <c r="M46" s="17"/>
      <c r="N46" s="20">
        <f>IFERROR(__xludf.DUMMYFUNCTION("""COMPUTED_VALUE"""),5000000.0)</f>
        <v>5000000</v>
      </c>
      <c r="O46" s="17"/>
      <c r="P46" s="20">
        <f>IFERROR(__xludf.DUMMYFUNCTION("""COMPUTED_VALUE"""),9000000.0)</f>
        <v>9000000</v>
      </c>
      <c r="Q46" s="17"/>
      <c r="R46" s="20">
        <f>IFERROR(__xludf.DUMMYFUNCTION("""COMPUTED_VALUE"""),2.5E7)</f>
        <v>25000000</v>
      </c>
      <c r="S46" s="17"/>
      <c r="T46" s="20">
        <f>IFERROR(__xludf.DUMMYFUNCTION("""COMPUTED_VALUE"""),1.8E7)</f>
        <v>18000000</v>
      </c>
      <c r="U46" s="20" t="str">
        <f>IFERROR(__xludf.DUMMYFUNCTION("""COMPUTED_VALUE"""),"1x rate")</f>
        <v>1x rate</v>
      </c>
      <c r="V46" s="21">
        <f>IFERROR(__xludf.DUMMYFUNCTION("""COMPUTED_VALUE"""),0.3)</f>
        <v>0.3</v>
      </c>
      <c r="W46" s="20">
        <f>IFERROR(__xludf.DUMMYFUNCTION("""COMPUTED_VALUE"""),3500000.0)</f>
        <v>3500000</v>
      </c>
      <c r="X46" s="17"/>
      <c r="Y46" s="17"/>
    </row>
    <row r="47">
      <c r="A47" s="17">
        <f>IFERROR(__xludf.DUMMYFUNCTION("""COMPUTED_VALUE"""),44.0)</f>
        <v>44</v>
      </c>
      <c r="B47" s="18" t="str">
        <f>IFERROR(__xludf.DUMMYFUNCTION("""COMPUTED_VALUE"""),"@reginaaphx")</f>
        <v>@reginaaphx</v>
      </c>
      <c r="C47" s="23">
        <f>IFERROR(__xludf.DUMMYFUNCTION("""COMPUTED_VALUE"""),557000.0)</f>
        <v>557000</v>
      </c>
      <c r="D47" s="17" t="str">
        <f>IFERROR(__xludf.DUMMYFUNCTION("""COMPUTED_VALUE"""),"Macro")</f>
        <v>Macro</v>
      </c>
      <c r="E47" s="18" t="str">
        <f>IFERROR(__xludf.DUMMYFUNCTION("""COMPUTED_VALUE"""),"@reginaphx")</f>
        <v>@reginaphx</v>
      </c>
      <c r="F47" s="23">
        <f>IFERROR(__xludf.DUMMYFUNCTION("""COMPUTED_VALUE"""),683200.0)</f>
        <v>683200</v>
      </c>
      <c r="G47" s="17" t="str">
        <f>IFERROR(__xludf.DUMMYFUNCTION("""COMPUTED_VALUE"""),"Macro")</f>
        <v>Macro</v>
      </c>
      <c r="H47" s="17" t="str">
        <f>IFERROR(__xludf.DUMMYFUNCTION("""COMPUTED_VALUE"""),"Bandung")</f>
        <v>Bandung</v>
      </c>
      <c r="I47" s="17" t="str">
        <f>IFERROR(__xludf.DUMMYFUNCTION("""COMPUTED_VALUE"""),"- Lifestyle Female")</f>
        <v>- Lifestyle Female</v>
      </c>
      <c r="J47" s="20">
        <f>IFERROR(__xludf.DUMMYFUNCTION("""COMPUTED_VALUE"""),3000000.0)</f>
        <v>3000000</v>
      </c>
      <c r="K47" s="20">
        <f>IFERROR(__xludf.DUMMYFUNCTION("""COMPUTED_VALUE"""),5000000.0)</f>
        <v>5000000</v>
      </c>
      <c r="L47" s="20">
        <f>IFERROR(__xludf.DUMMYFUNCTION("""COMPUTED_VALUE"""),1.47E7)</f>
        <v>14700000</v>
      </c>
      <c r="M47" s="20" t="str">
        <f>IFERROR(__xludf.DUMMYFUNCTION("""COMPUTED_VALUE"""),"FREE")</f>
        <v>FREE</v>
      </c>
      <c r="N47" s="20">
        <f>IFERROR(__xludf.DUMMYFUNCTION("""COMPUTED_VALUE"""),7500000.0)</f>
        <v>7500000</v>
      </c>
      <c r="O47" s="20">
        <f>IFERROR(__xludf.DUMMYFUNCTION("""COMPUTED_VALUE"""),1.05E7)</f>
        <v>10500000</v>
      </c>
      <c r="P47" s="20">
        <f>IFERROR(__xludf.DUMMYFUNCTION("""COMPUTED_VALUE"""),1.3E7)</f>
        <v>13000000</v>
      </c>
      <c r="Q47" s="20">
        <f>IFERROR(__xludf.DUMMYFUNCTION("""COMPUTED_VALUE"""),4000000.0)</f>
        <v>4000000</v>
      </c>
      <c r="R47" s="20">
        <f>IFERROR(__xludf.DUMMYFUNCTION("""COMPUTED_VALUE"""),1.2E7)</f>
        <v>12000000</v>
      </c>
      <c r="S47" s="20">
        <f>IFERROR(__xludf.DUMMYFUNCTION("""COMPUTED_VALUE"""),2.45E7)</f>
        <v>24500000</v>
      </c>
      <c r="T47" s="17"/>
      <c r="U47" s="20">
        <f>IFERROR(__xludf.DUMMYFUNCTION("""COMPUTED_VALUE"""),6000000.0)</f>
        <v>6000000</v>
      </c>
      <c r="V47" s="20" t="str">
        <f>IFERROR(__xludf.DUMMYFUNCTION("""COMPUTED_VALUE"""),"Rp3,500,000 (60 days)
Rp5,500,000 (365 days)")</f>
        <v>Rp3,500,000 (60 days)
Rp5,500,000 (365 days)</v>
      </c>
      <c r="W47" s="17"/>
      <c r="X47" s="20">
        <f>IFERROR(__xludf.DUMMYFUNCTION("""COMPUTED_VALUE"""),1.5E7)</f>
        <v>15000000</v>
      </c>
      <c r="Y47" s="17"/>
    </row>
    <row r="48">
      <c r="A48" s="17">
        <f>IFERROR(__xludf.DUMMYFUNCTION("""COMPUTED_VALUE"""),45.0)</f>
        <v>45</v>
      </c>
      <c r="B48" s="18" t="str">
        <f>IFERROR(__xludf.DUMMYFUNCTION("""COMPUTED_VALUE"""),"@rachelvennya")</f>
        <v>@rachelvennya</v>
      </c>
      <c r="C48" s="19">
        <f>IFERROR(__xludf.DUMMYFUNCTION("""COMPUTED_VALUE"""),8300000.0)</f>
        <v>8300000</v>
      </c>
      <c r="D48" s="17" t="str">
        <f>IFERROR(__xludf.DUMMYFUNCTION("""COMPUTED_VALUE"""),"Mega")</f>
        <v>Mega</v>
      </c>
      <c r="E48" s="18" t="str">
        <f>IFERROR(__xludf.DUMMYFUNCTION("""COMPUTED_VALUE"""),"@rachelvennya")</f>
        <v>@rachelvennya</v>
      </c>
      <c r="F48" s="19">
        <f>IFERROR(__xludf.DUMMYFUNCTION("""COMPUTED_VALUE"""),3300000.0)</f>
        <v>3300000</v>
      </c>
      <c r="G48" s="17" t="str">
        <f>IFERROR(__xludf.DUMMYFUNCTION("""COMPUTED_VALUE"""),"Mega")</f>
        <v>Mega</v>
      </c>
      <c r="H48" s="17" t="str">
        <f>IFERROR(__xludf.DUMMYFUNCTION("""COMPUTED_VALUE"""),"Jakarta Selatan")</f>
        <v>Jakarta Selatan</v>
      </c>
      <c r="I48" s="17" t="str">
        <f>IFERROR(__xludf.DUMMYFUNCTION("""COMPUTED_VALUE"""),"-  Lifestyle Female
- Family
- Mom &amp; Kids")</f>
        <v>-  Lifestyle Female
- Family
- Mom &amp; Kids</v>
      </c>
      <c r="J48" s="17"/>
      <c r="K48" s="20">
        <f>IFERROR(__xludf.DUMMYFUNCTION("""COMPUTED_VALUE"""),1.5E7)</f>
        <v>15000000</v>
      </c>
      <c r="L48" s="20">
        <f>IFERROR(__xludf.DUMMYFUNCTION("""COMPUTED_VALUE"""),3.5E7)</f>
        <v>35000000</v>
      </c>
      <c r="M48" s="17"/>
      <c r="N48" s="20">
        <f>IFERROR(__xludf.DUMMYFUNCTION("""COMPUTED_VALUE"""),5.0E7)</f>
        <v>50000000</v>
      </c>
      <c r="O48" s="20">
        <f>IFERROR(__xludf.DUMMYFUNCTION("""COMPUTED_VALUE"""),7.0E7)</f>
        <v>70000000</v>
      </c>
      <c r="P48" s="20">
        <f>IFERROR(__xludf.DUMMYFUNCTION("""COMPUTED_VALUE"""),1.0E8)</f>
        <v>100000000</v>
      </c>
      <c r="Q48" s="17"/>
      <c r="R48" s="20">
        <f>IFERROR(__xludf.DUMMYFUNCTION("""COMPUTED_VALUE"""),1.0E8)</f>
        <v>100000000</v>
      </c>
      <c r="S48" s="17"/>
      <c r="T48" s="20">
        <f>IFERROR(__xludf.DUMMYFUNCTION("""COMPUTED_VALUE"""),1.0E8)</f>
        <v>100000000</v>
      </c>
      <c r="U48" s="17"/>
      <c r="V48" s="17"/>
      <c r="W48" s="17"/>
      <c r="X48" s="17"/>
      <c r="Y48" s="17"/>
    </row>
    <row r="49">
      <c r="A49" s="17">
        <f>IFERROR(__xludf.DUMMYFUNCTION("""COMPUTED_VALUE"""),46.0)</f>
        <v>46</v>
      </c>
      <c r="B49" s="18" t="str">
        <f>IFERROR(__xludf.DUMMYFUNCTION("""COMPUTED_VALUE"""),"shadirafirdausii")</f>
        <v>shadirafirdausii</v>
      </c>
      <c r="C49" s="25">
        <f>IFERROR(__xludf.DUMMYFUNCTION("""COMPUTED_VALUE"""),1800000.0)</f>
        <v>1800000</v>
      </c>
      <c r="D49" s="17" t="str">
        <f>IFERROR(__xludf.DUMMYFUNCTION("""COMPUTED_VALUE"""),"Mega")</f>
        <v>Mega</v>
      </c>
      <c r="E49" s="18" t="str">
        <f>IFERROR(__xludf.DUMMYFUNCTION("""COMPUTED_VALUE"""),"shaturday")</f>
        <v>shaturday</v>
      </c>
      <c r="F49" s="26">
        <f>IFERROR(__xludf.DUMMYFUNCTION("""COMPUTED_VALUE"""),7300000.0)</f>
        <v>7300000</v>
      </c>
      <c r="G49" s="17" t="str">
        <f>IFERROR(__xludf.DUMMYFUNCTION("""COMPUTED_VALUE"""),"Mega")</f>
        <v>Mega</v>
      </c>
      <c r="H49" s="17" t="str">
        <f>IFERROR(__xludf.DUMMYFUNCTION("""COMPUTED_VALUE"""),"Jakarta")</f>
        <v>Jakarta</v>
      </c>
      <c r="I49" s="17" t="str">
        <f>IFERROR(__xludf.DUMMYFUNCTION("""COMPUTED_VALUE"""),"-  Lifestyle Female
- Family
- Mom &amp; Kids")</f>
        <v>-  Lifestyle Female
- Family
- Mom &amp; Kids</v>
      </c>
      <c r="J49" s="17"/>
      <c r="K49" s="20">
        <f>IFERROR(__xludf.DUMMYFUNCTION("""COMPUTED_VALUE"""),1.5E7)</f>
        <v>15000000</v>
      </c>
      <c r="L49" s="20">
        <f>IFERROR(__xludf.DUMMYFUNCTION("""COMPUTED_VALUE"""),2.5E7)</f>
        <v>25000000</v>
      </c>
      <c r="M49" s="20" t="str">
        <f>IFERROR(__xludf.DUMMYFUNCTION("""COMPUTED_VALUE"""),"FREE")</f>
        <v>FREE</v>
      </c>
      <c r="N49" s="20">
        <f>IFERROR(__xludf.DUMMYFUNCTION("""COMPUTED_VALUE"""),2.5E7)</f>
        <v>25000000</v>
      </c>
      <c r="O49" s="17"/>
      <c r="P49" s="20">
        <f>IFERROR(__xludf.DUMMYFUNCTION("""COMPUTED_VALUE"""),5.0E7)</f>
        <v>50000000</v>
      </c>
      <c r="Q49" s="21">
        <f>IFERROR(__xludf.DUMMYFUNCTION("""COMPUTED_VALUE"""),0.5)</f>
        <v>0.5</v>
      </c>
      <c r="R49" s="20">
        <f>IFERROR(__xludf.DUMMYFUNCTION("""COMPUTED_VALUE"""),4.5E7)</f>
        <v>45000000</v>
      </c>
      <c r="S49" s="20">
        <f>IFERROR(__xludf.DUMMYFUNCTION("""COMPUTED_VALUE"""),6.0E7)</f>
        <v>60000000</v>
      </c>
      <c r="T49" s="17"/>
      <c r="U49" s="21">
        <f>IFERROR(__xludf.DUMMYFUNCTION("""COMPUTED_VALUE"""),1.0)</f>
        <v>1</v>
      </c>
      <c r="V49" s="21">
        <f>IFERROR(__xludf.DUMMYFUNCTION("""COMPUTED_VALUE"""),0.3)</f>
        <v>0.3</v>
      </c>
      <c r="W49" s="20">
        <f>IFERROR(__xludf.DUMMYFUNCTION("""COMPUTED_VALUE"""),5000000.0)</f>
        <v>5000000</v>
      </c>
      <c r="X49" s="20">
        <f>IFERROR(__xludf.DUMMYFUNCTION("""COMPUTED_VALUE"""),1.5E7)</f>
        <v>15000000</v>
      </c>
      <c r="Y49" s="17"/>
    </row>
    <row r="50">
      <c r="A50" s="17">
        <f>IFERROR(__xludf.DUMMYFUNCTION("""COMPUTED_VALUE"""),47.0)</f>
        <v>47</v>
      </c>
      <c r="B50" s="18" t="str">
        <f>IFERROR(__xludf.DUMMYFUNCTION("""COMPUTED_VALUE"""),"dewizuhriati")</f>
        <v>dewizuhriati</v>
      </c>
      <c r="C50" s="25">
        <f>IFERROR(__xludf.DUMMYFUNCTION("""COMPUTED_VALUE"""),1400000.0)</f>
        <v>1400000</v>
      </c>
      <c r="D50" s="17" t="str">
        <f>IFERROR(__xludf.DUMMYFUNCTION("""COMPUTED_VALUE"""),"Mega")</f>
        <v>Mega</v>
      </c>
      <c r="E50" s="18" t="str">
        <f>IFERROR(__xludf.DUMMYFUNCTION("""COMPUTED_VALUE"""),"dewizuhriati")</f>
        <v>dewizuhriati</v>
      </c>
      <c r="F50" s="26">
        <f>IFERROR(__xludf.DUMMYFUNCTION("""COMPUTED_VALUE"""),2800000.0)</f>
        <v>2800000</v>
      </c>
      <c r="G50" s="17" t="str">
        <f>IFERROR(__xludf.DUMMYFUNCTION("""COMPUTED_VALUE"""),"Mega")</f>
        <v>Mega</v>
      </c>
      <c r="H50" s="17" t="str">
        <f>IFERROR(__xludf.DUMMYFUNCTION("""COMPUTED_VALUE"""),"Jakarta")</f>
        <v>Jakarta</v>
      </c>
      <c r="I50" s="17" t="str">
        <f>IFERROR(__xludf.DUMMYFUNCTION("""COMPUTED_VALUE"""),"-  Lifestyle Female
- Family
- Mom &amp; Kids")</f>
        <v>-  Lifestyle Female
- Family
- Mom &amp; Kids</v>
      </c>
      <c r="J50" s="17"/>
      <c r="K50" s="20">
        <f>IFERROR(__xludf.DUMMYFUNCTION("""COMPUTED_VALUE"""),5000000.0)</f>
        <v>5000000</v>
      </c>
      <c r="L50" s="17"/>
      <c r="M50" s="20" t="str">
        <f>IFERROR(__xludf.DUMMYFUNCTION("""COMPUTED_VALUE"""),"FREE")</f>
        <v>FREE</v>
      </c>
      <c r="N50" s="20">
        <f>IFERROR(__xludf.DUMMYFUNCTION("""COMPUTED_VALUE"""),4.0E7)</f>
        <v>40000000</v>
      </c>
      <c r="O50" s="17"/>
      <c r="P50" s="20">
        <f>IFERROR(__xludf.DUMMYFUNCTION("""COMPUTED_VALUE"""),5.5E7)</f>
        <v>55000000</v>
      </c>
      <c r="Q50" s="20">
        <f>IFERROR(__xludf.DUMMYFUNCTION("""COMPUTED_VALUE"""),5000000.0)</f>
        <v>5000000</v>
      </c>
      <c r="R50" s="17"/>
      <c r="S50" s="17"/>
      <c r="T50" s="17"/>
      <c r="U50" s="17"/>
      <c r="V50" s="17"/>
      <c r="W50" s="20" t="str">
        <f>IFERROR(__xludf.DUMMYFUNCTION("""COMPUTED_VALUE"""),"FREE")</f>
        <v>FREE</v>
      </c>
      <c r="X50" s="17"/>
      <c r="Y50" s="17"/>
    </row>
    <row r="51">
      <c r="A51" s="17">
        <f>IFERROR(__xludf.DUMMYFUNCTION("""COMPUTED_VALUE"""),48.0)</f>
        <v>48</v>
      </c>
      <c r="B51" s="18" t="str">
        <f>IFERROR(__xludf.DUMMYFUNCTION("""COMPUTED_VALUE"""),"niaghania")</f>
        <v>niaghania</v>
      </c>
      <c r="C51" s="23">
        <f>IFERROR(__xludf.DUMMYFUNCTION("""COMPUTED_VALUE"""),237000.0)</f>
        <v>237000</v>
      </c>
      <c r="D51" s="17" t="str">
        <f>IFERROR(__xludf.DUMMYFUNCTION("""COMPUTED_VALUE"""),"Mid")</f>
        <v>Mid</v>
      </c>
      <c r="E51" s="18" t="str">
        <f>IFERROR(__xludf.DUMMYFUNCTION("""COMPUTED_VALUE"""),"niaghan")</f>
        <v>niaghan</v>
      </c>
      <c r="F51" s="26">
        <f>IFERROR(__xludf.DUMMYFUNCTION("""COMPUTED_VALUE"""),1100000.0)</f>
        <v>1100000</v>
      </c>
      <c r="G51" s="17" t="str">
        <f>IFERROR(__xludf.DUMMYFUNCTION("""COMPUTED_VALUE"""),"Mega")</f>
        <v>Mega</v>
      </c>
      <c r="H51" s="17" t="str">
        <f>IFERROR(__xludf.DUMMYFUNCTION("""COMPUTED_VALUE"""),"Jakarta")</f>
        <v>Jakarta</v>
      </c>
      <c r="I51" s="17" t="str">
        <f>IFERROR(__xludf.DUMMYFUNCTION("""COMPUTED_VALUE"""),"- Lifestyle Female
- Education (tips &amp; trick)")</f>
        <v>- Lifestyle Female
- Education (tips &amp; trick)</v>
      </c>
      <c r="J51" s="17"/>
      <c r="K51" s="20">
        <f>IFERROR(__xludf.DUMMYFUNCTION("""COMPUTED_VALUE"""),3500000.0)</f>
        <v>3500000</v>
      </c>
      <c r="L51" s="20">
        <f>IFERROR(__xludf.DUMMYFUNCTION("""COMPUTED_VALUE"""),6500000.0)</f>
        <v>6500000</v>
      </c>
      <c r="M51" s="20">
        <f>IFERROR(__xludf.DUMMYFUNCTION("""COMPUTED_VALUE"""),1000000.0)</f>
        <v>1000000</v>
      </c>
      <c r="N51" s="20">
        <f>IFERROR(__xludf.DUMMYFUNCTION("""COMPUTED_VALUE"""),6000000.0)</f>
        <v>6000000</v>
      </c>
      <c r="O51" s="20">
        <f>IFERROR(__xludf.DUMMYFUNCTION("""COMPUTED_VALUE"""),7000000.0)</f>
        <v>7000000</v>
      </c>
      <c r="P51" s="20">
        <f>IFERROR(__xludf.DUMMYFUNCTION("""COMPUTED_VALUE"""),1.2E7)</f>
        <v>12000000</v>
      </c>
      <c r="Q51" s="20">
        <f>IFERROR(__xludf.DUMMYFUNCTION("""COMPUTED_VALUE"""),5000000.0)</f>
        <v>5000000</v>
      </c>
      <c r="R51" s="20">
        <f>IFERROR(__xludf.DUMMYFUNCTION("""COMPUTED_VALUE"""),1.4E7)</f>
        <v>14000000</v>
      </c>
      <c r="S51" s="20">
        <f>IFERROR(__xludf.DUMMYFUNCTION("""COMPUTED_VALUE"""),2.0E7)</f>
        <v>20000000</v>
      </c>
      <c r="T51" s="20">
        <f>IFERROR(__xludf.DUMMYFUNCTION("""COMPUTED_VALUE"""),5000000.0)</f>
        <v>5000000</v>
      </c>
      <c r="U51" s="20">
        <f>IFERROR(__xludf.DUMMYFUNCTION("""COMPUTED_VALUE"""),7000000.0)</f>
        <v>7000000</v>
      </c>
      <c r="V51" s="17"/>
      <c r="W51" s="17"/>
      <c r="X51" s="20">
        <f>IFERROR(__xludf.DUMMYFUNCTION("""COMPUTED_VALUE"""),7000000.0)</f>
        <v>7000000</v>
      </c>
      <c r="Y51" s="17"/>
    </row>
    <row r="52">
      <c r="A52" s="17">
        <f>IFERROR(__xludf.DUMMYFUNCTION("""COMPUTED_VALUE"""),49.0)</f>
        <v>49</v>
      </c>
      <c r="B52" s="18" t="str">
        <f>IFERROR(__xludf.DUMMYFUNCTION("""COMPUTED_VALUE"""),"ferra_agustina")</f>
        <v>ferra_agustina</v>
      </c>
      <c r="C52" s="23">
        <f>IFERROR(__xludf.DUMMYFUNCTION("""COMPUTED_VALUE"""),175000.0)</f>
        <v>175000</v>
      </c>
      <c r="D52" s="17" t="str">
        <f>IFERROR(__xludf.DUMMYFUNCTION("""COMPUTED_VALUE"""),"Mid")</f>
        <v>Mid</v>
      </c>
      <c r="E52" s="18" t="str">
        <f>IFERROR(__xludf.DUMMYFUNCTION("""COMPUTED_VALUE"""),"ferraagustina2")</f>
        <v>ferraagustina2</v>
      </c>
      <c r="F52" s="26">
        <f>IFERROR(__xludf.DUMMYFUNCTION("""COMPUTED_VALUE"""),2500000.0)</f>
        <v>2500000</v>
      </c>
      <c r="G52" s="17" t="str">
        <f>IFERROR(__xludf.DUMMYFUNCTION("""COMPUTED_VALUE"""),"Mega")</f>
        <v>Mega</v>
      </c>
      <c r="H52" s="17" t="str">
        <f>IFERROR(__xludf.DUMMYFUNCTION("""COMPUTED_VALUE"""),"Jakarta")</f>
        <v>Jakarta</v>
      </c>
      <c r="I52" s="17" t="str">
        <f>IFERROR(__xludf.DUMMYFUNCTION("""COMPUTED_VALUE"""),"- Lifestyle Female
- Family
- Mom &amp; Kids")</f>
        <v>- Lifestyle Female
- Family
- Mom &amp; Kids</v>
      </c>
      <c r="J52" s="20">
        <f>IFERROR(__xludf.DUMMYFUNCTION("""COMPUTED_VALUE"""),500000.0)</f>
        <v>500000</v>
      </c>
      <c r="K52" s="20">
        <f>IFERROR(__xludf.DUMMYFUNCTION("""COMPUTED_VALUE"""),1000000.0)</f>
        <v>1000000</v>
      </c>
      <c r="L52" s="20">
        <f>IFERROR(__xludf.DUMMYFUNCTION("""COMPUTED_VALUE"""),2500000.0)</f>
        <v>2500000</v>
      </c>
      <c r="M52" s="20">
        <f>IFERROR(__xludf.DUMMYFUNCTION("""COMPUTED_VALUE"""),500000.0)</f>
        <v>500000</v>
      </c>
      <c r="N52" s="20">
        <f>IFERROR(__xludf.DUMMYFUNCTION("""COMPUTED_VALUE"""),7000000.0)</f>
        <v>7000000</v>
      </c>
      <c r="O52" s="20">
        <f>IFERROR(__xludf.DUMMYFUNCTION("""COMPUTED_VALUE"""),8000000.0)</f>
        <v>8000000</v>
      </c>
      <c r="P52" s="20">
        <f>IFERROR(__xludf.DUMMYFUNCTION("""COMPUTED_VALUE"""),1.0E7)</f>
        <v>10000000</v>
      </c>
      <c r="Q52" s="20">
        <f>IFERROR(__xludf.DUMMYFUNCTION("""COMPUTED_VALUE"""),1500000.0)</f>
        <v>1500000</v>
      </c>
      <c r="R52" s="20">
        <f>IFERROR(__xludf.DUMMYFUNCTION("""COMPUTED_VALUE"""),2.5E7)</f>
        <v>25000000</v>
      </c>
      <c r="S52" s="20">
        <f>IFERROR(__xludf.DUMMYFUNCTION("""COMPUTED_VALUE"""),3.0E7)</f>
        <v>30000000</v>
      </c>
      <c r="T52" s="17"/>
      <c r="U52" s="20">
        <f>IFERROR(__xludf.DUMMYFUNCTION("""COMPUTED_VALUE"""),1.25E7)</f>
        <v>12500000</v>
      </c>
      <c r="V52" s="20">
        <f>IFERROR(__xludf.DUMMYFUNCTION("""COMPUTED_VALUE"""),2000000.0)</f>
        <v>2000000</v>
      </c>
      <c r="W52" s="20">
        <f>IFERROR(__xludf.DUMMYFUNCTION("""COMPUTED_VALUE"""),1500000.0)</f>
        <v>1500000</v>
      </c>
      <c r="X52" s="20">
        <f>IFERROR(__xludf.DUMMYFUNCTION("""COMPUTED_VALUE"""),1.0000009E7)</f>
        <v>10000009</v>
      </c>
      <c r="Y52" s="17"/>
    </row>
    <row r="53">
      <c r="A53" s="17">
        <f>IFERROR(__xludf.DUMMYFUNCTION("""COMPUTED_VALUE"""),50.0)</f>
        <v>50</v>
      </c>
      <c r="B53" s="18" t="str">
        <f>IFERROR(__xludf.DUMMYFUNCTION("""COMPUTED_VALUE"""),"galyasgeulis")</f>
        <v>galyasgeulis</v>
      </c>
      <c r="C53" s="25">
        <f>IFERROR(__xludf.DUMMYFUNCTION("""COMPUTED_VALUE"""),1300000.0)</f>
        <v>1300000</v>
      </c>
      <c r="D53" s="17" t="str">
        <f>IFERROR(__xludf.DUMMYFUNCTION("""COMPUTED_VALUE"""),"Mega")</f>
        <v>Mega</v>
      </c>
      <c r="E53" s="18" t="str">
        <f>IFERROR(__xludf.DUMMYFUNCTION("""COMPUTED_VALUE"""),"galyasgeulis")</f>
        <v>galyasgeulis</v>
      </c>
      <c r="F53" s="26">
        <f>IFERROR(__xludf.DUMMYFUNCTION("""COMPUTED_VALUE"""),3300000.0)</f>
        <v>3300000</v>
      </c>
      <c r="G53" s="17" t="str">
        <f>IFERROR(__xludf.DUMMYFUNCTION("""COMPUTED_VALUE"""),"Mega")</f>
        <v>Mega</v>
      </c>
      <c r="H53" s="17" t="str">
        <f>IFERROR(__xludf.DUMMYFUNCTION("""COMPUTED_VALUE"""),"Karawang")</f>
        <v>Karawang</v>
      </c>
      <c r="I53" s="17" t="str">
        <f>IFERROR(__xludf.DUMMYFUNCTION("""COMPUTED_VALUE"""),"- Lifestyle Female
- Family
- Mom &amp; Kids")</f>
        <v>- Lifestyle Female
- Family
- Mom &amp; Kids</v>
      </c>
      <c r="J53" s="20">
        <f>IFERROR(__xludf.DUMMYFUNCTION("""COMPUTED_VALUE"""),3000000.0)</f>
        <v>3000000</v>
      </c>
      <c r="K53" s="20">
        <f>IFERROR(__xludf.DUMMYFUNCTION("""COMPUTED_VALUE"""),6000000.0)</f>
        <v>6000000</v>
      </c>
      <c r="L53" s="17"/>
      <c r="M53" s="20" t="str">
        <f>IFERROR(__xludf.DUMMYFUNCTION("""COMPUTED_VALUE"""),"FREE")</f>
        <v>FREE</v>
      </c>
      <c r="N53" s="20">
        <f>IFERROR(__xludf.DUMMYFUNCTION("""COMPUTED_VALUE"""),7000000.0)</f>
        <v>7000000</v>
      </c>
      <c r="O53" s="17"/>
      <c r="P53" s="20">
        <f>IFERROR(__xludf.DUMMYFUNCTION("""COMPUTED_VALUE"""),1.0E7)</f>
        <v>10000000</v>
      </c>
      <c r="Q53" s="20">
        <f>IFERROR(__xludf.DUMMYFUNCTION("""COMPUTED_VALUE"""),2500000.0)</f>
        <v>2500000</v>
      </c>
      <c r="R53" s="20">
        <f>IFERROR(__xludf.DUMMYFUNCTION("""COMPUTED_VALUE"""),1.5E7)</f>
        <v>15000000</v>
      </c>
      <c r="S53" s="20">
        <f>IFERROR(__xludf.DUMMYFUNCTION("""COMPUTED_VALUE"""),2.0E7)</f>
        <v>20000000</v>
      </c>
      <c r="T53" s="20">
        <f>IFERROR(__xludf.DUMMYFUNCTION("""COMPUTED_VALUE"""),2.0E7)</f>
        <v>20000000</v>
      </c>
      <c r="U53" s="20">
        <f>IFERROR(__xludf.DUMMYFUNCTION("""COMPUTED_VALUE"""),3.0E7)</f>
        <v>30000000</v>
      </c>
      <c r="V53" s="20" t="str">
        <f>IFERROR(__xludf.DUMMYFUNCTION("""COMPUTED_VALUE"""),"FREE")</f>
        <v>FREE</v>
      </c>
      <c r="W53" s="20">
        <f>IFERROR(__xludf.DUMMYFUNCTION("""COMPUTED_VALUE"""),2500000.0)</f>
        <v>2500000</v>
      </c>
      <c r="X53" s="20">
        <f>IFERROR(__xludf.DUMMYFUNCTION("""COMPUTED_VALUE"""),2500000.0)</f>
        <v>2500000</v>
      </c>
      <c r="Y53" s="17"/>
    </row>
    <row r="54">
      <c r="A54" s="17">
        <f>IFERROR(__xludf.DUMMYFUNCTION("""COMPUTED_VALUE"""),51.0)</f>
        <v>51</v>
      </c>
      <c r="B54" s="18" t="str">
        <f>IFERROR(__xludf.DUMMYFUNCTION("""COMPUTED_VALUE"""),"shazhaniaa")</f>
        <v>shazhaniaa</v>
      </c>
      <c r="C54" s="19">
        <f>IFERROR(__xludf.DUMMYFUNCTION("""COMPUTED_VALUE"""),1000000.0)</f>
        <v>1000000</v>
      </c>
      <c r="D54" s="17" t="str">
        <f>IFERROR(__xludf.DUMMYFUNCTION("""COMPUTED_VALUE"""),"Macro")</f>
        <v>Macro</v>
      </c>
      <c r="E54" s="18" t="str">
        <f>IFERROR(__xludf.DUMMYFUNCTION("""COMPUTED_VALUE"""),"_shaz")</f>
        <v>_shaz</v>
      </c>
      <c r="F54" s="19">
        <f>IFERROR(__xludf.DUMMYFUNCTION("""COMPUTED_VALUE"""),1000000.0)</f>
        <v>1000000</v>
      </c>
      <c r="G54" s="17" t="str">
        <f>IFERROR(__xludf.DUMMYFUNCTION("""COMPUTED_VALUE"""),"Macro")</f>
        <v>Macro</v>
      </c>
      <c r="H54" s="17" t="str">
        <f>IFERROR(__xludf.DUMMYFUNCTION("""COMPUTED_VALUE"""),"Jakarta")</f>
        <v>Jakarta</v>
      </c>
      <c r="I54" s="17" t="str">
        <f>IFERROR(__xludf.DUMMYFUNCTION("""COMPUTED_VALUE"""),"- Lifestyle Female
- Beauty
- Pasutri
- Family")</f>
        <v>- Lifestyle Female
- Beauty
- Pasutri
- Family</v>
      </c>
      <c r="J54" s="17"/>
      <c r="K54" s="20">
        <f>IFERROR(__xludf.DUMMYFUNCTION("""COMPUTED_VALUE"""),1.0E7)</f>
        <v>10000000</v>
      </c>
      <c r="L54" s="20">
        <f>IFERROR(__xludf.DUMMYFUNCTION("""COMPUTED_VALUE"""),2.1E7)</f>
        <v>21000000</v>
      </c>
      <c r="M54" s="20" t="str">
        <f>IFERROR(__xludf.DUMMYFUNCTION("""COMPUTED_VALUE"""),"FREE")</f>
        <v>FREE</v>
      </c>
      <c r="N54" s="20">
        <f>IFERROR(__xludf.DUMMYFUNCTION("""COMPUTED_VALUE"""),2.7E7)</f>
        <v>27000000</v>
      </c>
      <c r="O54" s="20">
        <f>IFERROR(__xludf.DUMMYFUNCTION("""COMPUTED_VALUE"""),5000000.0)</f>
        <v>5000000</v>
      </c>
      <c r="P54" s="20" t="str">
        <f>IFERROR(__xludf.DUMMYFUNCTION("""COMPUTED_VALUE"""),"Rp36,000,000
Rp38,000,000 (professional cam)")</f>
        <v>Rp36,000,000
Rp38,000,000 (professional cam)</v>
      </c>
      <c r="Q54" s="20">
        <f>IFERROR(__xludf.DUMMYFUNCTION("""COMPUTED_VALUE"""),8000000.0)</f>
        <v>8000000</v>
      </c>
      <c r="R54" s="20">
        <f>IFERROR(__xludf.DUMMYFUNCTION("""COMPUTED_VALUE"""),3.0E7)</f>
        <v>30000000</v>
      </c>
      <c r="S54" s="20">
        <f>IFERROR(__xludf.DUMMYFUNCTION("""COMPUTED_VALUE"""),5.0E7)</f>
        <v>50000000</v>
      </c>
      <c r="T54" s="20">
        <f>IFERROR(__xludf.DUMMYFUNCTION("""COMPUTED_VALUE"""),3.0E7)</f>
        <v>30000000</v>
      </c>
      <c r="U54" s="21">
        <f>IFERROR(__xludf.DUMMYFUNCTION("""COMPUTED_VALUE"""),0.5)</f>
        <v>0.5</v>
      </c>
      <c r="V54" s="21">
        <f>IFERROR(__xludf.DUMMYFUNCTION("""COMPUTED_VALUE"""),0.35)</f>
        <v>0.35</v>
      </c>
      <c r="W54" s="17"/>
      <c r="X54" s="20" t="str">
        <f>IFERROR(__xludf.DUMMYFUNCTION("""COMPUTED_VALUE"""),"Rp10,000,000 (Jakarta)
Rp12,000,000 (outside Jakarta)
2 hours max")</f>
        <v>Rp10,000,000 (Jakarta)
Rp12,000,000 (outside Jakarta)
2 hours max</v>
      </c>
      <c r="Y54" s="17"/>
    </row>
    <row r="55">
      <c r="A55" s="17">
        <f>IFERROR(__xludf.DUMMYFUNCTION("""COMPUTED_VALUE"""),52.0)</f>
        <v>52</v>
      </c>
      <c r="B55" s="18" t="str">
        <f>IFERROR(__xludf.DUMMYFUNCTION("""COMPUTED_VALUE"""),"jessicaklppr")</f>
        <v>jessicaklppr</v>
      </c>
      <c r="C55" s="23">
        <f>IFERROR(__xludf.DUMMYFUNCTION("""COMPUTED_VALUE"""),101000.0)</f>
        <v>101000</v>
      </c>
      <c r="D55" s="17" t="str">
        <f>IFERROR(__xludf.DUMMYFUNCTION("""COMPUTED_VALUE"""),"Mid")</f>
        <v>Mid</v>
      </c>
      <c r="E55" s="18" t="str">
        <f>IFERROR(__xludf.DUMMYFUNCTION("""COMPUTED_VALUE"""),"jejekaliya")</f>
        <v>jejekaliya</v>
      </c>
      <c r="F55" s="23">
        <f>IFERROR(__xludf.DUMMYFUNCTION("""COMPUTED_VALUE"""),12200.0)</f>
        <v>12200</v>
      </c>
      <c r="G55" s="17" t="str">
        <f>IFERROR(__xludf.DUMMYFUNCTION("""COMPUTED_VALUE"""),"Micro")</f>
        <v>Micro</v>
      </c>
      <c r="H55" s="17" t="str">
        <f>IFERROR(__xludf.DUMMYFUNCTION("""COMPUTED_VALUE"""),"Tangerang")</f>
        <v>Tangerang</v>
      </c>
      <c r="I55" s="17" t="str">
        <f>IFERROR(__xludf.DUMMYFUNCTION("""COMPUTED_VALUE"""),"-  Lifestyle Female")</f>
        <v>-  Lifestyle Female</v>
      </c>
      <c r="J55" s="17"/>
      <c r="K55" s="20">
        <f>IFERROR(__xludf.DUMMYFUNCTION("""COMPUTED_VALUE"""),350000.0)</f>
        <v>350000</v>
      </c>
      <c r="L55" s="20">
        <f>IFERROR(__xludf.DUMMYFUNCTION("""COMPUTED_VALUE"""),750000.0)</f>
        <v>750000</v>
      </c>
      <c r="M55" s="17"/>
      <c r="N55" s="20">
        <f>IFERROR(__xludf.DUMMYFUNCTION("""COMPUTED_VALUE"""),3000000.0)</f>
        <v>3000000</v>
      </c>
      <c r="O55" s="20">
        <f>IFERROR(__xludf.DUMMYFUNCTION("""COMPUTED_VALUE"""),3500000.0)</f>
        <v>3500000</v>
      </c>
      <c r="P55" s="20">
        <f>IFERROR(__xludf.DUMMYFUNCTION("""COMPUTED_VALUE"""),3500000.0)</f>
        <v>3500000</v>
      </c>
      <c r="Q55" s="17"/>
      <c r="R55" s="20">
        <f>IFERROR(__xludf.DUMMYFUNCTION("""COMPUTED_VALUE"""),500000.0)</f>
        <v>500000</v>
      </c>
      <c r="S55" s="17"/>
      <c r="T55" s="17"/>
      <c r="U55" s="17"/>
      <c r="V55" s="17"/>
      <c r="W55" s="17"/>
      <c r="X55" s="20">
        <f>IFERROR(__xludf.DUMMYFUNCTION("""COMPUTED_VALUE"""),1500000.0)</f>
        <v>1500000</v>
      </c>
      <c r="Y55" s="17"/>
    </row>
    <row r="56">
      <c r="A56" s="17">
        <f>IFERROR(__xludf.DUMMYFUNCTION("""COMPUTED_VALUE"""),53.0)</f>
        <v>53</v>
      </c>
      <c r="B56" s="18" t="str">
        <f>IFERROR(__xludf.DUMMYFUNCTION("""COMPUTED_VALUE"""),"tutorialhidub")</f>
        <v>tutorialhidub</v>
      </c>
      <c r="C56" s="23">
        <f>IFERROR(__xludf.DUMMYFUNCTION("""COMPUTED_VALUE"""),416000.0)</f>
        <v>416000</v>
      </c>
      <c r="D56" s="17" t="str">
        <f>IFERROR(__xludf.DUMMYFUNCTION("""COMPUTED_VALUE"""),"Mid")</f>
        <v>Mid</v>
      </c>
      <c r="E56" s="24" t="str">
        <f>IFERROR(__xludf.DUMMYFUNCTION("""COMPUTED_VALUE"""),"aulianuzl")</f>
        <v>aulianuzl</v>
      </c>
      <c r="F56" s="19">
        <f>IFERROR(__xludf.DUMMYFUNCTION("""COMPUTED_VALUE"""),1200000.0)</f>
        <v>1200000</v>
      </c>
      <c r="G56" s="17" t="str">
        <f>IFERROR(__xludf.DUMMYFUNCTION("""COMPUTED_VALUE"""),"Mega")</f>
        <v>Mega</v>
      </c>
      <c r="H56" s="17" t="str">
        <f>IFERROR(__xludf.DUMMYFUNCTION("""COMPUTED_VALUE"""),"Jakarta")</f>
        <v>Jakarta</v>
      </c>
      <c r="I56" s="17" t="str">
        <f>IFERROR(__xludf.DUMMYFUNCTION("""COMPUTED_VALUE"""),"- Lifestyle Female
- Comedy")</f>
        <v>- Lifestyle Female
- Comedy</v>
      </c>
      <c r="J56" s="17"/>
      <c r="K56" s="20">
        <f>IFERROR(__xludf.DUMMYFUNCTION("""COMPUTED_VALUE"""),5000000.0)</f>
        <v>5000000</v>
      </c>
      <c r="L56" s="20">
        <f>IFERROR(__xludf.DUMMYFUNCTION("""COMPUTED_VALUE"""),2.0E7)</f>
        <v>20000000</v>
      </c>
      <c r="M56" s="20">
        <f>IFERROR(__xludf.DUMMYFUNCTION("""COMPUTED_VALUE"""),3000000.0)</f>
        <v>3000000</v>
      </c>
      <c r="N56" s="20">
        <f>IFERROR(__xludf.DUMMYFUNCTION("""COMPUTED_VALUE"""),1.5E7)</f>
        <v>15000000</v>
      </c>
      <c r="O56" s="17"/>
      <c r="P56" s="20">
        <f>IFERROR(__xludf.DUMMYFUNCTION("""COMPUTED_VALUE"""),2.1E7)</f>
        <v>21000000</v>
      </c>
      <c r="Q56" s="20">
        <f>IFERROR(__xludf.DUMMYFUNCTION("""COMPUTED_VALUE"""),1.0E7)</f>
        <v>10000000</v>
      </c>
      <c r="R56" s="20">
        <f>IFERROR(__xludf.DUMMYFUNCTION("""COMPUTED_VALUE"""),3.5E7)</f>
        <v>35000000</v>
      </c>
      <c r="S56" s="20">
        <f>IFERROR(__xludf.DUMMYFUNCTION("""COMPUTED_VALUE"""),2.1E7)</f>
        <v>21000000</v>
      </c>
      <c r="T56" s="20">
        <f>IFERROR(__xludf.DUMMYFUNCTION("""COMPUTED_VALUE"""),3.0E7)</f>
        <v>30000000</v>
      </c>
      <c r="U56" s="17"/>
      <c r="V56" s="17" t="str">
        <f>IFERROR(__xludf.DUMMYFUNCTION("""COMPUTED_VALUE"""),"FREE")</f>
        <v>FREE</v>
      </c>
      <c r="W56" s="20">
        <f>IFERROR(__xludf.DUMMYFUNCTION("""COMPUTED_VALUE"""),3000000.0)</f>
        <v>3000000</v>
      </c>
      <c r="X56" s="20">
        <f>IFERROR(__xludf.DUMMYFUNCTION("""COMPUTED_VALUE"""),1.0E7)</f>
        <v>10000000</v>
      </c>
      <c r="Y56" s="17"/>
    </row>
    <row r="57">
      <c r="A57" s="17">
        <f>IFERROR(__xludf.DUMMYFUNCTION("""COMPUTED_VALUE"""),54.0)</f>
        <v>54</v>
      </c>
      <c r="B57" s="18" t="str">
        <f>IFERROR(__xludf.DUMMYFUNCTION("""COMPUTED_VALUE"""),"meyandjoe_")</f>
        <v>meyandjoe_</v>
      </c>
      <c r="C57" s="23">
        <f>IFERROR(__xludf.DUMMYFUNCTION("""COMPUTED_VALUE"""),116000.0)</f>
        <v>116000</v>
      </c>
      <c r="D57" s="17" t="str">
        <f>IFERROR(__xludf.DUMMYFUNCTION("""COMPUTED_VALUE"""),"Mid")</f>
        <v>Mid</v>
      </c>
      <c r="E57" s="24" t="str">
        <f>IFERROR(__xludf.DUMMYFUNCTION("""COMPUTED_VALUE"""),"meyandjoe")</f>
        <v>meyandjoe</v>
      </c>
      <c r="F57" s="23">
        <f>IFERROR(__xludf.DUMMYFUNCTION("""COMPUTED_VALUE"""),449900.0)</f>
        <v>449900</v>
      </c>
      <c r="G57" s="17" t="str">
        <f>IFERROR(__xludf.DUMMYFUNCTION("""COMPUTED_VALUE"""),"Mid")</f>
        <v>Mid</v>
      </c>
      <c r="H57" s="17" t="str">
        <f>IFERROR(__xludf.DUMMYFUNCTION("""COMPUTED_VALUE"""),"Tangerang")</f>
        <v>Tangerang</v>
      </c>
      <c r="I57" s="17" t="str">
        <f>IFERROR(__xludf.DUMMYFUNCTION("""COMPUTED_VALUE"""),"- Lifestyle Female")</f>
        <v>- Lifestyle Female</v>
      </c>
      <c r="J57" s="17"/>
      <c r="K57" s="20" t="str">
        <f>IFERROR(__xludf.DUMMYFUNCTION("""COMPUTED_VALUE"""),"Rp200,000 (Mey only)
Rp300,000 (Mey &amp; Joe)")</f>
        <v>Rp200,000 (Mey only)
Rp300,000 (Mey &amp; Joe)</v>
      </c>
      <c r="L57" s="20" t="str">
        <f>IFERROR(__xludf.DUMMYFUNCTION("""COMPUTED_VALUE"""),"Rp100,000 (Mey only)
Rp200,000 (Mey &amp; Joe)")</f>
        <v>Rp100,000 (Mey only)
Rp200,000 (Mey &amp; Joe)</v>
      </c>
      <c r="M57" s="20">
        <f>IFERROR(__xludf.DUMMYFUNCTION("""COMPUTED_VALUE"""),50000.0)</f>
        <v>50000</v>
      </c>
      <c r="N57" s="20">
        <f>IFERROR(__xludf.DUMMYFUNCTION("""COMPUTED_VALUE"""),600000.0)</f>
        <v>600000</v>
      </c>
      <c r="O57" s="20">
        <f>IFERROR(__xludf.DUMMYFUNCTION("""COMPUTED_VALUE"""),900000.0)</f>
        <v>900000</v>
      </c>
      <c r="P57" s="20" t="str">
        <f>IFERROR(__xludf.DUMMYFUNCTION("""COMPUTED_VALUE"""),"Rp1,600,000 (Mey only)
Rp2,500,000 (Mey &amp; Joe)")</f>
        <v>Rp1,600,000 (Mey only)
Rp2,500,000 (Mey &amp; Joe)</v>
      </c>
      <c r="Q57" s="20">
        <f>IFERROR(__xludf.DUMMYFUNCTION("""COMPUTED_VALUE"""),300000.0)</f>
        <v>300000</v>
      </c>
      <c r="R57" s="20" t="str">
        <f>IFERROR(__xludf.DUMMYFUNCTION("""COMPUTED_VALUE"""),"Rp1,600,000 (Mey only)
Rp2,500,000 (Mey &amp; Joe)")</f>
        <v>Rp1,600,000 (Mey only)
Rp2,500,000 (Mey &amp; Joe)</v>
      </c>
      <c r="S57" s="17"/>
      <c r="T57" s="17"/>
      <c r="U57" s="21">
        <f>IFERROR(__xludf.DUMMYFUNCTION("""COMPUTED_VALUE"""),1.0)</f>
        <v>1</v>
      </c>
      <c r="V57" s="20">
        <f>IFERROR(__xludf.DUMMYFUNCTION("""COMPUTED_VALUE"""),350000.0)</f>
        <v>350000</v>
      </c>
      <c r="W57" s="20" t="str">
        <f>IFERROR(__xludf.DUMMYFUNCTION("""COMPUTED_VALUE"""),"FREE")</f>
        <v>FREE</v>
      </c>
      <c r="X57" s="17"/>
      <c r="Y57" s="17"/>
    </row>
    <row r="58">
      <c r="A58" s="17">
        <f>IFERROR(__xludf.DUMMYFUNCTION("""COMPUTED_VALUE"""),55.0)</f>
        <v>55</v>
      </c>
      <c r="B58" s="18" t="str">
        <f>IFERROR(__xludf.DUMMYFUNCTION("""COMPUTED_VALUE"""),"sarahtumiwa")</f>
        <v>sarahtumiwa</v>
      </c>
      <c r="C58" s="23">
        <f>IFERROR(__xludf.DUMMYFUNCTION("""COMPUTED_VALUE"""),313000.0)</f>
        <v>313000</v>
      </c>
      <c r="D58" s="17" t="str">
        <f>IFERROR(__xludf.DUMMYFUNCTION("""COMPUTED_VALUE"""),"Mid")</f>
        <v>Mid</v>
      </c>
      <c r="E58" s="24" t="str">
        <f>IFERROR(__xludf.DUMMYFUNCTION("""COMPUTED_VALUE"""),"sarahtumiwa")</f>
        <v>sarahtumiwa</v>
      </c>
      <c r="F58" s="23">
        <f>IFERROR(__xludf.DUMMYFUNCTION("""COMPUTED_VALUE"""),277700.0)</f>
        <v>277700</v>
      </c>
      <c r="G58" s="17" t="str">
        <f>IFERROR(__xludf.DUMMYFUNCTION("""COMPUTED_VALUE"""),"Mid")</f>
        <v>Mid</v>
      </c>
      <c r="H58" s="17" t="str">
        <f>IFERROR(__xludf.DUMMYFUNCTION("""COMPUTED_VALUE"""),"Jakarta")</f>
        <v>Jakarta</v>
      </c>
      <c r="I58" s="17" t="str">
        <f>IFERROR(__xludf.DUMMYFUNCTION("""COMPUTED_VALUE"""),"- Lifestyle Female
- Beauty")</f>
        <v>- Lifestyle Female
- Beauty</v>
      </c>
      <c r="J58" s="17"/>
      <c r="K58" s="20">
        <f>IFERROR(__xludf.DUMMYFUNCTION("""COMPUTED_VALUE"""),8500000.0)</f>
        <v>8500000</v>
      </c>
      <c r="L58" s="20" t="str">
        <f>IFERROR(__xludf.DUMMYFUNCTION("""COMPUTED_VALUE"""),"Rp11,000,000 (Free Link)")</f>
        <v>Rp11,000,000 (Free Link)</v>
      </c>
      <c r="M58" s="17"/>
      <c r="N58" s="20">
        <f>IFERROR(__xludf.DUMMYFUNCTION("""COMPUTED_VALUE"""),1.5E7)</f>
        <v>15000000</v>
      </c>
      <c r="O58" s="17"/>
      <c r="P58" s="20">
        <f>IFERROR(__xludf.DUMMYFUNCTION("""COMPUTED_VALUE"""),2.1E7)</f>
        <v>21000000</v>
      </c>
      <c r="Q58" s="17"/>
      <c r="R58" s="20">
        <f>IFERROR(__xludf.DUMMYFUNCTION("""COMPUTED_VALUE"""),2.1E7)</f>
        <v>21000000</v>
      </c>
      <c r="S58" s="20">
        <f>IFERROR(__xludf.DUMMYFUNCTION("""COMPUTED_VALUE"""),3.5E7)</f>
        <v>35000000</v>
      </c>
      <c r="T58" s="20">
        <f>IFERROR(__xludf.DUMMYFUNCTION("""COMPUTED_VALUE"""),2.0E7)</f>
        <v>20000000</v>
      </c>
      <c r="U58" s="21">
        <f>IFERROR(__xludf.DUMMYFUNCTION("""COMPUTED_VALUE"""),0.5)</f>
        <v>0.5</v>
      </c>
      <c r="V58" s="17"/>
      <c r="W58" s="17"/>
      <c r="X58" s="20">
        <f>IFERROR(__xludf.DUMMYFUNCTION("""COMPUTED_VALUE"""),1.5E7)</f>
        <v>15000000</v>
      </c>
      <c r="Y58" s="17"/>
    </row>
    <row r="59">
      <c r="A59" s="17">
        <f>IFERROR(__xludf.DUMMYFUNCTION("""COMPUTED_VALUE"""),55.0)</f>
        <v>55</v>
      </c>
      <c r="B59" s="18" t="str">
        <f>IFERROR(__xludf.DUMMYFUNCTION("""COMPUTED_VALUE"""),"fahiramira")</f>
        <v>fahiramira</v>
      </c>
      <c r="C59" s="19">
        <f>IFERROR(__xludf.DUMMYFUNCTION("""COMPUTED_VALUE"""),2000000.0)</f>
        <v>2000000</v>
      </c>
      <c r="D59" s="17" t="str">
        <f>IFERROR(__xludf.DUMMYFUNCTION("""COMPUTED_VALUE"""),"Mega")</f>
        <v>Mega</v>
      </c>
      <c r="E59" s="24" t="str">
        <f>IFERROR(__xludf.DUMMYFUNCTION("""COMPUTED_VALUE"""),"fahiramira")</f>
        <v>fahiramira</v>
      </c>
      <c r="F59" s="19">
        <f>IFERROR(__xludf.DUMMYFUNCTION("""COMPUTED_VALUE"""),1.12E7)</f>
        <v>11200000</v>
      </c>
      <c r="G59" s="17" t="str">
        <f>IFERROR(__xludf.DUMMYFUNCTION("""COMPUTED_VALUE"""),"Mega")</f>
        <v>Mega</v>
      </c>
      <c r="H59" s="17" t="str">
        <f>IFERROR(__xludf.DUMMYFUNCTION("""COMPUTED_VALUE"""),"Jakarta")</f>
        <v>Jakarta</v>
      </c>
      <c r="I59" s="17" t="str">
        <f>IFERROR(__xludf.DUMMYFUNCTION("""COMPUTED_VALUE"""),"- Lifestyle Female")</f>
        <v>- Lifestyle Female</v>
      </c>
      <c r="J59" s="17"/>
      <c r="K59" s="20">
        <f>IFERROR(__xludf.DUMMYFUNCTION("""COMPUTED_VALUE"""),1.5E7)</f>
        <v>15000000</v>
      </c>
      <c r="L59" s="20">
        <f>IFERROR(__xludf.DUMMYFUNCTION("""COMPUTED_VALUE"""),2.4E7)</f>
        <v>24000000</v>
      </c>
      <c r="M59" s="20">
        <f>IFERROR(__xludf.DUMMYFUNCTION("""COMPUTED_VALUE"""),1000000.0)</f>
        <v>1000000</v>
      </c>
      <c r="N59" s="20">
        <f>IFERROR(__xludf.DUMMYFUNCTION("""COMPUTED_VALUE"""),2.7E7)</f>
        <v>27000000</v>
      </c>
      <c r="O59" s="17"/>
      <c r="P59" s="20">
        <f>IFERROR(__xludf.DUMMYFUNCTION("""COMPUTED_VALUE"""),4.25E7)</f>
        <v>42500000</v>
      </c>
      <c r="Q59" s="17"/>
      <c r="R59" s="20">
        <f>IFERROR(__xludf.DUMMYFUNCTION("""COMPUTED_VALUE"""),5.5E7)</f>
        <v>55000000</v>
      </c>
      <c r="S59" s="20">
        <f>IFERROR(__xludf.DUMMYFUNCTION("""COMPUTED_VALUE"""),8.0E7)</f>
        <v>80000000</v>
      </c>
      <c r="T59" s="20">
        <f>IFERROR(__xludf.DUMMYFUNCTION("""COMPUTED_VALUE"""),3.0E7)</f>
        <v>30000000</v>
      </c>
      <c r="U59" s="21">
        <f>IFERROR(__xludf.DUMMYFUNCTION("""COMPUTED_VALUE"""),0.5)</f>
        <v>0.5</v>
      </c>
      <c r="V59" s="17"/>
      <c r="W59" s="17"/>
      <c r="X59" s="20">
        <f>IFERROR(__xludf.DUMMYFUNCTION("""COMPUTED_VALUE"""),2.0E7)</f>
        <v>20000000</v>
      </c>
      <c r="Y59" s="17"/>
    </row>
    <row r="60">
      <c r="A60" s="17">
        <f>IFERROR(__xludf.DUMMYFUNCTION("""COMPUTED_VALUE"""),55.0)</f>
        <v>55</v>
      </c>
      <c r="B60" s="18" t="str">
        <f>IFERROR(__xludf.DUMMYFUNCTION("""COMPUTED_VALUE"""),"unadembler")</f>
        <v>unadembler</v>
      </c>
      <c r="C60" s="23">
        <f>IFERROR(__xludf.DUMMYFUNCTION("""COMPUTED_VALUE"""),253000.0)</f>
        <v>253000</v>
      </c>
      <c r="D60" s="17" t="str">
        <f>IFERROR(__xludf.DUMMYFUNCTION("""COMPUTED_VALUE"""),"Mid")</f>
        <v>Mid</v>
      </c>
      <c r="E60" s="24" t="str">
        <f>IFERROR(__xludf.DUMMYFUNCTION("""COMPUTED_VALUE"""),"unadembler25")</f>
        <v>unadembler25</v>
      </c>
      <c r="F60" s="23">
        <f>IFERROR(__xludf.DUMMYFUNCTION("""COMPUTED_VALUE"""),153000.0)</f>
        <v>153000</v>
      </c>
      <c r="G60" s="17" t="str">
        <f>IFERROR(__xludf.DUMMYFUNCTION("""COMPUTED_VALUE"""),"Mid")</f>
        <v>Mid</v>
      </c>
      <c r="H60" s="17" t="str">
        <f>IFERROR(__xludf.DUMMYFUNCTION("""COMPUTED_VALUE"""),"Jakarta")</f>
        <v>Jakarta</v>
      </c>
      <c r="I60" s="17" t="str">
        <f>IFERROR(__xludf.DUMMYFUNCTION("""COMPUTED_VALUE"""),"- Lifestyle Female")</f>
        <v>- Lifestyle Female</v>
      </c>
      <c r="J60" s="17"/>
      <c r="K60" s="20">
        <f>IFERROR(__xludf.DUMMYFUNCTION("""COMPUTED_VALUE"""),4000000.0)</f>
        <v>4000000</v>
      </c>
      <c r="L60" s="20">
        <f>IFERROR(__xludf.DUMMYFUNCTION("""COMPUTED_VALUE"""),7000000.0)</f>
        <v>7000000</v>
      </c>
      <c r="M60" s="20">
        <f>IFERROR(__xludf.DUMMYFUNCTION("""COMPUTED_VALUE"""),1000000.0)</f>
        <v>1000000</v>
      </c>
      <c r="N60" s="20">
        <f>IFERROR(__xludf.DUMMYFUNCTION("""COMPUTED_VALUE"""),8000000.0)</f>
        <v>8000000</v>
      </c>
      <c r="O60" s="17"/>
      <c r="P60" s="20">
        <f>IFERROR(__xludf.DUMMYFUNCTION("""COMPUTED_VALUE"""),1.2E7)</f>
        <v>12000000</v>
      </c>
      <c r="Q60" s="17"/>
      <c r="R60" s="20">
        <f>IFERROR(__xludf.DUMMYFUNCTION("""COMPUTED_VALUE"""),8000000.0)</f>
        <v>8000000</v>
      </c>
      <c r="S60" s="20">
        <f>IFERROR(__xludf.DUMMYFUNCTION("""COMPUTED_VALUE"""),1.7E7)</f>
        <v>17000000</v>
      </c>
      <c r="T60" s="20">
        <f>IFERROR(__xludf.DUMMYFUNCTION("""COMPUTED_VALUE"""),1.5E7)</f>
        <v>15000000</v>
      </c>
      <c r="U60" s="21">
        <f>IFERROR(__xludf.DUMMYFUNCTION("""COMPUTED_VALUE"""),0.5)</f>
        <v>0.5</v>
      </c>
      <c r="V60" s="17"/>
      <c r="W60" s="17"/>
      <c r="X60" s="20">
        <f>IFERROR(__xludf.DUMMYFUNCTION("""COMPUTED_VALUE"""),1.4E7)</f>
        <v>14000000</v>
      </c>
      <c r="Y60" s="17"/>
    </row>
    <row r="61">
      <c r="A61" s="17">
        <f>IFERROR(__xludf.DUMMYFUNCTION("""COMPUTED_VALUE"""),55.0)</f>
        <v>55</v>
      </c>
      <c r="B61" s="18" t="str">
        <f>IFERROR(__xludf.DUMMYFUNCTION("""COMPUTED_VALUE"""),"iranndha")</f>
        <v>iranndha</v>
      </c>
      <c r="C61" s="19">
        <f>IFERROR(__xludf.DUMMYFUNCTION("""COMPUTED_VALUE"""),1600000.0)</f>
        <v>1600000</v>
      </c>
      <c r="D61" s="17" t="str">
        <f>IFERROR(__xludf.DUMMYFUNCTION("""COMPUTED_VALUE"""),"Mega")</f>
        <v>Mega</v>
      </c>
      <c r="E61" s="24" t="str">
        <f>IFERROR(__xludf.DUMMYFUNCTION("""COMPUTED_VALUE"""),"iranandha")</f>
        <v>iranandha</v>
      </c>
      <c r="F61" s="19">
        <f>IFERROR(__xludf.DUMMYFUNCTION("""COMPUTED_VALUE"""),2400000.0)</f>
        <v>2400000</v>
      </c>
      <c r="G61" s="17" t="str">
        <f>IFERROR(__xludf.DUMMYFUNCTION("""COMPUTED_VALUE"""),"Mega")</f>
        <v>Mega</v>
      </c>
      <c r="H61" s="17" t="str">
        <f>IFERROR(__xludf.DUMMYFUNCTION("""COMPUTED_VALUE"""),"Tangerang")</f>
        <v>Tangerang</v>
      </c>
      <c r="I61" s="17" t="str">
        <f>IFERROR(__xludf.DUMMYFUNCTION("""COMPUTED_VALUE"""),"Lifestyle Female")</f>
        <v>Lifestyle Female</v>
      </c>
      <c r="J61" s="17"/>
      <c r="K61" s="20">
        <f>IFERROR(__xludf.DUMMYFUNCTION("""COMPUTED_VALUE"""),1.25E7)</f>
        <v>12500000</v>
      </c>
      <c r="L61" s="20">
        <f>IFERROR(__xludf.DUMMYFUNCTION("""COMPUTED_VALUE"""),2.5E7)</f>
        <v>25000000</v>
      </c>
      <c r="M61" s="17"/>
      <c r="N61" s="20">
        <f>IFERROR(__xludf.DUMMYFUNCTION("""COMPUTED_VALUE"""),2.0E7)</f>
        <v>20000000</v>
      </c>
      <c r="O61" s="17"/>
      <c r="P61" s="20">
        <f>IFERROR(__xludf.DUMMYFUNCTION("""COMPUTED_VALUE"""),4.5E7)</f>
        <v>45000000</v>
      </c>
      <c r="Q61" s="17"/>
      <c r="R61" s="20">
        <f>IFERROR(__xludf.DUMMYFUNCTION("""COMPUTED_VALUE"""),4.5E7)</f>
        <v>45000000</v>
      </c>
      <c r="S61" s="20">
        <f>IFERROR(__xludf.DUMMYFUNCTION("""COMPUTED_VALUE"""),7.0E7)</f>
        <v>70000000</v>
      </c>
      <c r="T61" s="20">
        <f>IFERROR(__xludf.DUMMYFUNCTION("""COMPUTED_VALUE"""),2.0E7)</f>
        <v>20000000</v>
      </c>
      <c r="U61" s="17"/>
      <c r="V61" s="20">
        <f>IFERROR(__xludf.DUMMYFUNCTION("""COMPUTED_VALUE"""),5000000.0)</f>
        <v>5000000</v>
      </c>
      <c r="W61" s="20">
        <f>IFERROR(__xludf.DUMMYFUNCTION("""COMPUTED_VALUE"""),3000000.0)</f>
        <v>3000000</v>
      </c>
      <c r="X61" s="20">
        <f>IFERROR(__xludf.DUMMYFUNCTION("""COMPUTED_VALUE"""),5.5E7)</f>
        <v>55000000</v>
      </c>
      <c r="Y61" s="17"/>
    </row>
    <row r="62">
      <c r="A62" s="17">
        <f>IFERROR(__xludf.DUMMYFUNCTION("""COMPUTED_VALUE"""),55.0)</f>
        <v>55</v>
      </c>
      <c r="B62" s="18" t="str">
        <f>IFERROR(__xludf.DUMMYFUNCTION("""COMPUTED_VALUE"""),"syafira_hdd")</f>
        <v>syafira_hdd</v>
      </c>
      <c r="C62" s="19">
        <f>IFERROR(__xludf.DUMMYFUNCTION("""COMPUTED_VALUE"""),2100000.0)</f>
        <v>2100000</v>
      </c>
      <c r="D62" s="17" t="str">
        <f>IFERROR(__xludf.DUMMYFUNCTION("""COMPUTED_VALUE"""),"Mega")</f>
        <v>Mega</v>
      </c>
      <c r="E62" s="24" t="str">
        <f>IFERROR(__xludf.DUMMYFUNCTION("""COMPUTED_VALUE"""),"ndhiraa07")</f>
        <v>ndhiraa07</v>
      </c>
      <c r="F62" s="19">
        <f>IFERROR(__xludf.DUMMYFUNCTION("""COMPUTED_VALUE"""),9200000.0)</f>
        <v>9200000</v>
      </c>
      <c r="G62" s="17" t="str">
        <f>IFERROR(__xludf.DUMMYFUNCTION("""COMPUTED_VALUE"""),"Mega")</f>
        <v>Mega</v>
      </c>
      <c r="H62" s="17" t="str">
        <f>IFERROR(__xludf.DUMMYFUNCTION("""COMPUTED_VALUE"""),"Tangerang Selatan")</f>
        <v>Tangerang Selatan</v>
      </c>
      <c r="I62" s="17" t="str">
        <f>IFERROR(__xludf.DUMMYFUNCTION("""COMPUTED_VALUE"""),"-  Lifestyle Female
- Family
- Mom &amp; Kids")</f>
        <v>-  Lifestyle Female
- Family
- Mom &amp; Kids</v>
      </c>
      <c r="J62" s="17"/>
      <c r="K62" s="20">
        <f>IFERROR(__xludf.DUMMYFUNCTION("""COMPUTED_VALUE"""),1.5E7)</f>
        <v>15000000</v>
      </c>
      <c r="L62" s="20">
        <f>IFERROR(__xludf.DUMMYFUNCTION("""COMPUTED_VALUE"""),2.7E7)</f>
        <v>27000000</v>
      </c>
      <c r="M62" s="20" t="str">
        <f>IFERROR(__xludf.DUMMYFUNCTION("""COMPUTED_VALUE"""),"FREE")</f>
        <v>FREE</v>
      </c>
      <c r="N62" s="20">
        <f>IFERROR(__xludf.DUMMYFUNCTION("""COMPUTED_VALUE"""),3.0E7)</f>
        <v>30000000</v>
      </c>
      <c r="O62" s="20">
        <f>IFERROR(__xludf.DUMMYFUNCTION("""COMPUTED_VALUE"""),3.1E7)</f>
        <v>31000000</v>
      </c>
      <c r="P62" s="20">
        <f>IFERROR(__xludf.DUMMYFUNCTION("""COMPUTED_VALUE"""),4.0E7)</f>
        <v>40000000</v>
      </c>
      <c r="Q62" s="20">
        <f>IFERROR(__xludf.DUMMYFUNCTION("""COMPUTED_VALUE"""),2.5E7)</f>
        <v>25000000</v>
      </c>
      <c r="R62" s="20">
        <f>IFERROR(__xludf.DUMMYFUNCTION("""COMPUTED_VALUE"""),6.0E7)</f>
        <v>60000000</v>
      </c>
      <c r="S62" s="20">
        <f>IFERROR(__xludf.DUMMYFUNCTION("""COMPUTED_VALUE"""),2.5E7)</f>
        <v>25000000</v>
      </c>
      <c r="T62" s="20">
        <f>IFERROR(__xludf.DUMMYFUNCTION("""COMPUTED_VALUE"""),5.5E7)</f>
        <v>55000000</v>
      </c>
      <c r="U62" s="21">
        <f>IFERROR(__xludf.DUMMYFUNCTION("""COMPUTED_VALUE"""),1.0)</f>
        <v>1</v>
      </c>
      <c r="V62" s="20">
        <f>IFERROR(__xludf.DUMMYFUNCTION("""COMPUTED_VALUE"""),1.5E7)</f>
        <v>15000000</v>
      </c>
      <c r="W62" s="17"/>
      <c r="X62" s="17"/>
      <c r="Y62" s="17"/>
    </row>
    <row r="63">
      <c r="A63" s="17">
        <f>IFERROR(__xludf.DUMMYFUNCTION("""COMPUTED_VALUE"""),55.0)</f>
        <v>55</v>
      </c>
      <c r="B63" s="18" t="str">
        <f>IFERROR(__xludf.DUMMYFUNCTION("""COMPUTED_VALUE"""),"violenziajean")</f>
        <v>violenziajean</v>
      </c>
      <c r="C63" s="19">
        <f>IFERROR(__xludf.DUMMYFUNCTION("""COMPUTED_VALUE"""),1400000.0)</f>
        <v>1400000</v>
      </c>
      <c r="D63" s="17" t="str">
        <f>IFERROR(__xludf.DUMMYFUNCTION("""COMPUTED_VALUE"""),"Mega")</f>
        <v>Mega</v>
      </c>
      <c r="E63" s="24" t="str">
        <f>IFERROR(__xludf.DUMMYFUNCTION("""COMPUTED_VALUE"""),"violenziajeanette")</f>
        <v>violenziajeanette</v>
      </c>
      <c r="F63" s="19">
        <f>IFERROR(__xludf.DUMMYFUNCTION("""COMPUTED_VALUE"""),1500000.0)</f>
        <v>1500000</v>
      </c>
      <c r="G63" s="17" t="str">
        <f>IFERROR(__xludf.DUMMYFUNCTION("""COMPUTED_VALUE"""),"Mega")</f>
        <v>Mega</v>
      </c>
      <c r="H63" s="17" t="str">
        <f>IFERROR(__xludf.DUMMYFUNCTION("""COMPUTED_VALUE"""),"Jakarta")</f>
        <v>Jakarta</v>
      </c>
      <c r="I63" s="17" t="str">
        <f>IFERROR(__xludf.DUMMYFUNCTION("""COMPUTED_VALUE"""),"-  Lifestyle Female
- Mom &amp; Kids")</f>
        <v>-  Lifestyle Female
- Mom &amp; Kids</v>
      </c>
      <c r="J63" s="17"/>
      <c r="K63" s="20">
        <f>IFERROR(__xludf.DUMMYFUNCTION("""COMPUTED_VALUE"""),1.0E7)</f>
        <v>10000000</v>
      </c>
      <c r="L63" s="20">
        <f>IFERROR(__xludf.DUMMYFUNCTION("""COMPUTED_VALUE"""),2.0E7)</f>
        <v>20000000</v>
      </c>
      <c r="M63" s="20" t="str">
        <f>IFERROR(__xludf.DUMMYFUNCTION("""COMPUTED_VALUE"""),"FREE")</f>
        <v>FREE</v>
      </c>
      <c r="N63" s="20">
        <f>IFERROR(__xludf.DUMMYFUNCTION("""COMPUTED_VALUE"""),2.0E7)</f>
        <v>20000000</v>
      </c>
      <c r="O63" s="20">
        <f>IFERROR(__xludf.DUMMYFUNCTION("""COMPUTED_VALUE"""),2.5E7)</f>
        <v>25000000</v>
      </c>
      <c r="P63" s="20">
        <f>IFERROR(__xludf.DUMMYFUNCTION("""COMPUTED_VALUE"""),2.8E7)</f>
        <v>28000000</v>
      </c>
      <c r="Q63" s="20">
        <f>IFERROR(__xludf.DUMMYFUNCTION("""COMPUTED_VALUE"""),5000000.0)</f>
        <v>5000000</v>
      </c>
      <c r="R63" s="20">
        <f>IFERROR(__xludf.DUMMYFUNCTION("""COMPUTED_VALUE"""),2.8E7)</f>
        <v>28000000</v>
      </c>
      <c r="S63" s="17"/>
      <c r="T63" s="20">
        <f>IFERROR(__xludf.DUMMYFUNCTION("""COMPUTED_VALUE"""),3.0E7)</f>
        <v>30000000</v>
      </c>
      <c r="U63" s="17"/>
      <c r="V63" s="17"/>
      <c r="W63" s="20">
        <f>IFERROR(__xludf.DUMMYFUNCTION("""COMPUTED_VALUE"""),3000000.0)</f>
        <v>3000000</v>
      </c>
      <c r="X63" s="17"/>
      <c r="Y63" s="17"/>
    </row>
    <row r="64">
      <c r="A64" s="17">
        <f>IFERROR(__xludf.DUMMYFUNCTION("""COMPUTED_VALUE"""),55.0)</f>
        <v>55</v>
      </c>
      <c r="B64" s="18" t="str">
        <f>IFERROR(__xludf.DUMMYFUNCTION("""COMPUTED_VALUE"""),"ratuaulia22_")</f>
        <v>ratuaulia22_</v>
      </c>
      <c r="C64" s="19">
        <f>IFERROR(__xludf.DUMMYFUNCTION("""COMPUTED_VALUE"""),1900000.0)</f>
        <v>1900000</v>
      </c>
      <c r="D64" s="17" t="str">
        <f>IFERROR(__xludf.DUMMYFUNCTION("""COMPUTED_VALUE"""),"Mega")</f>
        <v>Mega</v>
      </c>
      <c r="E64" s="24" t="str">
        <f>IFERROR(__xludf.DUMMYFUNCTION("""COMPUTED_VALUE"""),"ratuauliaa22")</f>
        <v>ratuauliaa22</v>
      </c>
      <c r="F64" s="19">
        <f>IFERROR(__xludf.DUMMYFUNCTION("""COMPUTED_VALUE"""),1.61E7)</f>
        <v>16100000</v>
      </c>
      <c r="G64" s="17" t="str">
        <f>IFERROR(__xludf.DUMMYFUNCTION("""COMPUTED_VALUE"""),"Mega")</f>
        <v>Mega</v>
      </c>
      <c r="H64" s="17" t="str">
        <f>IFERROR(__xludf.DUMMYFUNCTION("""COMPUTED_VALUE"""),"Jakarta")</f>
        <v>Jakarta</v>
      </c>
      <c r="I64" s="17" t="str">
        <f>IFERROR(__xludf.DUMMYFUNCTION("""COMPUTED_VALUE"""),"Lifestyle Female")</f>
        <v>Lifestyle Female</v>
      </c>
      <c r="J64" s="20">
        <f>IFERROR(__xludf.DUMMYFUNCTION("""COMPUTED_VALUE"""),2500000.0)</f>
        <v>2500000</v>
      </c>
      <c r="K64" s="20">
        <f>IFERROR(__xludf.DUMMYFUNCTION("""COMPUTED_VALUE"""),4000000.0)</f>
        <v>4000000</v>
      </c>
      <c r="L64" s="17"/>
      <c r="M64" s="20">
        <f>IFERROR(__xludf.DUMMYFUNCTION("""COMPUTED_VALUE"""),3000000.0)</f>
        <v>3000000</v>
      </c>
      <c r="N64" s="20">
        <f>IFERROR(__xludf.DUMMYFUNCTION("""COMPUTED_VALUE"""),1.5E7)</f>
        <v>15000000</v>
      </c>
      <c r="O64" s="17"/>
      <c r="P64" s="20">
        <f>IFERROR(__xludf.DUMMYFUNCTION("""COMPUTED_VALUE"""),2.5E7)</f>
        <v>25000000</v>
      </c>
      <c r="Q64" s="17"/>
      <c r="R64" s="20">
        <f>IFERROR(__xludf.DUMMYFUNCTION("""COMPUTED_VALUE"""),3.5E7)</f>
        <v>35000000</v>
      </c>
      <c r="S64" s="17"/>
      <c r="T64" s="17"/>
      <c r="U64" s="17"/>
      <c r="V64" s="17"/>
      <c r="W64" s="20">
        <f>IFERROR(__xludf.DUMMYFUNCTION("""COMPUTED_VALUE"""),3.5E7)</f>
        <v>35000000</v>
      </c>
      <c r="X64" s="17"/>
      <c r="Y64" s="17"/>
    </row>
    <row r="65">
      <c r="A65" s="17">
        <f>IFERROR(__xludf.DUMMYFUNCTION("""COMPUTED_VALUE"""),55.0)</f>
        <v>55</v>
      </c>
      <c r="B65" s="18" t="str">
        <f>IFERROR(__xludf.DUMMYFUNCTION("""COMPUTED_VALUE"""),"clarissaputri_")</f>
        <v>clarissaputri_</v>
      </c>
      <c r="C65" s="19">
        <f>IFERROR(__xludf.DUMMYFUNCTION("""COMPUTED_VALUE"""),1300000.0)</f>
        <v>1300000</v>
      </c>
      <c r="D65" s="20" t="str">
        <f>IFERROR(__xludf.DUMMYFUNCTION("""COMPUTED_VALUE"""),"Mega")</f>
        <v>Mega</v>
      </c>
      <c r="E65" s="24" t="str">
        <f>IFERROR(__xludf.DUMMYFUNCTION("""COMPUTED_VALUE"""),"clarissaputrih")</f>
        <v>clarissaputrih</v>
      </c>
      <c r="F65" s="19">
        <f>IFERROR(__xludf.DUMMYFUNCTION("""COMPUTED_VALUE"""),1400000.0)</f>
        <v>1400000</v>
      </c>
      <c r="G65" s="20" t="str">
        <f>IFERROR(__xludf.DUMMYFUNCTION("""COMPUTED_VALUE"""),"Mega")</f>
        <v>Mega</v>
      </c>
      <c r="H65" s="17" t="str">
        <f>IFERROR(__xludf.DUMMYFUNCTION("""COMPUTED_VALUE"""),"Bekasi")</f>
        <v>Bekasi</v>
      </c>
      <c r="I65" s="17" t="str">
        <f>IFERROR(__xludf.DUMMYFUNCTION("""COMPUTED_VALUE"""),"Lifestyle Female")</f>
        <v>Lifestyle Female</v>
      </c>
      <c r="J65" s="20">
        <f>IFERROR(__xludf.DUMMYFUNCTION("""COMPUTED_VALUE"""),2000000.0)</f>
        <v>2000000</v>
      </c>
      <c r="K65" s="20">
        <f>IFERROR(__xludf.DUMMYFUNCTION("""COMPUTED_VALUE"""),1.2E7)</f>
        <v>12000000</v>
      </c>
      <c r="L65" s="20">
        <f>IFERROR(__xludf.DUMMYFUNCTION("""COMPUTED_VALUE"""),3.0E7)</f>
        <v>30000000</v>
      </c>
      <c r="M65" s="20" t="str">
        <f>IFERROR(__xludf.DUMMYFUNCTION("""COMPUTED_VALUE"""),"FREE")</f>
        <v>FREE</v>
      </c>
      <c r="N65" s="20">
        <f>IFERROR(__xludf.DUMMYFUNCTION("""COMPUTED_VALUE"""),3.0E7)</f>
        <v>30000000</v>
      </c>
      <c r="O65" s="20">
        <f>IFERROR(__xludf.DUMMYFUNCTION("""COMPUTED_VALUE"""),3.5E7)</f>
        <v>35000000</v>
      </c>
      <c r="P65" s="20">
        <f>IFERROR(__xludf.DUMMYFUNCTION("""COMPUTED_VALUE"""),5.0E7)</f>
        <v>50000000</v>
      </c>
      <c r="Q65" s="20">
        <f>IFERROR(__xludf.DUMMYFUNCTION("""COMPUTED_VALUE"""),1.0E7)</f>
        <v>10000000</v>
      </c>
      <c r="R65" s="20">
        <f>IFERROR(__xludf.DUMMYFUNCTION("""COMPUTED_VALUE"""),5.0E7)</f>
        <v>50000000</v>
      </c>
      <c r="S65" s="20">
        <f>IFERROR(__xludf.DUMMYFUNCTION("""COMPUTED_VALUE"""),8.5E7)</f>
        <v>85000000</v>
      </c>
      <c r="T65" s="20">
        <f>IFERROR(__xludf.DUMMYFUNCTION("""COMPUTED_VALUE"""),3.0E7)</f>
        <v>30000000</v>
      </c>
      <c r="U65" s="20">
        <f>IFERROR(__xludf.DUMMYFUNCTION("""COMPUTED_VALUE"""),7.0E7)</f>
        <v>70000000</v>
      </c>
      <c r="V65" s="20">
        <f>IFERROR(__xludf.DUMMYFUNCTION("""COMPUTED_VALUE"""),2.0E7)</f>
        <v>20000000</v>
      </c>
      <c r="W65" s="20">
        <f>IFERROR(__xludf.DUMMYFUNCTION("""COMPUTED_VALUE"""),1.0E7)</f>
        <v>10000000</v>
      </c>
      <c r="X65" s="20">
        <f>IFERROR(__xludf.DUMMYFUNCTION("""COMPUTED_VALUE"""),1.0E7)</f>
        <v>10000000</v>
      </c>
      <c r="Y65" s="17"/>
    </row>
    <row r="66">
      <c r="A66" s="17">
        <f>IFERROR(__xludf.DUMMYFUNCTION("""COMPUTED_VALUE"""),55.0)</f>
        <v>55</v>
      </c>
      <c r="B66" s="18" t="str">
        <f>IFERROR(__xludf.DUMMYFUNCTION("""COMPUTED_VALUE"""),"miskashf")</f>
        <v>miskashf</v>
      </c>
      <c r="C66" s="19">
        <f>IFERROR(__xludf.DUMMYFUNCTION("""COMPUTED_VALUE"""),2200000.0)</f>
        <v>2200000</v>
      </c>
      <c r="D66" s="20" t="str">
        <f>IFERROR(__xludf.DUMMYFUNCTION("""COMPUTED_VALUE"""),"Mega")</f>
        <v>Mega</v>
      </c>
      <c r="E66" s="24" t="str">
        <f>IFERROR(__xludf.DUMMYFUNCTION("""COMPUTED_VALUE"""),"miskashf")</f>
        <v>miskashf</v>
      </c>
      <c r="F66" s="23">
        <f>IFERROR(__xludf.DUMMYFUNCTION("""COMPUTED_VALUE"""),867100.0)</f>
        <v>867100</v>
      </c>
      <c r="G66" s="20" t="str">
        <f>IFERROR(__xludf.DUMMYFUNCTION("""COMPUTED_VALUE"""),"Macro")</f>
        <v>Macro</v>
      </c>
      <c r="H66" s="17" t="str">
        <f>IFERROR(__xludf.DUMMYFUNCTION("""COMPUTED_VALUE"""),"Bekasi")</f>
        <v>Bekasi</v>
      </c>
      <c r="I66" s="17" t="str">
        <f>IFERROR(__xludf.DUMMYFUNCTION("""COMPUTED_VALUE"""),"-  Lifestyle Female
- Mom &amp; Kids")</f>
        <v>-  Lifestyle Female
- Mom &amp; Kids</v>
      </c>
      <c r="J66" s="17"/>
      <c r="K66" s="20">
        <f>IFERROR(__xludf.DUMMYFUNCTION("""COMPUTED_VALUE"""),1.2E7)</f>
        <v>12000000</v>
      </c>
      <c r="L66" s="17"/>
      <c r="M66" s="20" t="str">
        <f>IFERROR(__xludf.DUMMYFUNCTION("""COMPUTED_VALUE"""),"FREE")</f>
        <v>FREE</v>
      </c>
      <c r="N66" s="20">
        <f>IFERROR(__xludf.DUMMYFUNCTION("""COMPUTED_VALUE"""),2.2E7)</f>
        <v>22000000</v>
      </c>
      <c r="O66" s="17"/>
      <c r="P66" s="20">
        <f>IFERROR(__xludf.DUMMYFUNCTION("""COMPUTED_VALUE"""),4.0E7)</f>
        <v>40000000</v>
      </c>
      <c r="Q66" s="17"/>
      <c r="R66" s="17"/>
      <c r="S66" s="17"/>
      <c r="T66" s="20">
        <f>IFERROR(__xludf.DUMMYFUNCTION("""COMPUTED_VALUE"""),4.0E7)</f>
        <v>40000000</v>
      </c>
      <c r="U66" s="17"/>
      <c r="V66" s="17"/>
      <c r="W66" s="17"/>
      <c r="X66" s="17"/>
      <c r="Y66" s="17"/>
    </row>
    <row r="67">
      <c r="A67" s="17">
        <f>IFERROR(__xludf.DUMMYFUNCTION("""COMPUTED_VALUE"""),55.0)</f>
        <v>55</v>
      </c>
      <c r="B67" s="18" t="str">
        <f>IFERROR(__xludf.DUMMYFUNCTION("""COMPUTED_VALUE"""),"wynnneug")</f>
        <v>wynnneug</v>
      </c>
      <c r="C67" s="23">
        <f>IFERROR(__xludf.DUMMYFUNCTION("""COMPUTED_VALUE"""),65300.0)</f>
        <v>65300</v>
      </c>
      <c r="D67" s="20" t="str">
        <f>IFERROR(__xludf.DUMMYFUNCTION("""COMPUTED_VALUE"""),"Micro")</f>
        <v>Micro</v>
      </c>
      <c r="E67" s="24" t="str">
        <f>IFERROR(__xludf.DUMMYFUNCTION("""COMPUTED_VALUE"""),"wynnneug")</f>
        <v>wynnneug</v>
      </c>
      <c r="F67" s="23">
        <f>IFERROR(__xludf.DUMMYFUNCTION("""COMPUTED_VALUE"""),594500.0)</f>
        <v>594500</v>
      </c>
      <c r="G67" s="20" t="str">
        <f>IFERROR(__xludf.DUMMYFUNCTION("""COMPUTED_VALUE"""),"Macro")</f>
        <v>Macro</v>
      </c>
      <c r="H67" s="17" t="str">
        <f>IFERROR(__xludf.DUMMYFUNCTION("""COMPUTED_VALUE"""),"Tangerang")</f>
        <v>Tangerang</v>
      </c>
      <c r="I67" s="17" t="str">
        <f>IFERROR(__xludf.DUMMYFUNCTION("""COMPUTED_VALUE"""),"Lifestyle Female")</f>
        <v>Lifestyle Female</v>
      </c>
      <c r="J67" s="17"/>
      <c r="K67" s="17"/>
      <c r="L67" s="20">
        <f>IFERROR(__xludf.DUMMYFUNCTION("""COMPUTED_VALUE"""),6000000.0)</f>
        <v>6000000</v>
      </c>
      <c r="M67" s="20" t="str">
        <f>IFERROR(__xludf.DUMMYFUNCTION("""COMPUTED_VALUE"""),"FREE")</f>
        <v>FREE</v>
      </c>
      <c r="N67" s="17"/>
      <c r="O67" s="17"/>
      <c r="P67" s="17"/>
      <c r="Q67" s="17"/>
      <c r="R67" s="20">
        <f>IFERROR(__xludf.DUMMYFUNCTION("""COMPUTED_VALUE"""),1.5E7)</f>
        <v>15000000</v>
      </c>
      <c r="S67" s="20">
        <f>IFERROR(__xludf.DUMMYFUNCTION("""COMPUTED_VALUE"""),2.3E7)</f>
        <v>23000000</v>
      </c>
      <c r="T67" s="17"/>
      <c r="U67" s="21">
        <f>IFERROR(__xludf.DUMMYFUNCTION("""COMPUTED_VALUE"""),1.0)</f>
        <v>1</v>
      </c>
      <c r="V67" s="20">
        <f>IFERROR(__xludf.DUMMYFUNCTION("""COMPUTED_VALUE"""),1500000.0)</f>
        <v>1500000</v>
      </c>
      <c r="W67" s="17"/>
      <c r="X67" s="17"/>
      <c r="Y67" s="17"/>
    </row>
    <row r="68">
      <c r="A68" s="17">
        <f>IFERROR(__xludf.DUMMYFUNCTION("""COMPUTED_VALUE"""),55.0)</f>
        <v>55</v>
      </c>
      <c r="B68" s="18" t="str">
        <f>IFERROR(__xludf.DUMMYFUNCTION("""COMPUTED_VALUE"""),"jennifercoppenreal20")</f>
        <v>jennifercoppenreal20</v>
      </c>
      <c r="C68" s="19">
        <f>IFERROR(__xludf.DUMMYFUNCTION("""COMPUTED_VALUE"""),8000000.0)</f>
        <v>8000000</v>
      </c>
      <c r="D68" s="20" t="str">
        <f>IFERROR(__xludf.DUMMYFUNCTION("""COMPUTED_VALUE"""),"Mega")</f>
        <v>Mega</v>
      </c>
      <c r="E68" s="24" t="str">
        <f>IFERROR(__xludf.DUMMYFUNCTION("""COMPUTED_VALUE"""),"jennifer.coppen")</f>
        <v>jennifer.coppen</v>
      </c>
      <c r="F68" s="19">
        <f>IFERROR(__xludf.DUMMYFUNCTION("""COMPUTED_VALUE"""),1.62E7)</f>
        <v>16200000</v>
      </c>
      <c r="G68" s="20" t="str">
        <f>IFERROR(__xludf.DUMMYFUNCTION("""COMPUTED_VALUE"""),"Mega")</f>
        <v>Mega</v>
      </c>
      <c r="H68" s="17" t="str">
        <f>IFERROR(__xludf.DUMMYFUNCTION("""COMPUTED_VALUE"""),"Bali")</f>
        <v>Bali</v>
      </c>
      <c r="I68" s="17" t="str">
        <f>IFERROR(__xludf.DUMMYFUNCTION("""COMPUTED_VALUE"""),"- Lifestyle Female
- Mom &amp; Kids")</f>
        <v>- Lifestyle Female
- Mom &amp; Kids</v>
      </c>
      <c r="J68" s="17"/>
      <c r="K68" s="20">
        <f>IFERROR(__xludf.DUMMYFUNCTION("""COMPUTED_VALUE"""),1.5E7)</f>
        <v>15000000</v>
      </c>
      <c r="L68" s="17"/>
      <c r="M68" s="20">
        <f>IFERROR(__xludf.DUMMYFUNCTION("""COMPUTED_VALUE"""),2500000.0)</f>
        <v>2500000</v>
      </c>
      <c r="N68" s="20">
        <f>IFERROR(__xludf.DUMMYFUNCTION("""COMPUTED_VALUE"""),5.0E7)</f>
        <v>50000000</v>
      </c>
      <c r="O68" s="17"/>
      <c r="P68" s="20">
        <f>IFERROR(__xludf.DUMMYFUNCTION("""COMPUTED_VALUE"""),8.0E7)</f>
        <v>80000000</v>
      </c>
      <c r="Q68" s="17"/>
      <c r="R68" s="20">
        <f>IFERROR(__xludf.DUMMYFUNCTION("""COMPUTED_VALUE"""),1.0E8)</f>
        <v>100000000</v>
      </c>
      <c r="S68" s="17"/>
      <c r="T68" s="17"/>
      <c r="U68" s="17"/>
      <c r="V68" s="17"/>
      <c r="W68" s="20">
        <f>IFERROR(__xludf.DUMMYFUNCTION("""COMPUTED_VALUE"""),1.5E7)</f>
        <v>15000000</v>
      </c>
      <c r="X68" s="17"/>
      <c r="Y68" s="17"/>
    </row>
    <row r="69">
      <c r="A69" s="17">
        <f>IFERROR(__xludf.DUMMYFUNCTION("""COMPUTED_VALUE"""),55.0)</f>
        <v>55</v>
      </c>
      <c r="B69" s="18" t="str">
        <f>IFERROR(__xludf.DUMMYFUNCTION("""COMPUTED_VALUE"""),"gabriellaekaputri")</f>
        <v>gabriellaekaputri</v>
      </c>
      <c r="C69" s="19">
        <f>IFERROR(__xludf.DUMMYFUNCTION("""COMPUTED_VALUE"""),1000000.0)</f>
        <v>1000000</v>
      </c>
      <c r="D69" s="20" t="str">
        <f>IFERROR(__xludf.DUMMYFUNCTION("""COMPUTED_VALUE"""),"Macro")</f>
        <v>Macro</v>
      </c>
      <c r="E69" s="24" t="str">
        <f>IFERROR(__xludf.DUMMYFUNCTION("""COMPUTED_VALUE"""),"gabriellaekaputrii")</f>
        <v>gabriellaekaputrii</v>
      </c>
      <c r="F69" s="19">
        <f>IFERROR(__xludf.DUMMYFUNCTION("""COMPUTED_VALUE"""),1800000.0)</f>
        <v>1800000</v>
      </c>
      <c r="G69" s="20" t="str">
        <f>IFERROR(__xludf.DUMMYFUNCTION("""COMPUTED_VALUE"""),"Mega")</f>
        <v>Mega</v>
      </c>
      <c r="H69" s="17" t="str">
        <f>IFERROR(__xludf.DUMMYFUNCTION("""COMPUTED_VALUE"""),"Jakarta")</f>
        <v>Jakarta</v>
      </c>
      <c r="I69" s="17" t="str">
        <f>IFERROR(__xludf.DUMMYFUNCTION("""COMPUTED_VALUE"""),"- Lifestyle Female
- Actor/Actress")</f>
        <v>- Lifestyle Female
- Actor/Actress</v>
      </c>
      <c r="J69" s="17"/>
      <c r="K69" s="20">
        <f>IFERROR(__xludf.DUMMYFUNCTION("""COMPUTED_VALUE"""),1.0E7)</f>
        <v>10000000</v>
      </c>
      <c r="L69" s="20">
        <f>IFERROR(__xludf.DUMMYFUNCTION("""COMPUTED_VALUE"""),1.7E7)</f>
        <v>17000000</v>
      </c>
      <c r="M69" s="20">
        <f>IFERROR(__xludf.DUMMYFUNCTION("""COMPUTED_VALUE"""),2000000.0)</f>
        <v>2000000</v>
      </c>
      <c r="N69" s="20">
        <f>IFERROR(__xludf.DUMMYFUNCTION("""COMPUTED_VALUE"""),1.7E7)</f>
        <v>17000000</v>
      </c>
      <c r="O69" s="20">
        <f>IFERROR(__xludf.DUMMYFUNCTION("""COMPUTED_VALUE"""),2.0E7)</f>
        <v>20000000</v>
      </c>
      <c r="P69" s="20">
        <f>IFERROR(__xludf.DUMMYFUNCTION("""COMPUTED_VALUE"""),3.0E7)</f>
        <v>30000000</v>
      </c>
      <c r="Q69" s="20">
        <f>IFERROR(__xludf.DUMMYFUNCTION("""COMPUTED_VALUE"""),8000000.0)</f>
        <v>8000000</v>
      </c>
      <c r="R69" s="20">
        <f>IFERROR(__xludf.DUMMYFUNCTION("""COMPUTED_VALUE"""),3.75E7)</f>
        <v>37500000</v>
      </c>
      <c r="S69" s="20">
        <f>IFERROR(__xludf.DUMMYFUNCTION("""COMPUTED_VALUE"""),6.0E7)</f>
        <v>60000000</v>
      </c>
      <c r="T69" s="20">
        <f>IFERROR(__xludf.DUMMYFUNCTION("""COMPUTED_VALUE"""),3.0E7)</f>
        <v>30000000</v>
      </c>
      <c r="U69" s="20">
        <f>IFERROR(__xludf.DUMMYFUNCTION("""COMPUTED_VALUE"""),3.0E8)</f>
        <v>300000000</v>
      </c>
      <c r="V69" s="20">
        <f>IFERROR(__xludf.DUMMYFUNCTION("""COMPUTED_VALUE"""),8000000.0)</f>
        <v>8000000</v>
      </c>
      <c r="W69" s="20">
        <f>IFERROR(__xludf.DUMMYFUNCTION("""COMPUTED_VALUE"""),1.0E7)</f>
        <v>10000000</v>
      </c>
      <c r="X69" s="20">
        <f>IFERROR(__xludf.DUMMYFUNCTION("""COMPUTED_VALUE"""),5000000.0)</f>
        <v>5000000</v>
      </c>
      <c r="Y69" s="17"/>
    </row>
    <row r="70">
      <c r="A70" s="17">
        <f>IFERROR(__xludf.DUMMYFUNCTION("""COMPUTED_VALUE"""),55.0)</f>
        <v>55</v>
      </c>
      <c r="B70" s="18" t="str">
        <f>IFERROR(__xludf.DUMMYFUNCTION("""COMPUTED_VALUE"""),"eri.carl")</f>
        <v>eri.carl</v>
      </c>
      <c r="C70" s="19">
        <f>IFERROR(__xludf.DUMMYFUNCTION("""COMPUTED_VALUE"""),4600000.0)</f>
        <v>4600000</v>
      </c>
      <c r="D70" s="20" t="str">
        <f>IFERROR(__xludf.DUMMYFUNCTION("""COMPUTED_VALUE"""),"Mega")</f>
        <v>Mega</v>
      </c>
      <c r="E70" s="24" t="str">
        <f>IFERROR(__xludf.DUMMYFUNCTION("""COMPUTED_VALUE"""),"eri_carl")</f>
        <v>eri_carl</v>
      </c>
      <c r="F70" s="19">
        <f>IFERROR(__xludf.DUMMYFUNCTION("""COMPUTED_VALUE"""),3700000.0)</f>
        <v>3700000</v>
      </c>
      <c r="G70" s="20" t="str">
        <f>IFERROR(__xludf.DUMMYFUNCTION("""COMPUTED_VALUE"""),"Mega")</f>
        <v>Mega</v>
      </c>
      <c r="H70" s="17" t="str">
        <f>IFERROR(__xludf.DUMMYFUNCTION("""COMPUTED_VALUE"""),"Jakarta")</f>
        <v>Jakarta</v>
      </c>
      <c r="I70" s="17" t="str">
        <f>IFERROR(__xludf.DUMMYFUNCTION("""COMPUTED_VALUE"""),"- Lifestyle Female
- Actor/Actress")</f>
        <v>- Lifestyle Female
- Actor/Actress</v>
      </c>
      <c r="J70" s="17"/>
      <c r="K70" s="20">
        <f>IFERROR(__xludf.DUMMYFUNCTION("""COMPUTED_VALUE"""),2.5E7)</f>
        <v>25000000</v>
      </c>
      <c r="L70" s="17"/>
      <c r="M70" s="20">
        <f>IFERROR(__xludf.DUMMYFUNCTION("""COMPUTED_VALUE"""),1500000.0)</f>
        <v>1500000</v>
      </c>
      <c r="N70" s="20">
        <f>IFERROR(__xludf.DUMMYFUNCTION("""COMPUTED_VALUE"""),5.0E7)</f>
        <v>50000000</v>
      </c>
      <c r="O70" s="17"/>
      <c r="P70" s="20">
        <f>IFERROR(__xludf.DUMMYFUNCTION("""COMPUTED_VALUE"""),1.0E8)</f>
        <v>100000000</v>
      </c>
      <c r="Q70" s="17"/>
      <c r="R70" s="20">
        <f>IFERROR(__xludf.DUMMYFUNCTION("""COMPUTED_VALUE"""),1.0E8)</f>
        <v>100000000</v>
      </c>
      <c r="S70" s="17"/>
      <c r="T70" s="17"/>
      <c r="U70" s="17"/>
      <c r="V70" s="21">
        <f>IFERROR(__xludf.DUMMYFUNCTION("""COMPUTED_VALUE"""),0.5)</f>
        <v>0.5</v>
      </c>
      <c r="W70" s="17"/>
      <c r="X70" s="20">
        <f>IFERROR(__xludf.DUMMYFUNCTION("""COMPUTED_VALUE"""),7.5E7)</f>
        <v>75000000</v>
      </c>
      <c r="Y70" s="17"/>
    </row>
    <row r="71">
      <c r="A71" s="17">
        <f>IFERROR(__xludf.DUMMYFUNCTION("""COMPUTED_VALUE"""),55.0)</f>
        <v>55</v>
      </c>
      <c r="B71" s="18" t="str">
        <f>IFERROR(__xludf.DUMMYFUNCTION("""COMPUTED_VALUE"""),"shella_cletus")</f>
        <v>shella_cletus</v>
      </c>
      <c r="C71" s="19">
        <f>IFERROR(__xludf.DUMMYFUNCTION("""COMPUTED_VALUE"""),254000.0)</f>
        <v>254000</v>
      </c>
      <c r="D71" s="20" t="str">
        <f>IFERROR(__xludf.DUMMYFUNCTION("""COMPUTED_VALUE"""),"Mid")</f>
        <v>Mid</v>
      </c>
      <c r="E71" s="24" t="str">
        <f>IFERROR(__xludf.DUMMYFUNCTION("""COMPUTED_VALUE"""),"shellacletus")</f>
        <v>shellacletus</v>
      </c>
      <c r="F71" s="19">
        <f>IFERROR(__xludf.DUMMYFUNCTION("""COMPUTED_VALUE"""),1400000.0)</f>
        <v>1400000</v>
      </c>
      <c r="G71" s="20" t="str">
        <f>IFERROR(__xludf.DUMMYFUNCTION("""COMPUTED_VALUE"""),"Mega")</f>
        <v>Mega</v>
      </c>
      <c r="H71" s="17" t="str">
        <f>IFERROR(__xludf.DUMMYFUNCTION("""COMPUTED_VALUE"""),"Jakarta")</f>
        <v>Jakarta</v>
      </c>
      <c r="I71" s="17" t="str">
        <f>IFERROR(__xludf.DUMMYFUNCTION("""COMPUTED_VALUE"""),"- Lifestyle Female
- Beauty
- Comedy")</f>
        <v>- Lifestyle Female
- Beauty
- Comedy</v>
      </c>
      <c r="J71" s="17"/>
      <c r="K71" s="20">
        <f>IFERROR(__xludf.DUMMYFUNCTION("""COMPUTED_VALUE"""),3000000.0)</f>
        <v>3000000</v>
      </c>
      <c r="L71" s="20">
        <f>IFERROR(__xludf.DUMMYFUNCTION("""COMPUTED_VALUE"""),5000000.0)</f>
        <v>5000000</v>
      </c>
      <c r="M71" s="17"/>
      <c r="N71" s="17"/>
      <c r="O71" s="17"/>
      <c r="P71" s="20">
        <f>IFERROR(__xludf.DUMMYFUNCTION("""COMPUTED_VALUE"""),2.0E7)</f>
        <v>20000000</v>
      </c>
      <c r="Q71" s="17"/>
      <c r="R71" s="20">
        <f>IFERROR(__xludf.DUMMYFUNCTION("""COMPUTED_VALUE"""),2.0E7)</f>
        <v>20000000</v>
      </c>
      <c r="S71" s="17"/>
      <c r="T71" s="17"/>
      <c r="U71" s="20">
        <f>IFERROR(__xludf.DUMMYFUNCTION("""COMPUTED_VALUE"""),5000000.0)</f>
        <v>5000000</v>
      </c>
      <c r="V71" s="17"/>
      <c r="W71" s="17"/>
      <c r="X71" s="17"/>
      <c r="Y71" s="17"/>
    </row>
    <row r="72">
      <c r="A72" s="17">
        <f>IFERROR(__xludf.DUMMYFUNCTION("""COMPUTED_VALUE"""),55.0)</f>
        <v>55</v>
      </c>
      <c r="B72" s="18" t="str">
        <f>IFERROR(__xludf.DUMMYFUNCTION("""COMPUTED_VALUE"""),"cantikalulu")</f>
        <v>cantikalulu</v>
      </c>
      <c r="C72" s="19">
        <f>IFERROR(__xludf.DUMMYFUNCTION("""COMPUTED_VALUE"""),288000.0)</f>
        <v>288000</v>
      </c>
      <c r="D72" s="20" t="str">
        <f>IFERROR(__xludf.DUMMYFUNCTION("""COMPUTED_VALUE"""),"Mid")</f>
        <v>Mid</v>
      </c>
      <c r="E72" s="24" t="str">
        <f>IFERROR(__xludf.DUMMYFUNCTION("""COMPUTED_VALUE"""),"heylulaa")</f>
        <v>heylulaa</v>
      </c>
      <c r="F72" s="19">
        <f>IFERROR(__xludf.DUMMYFUNCTION("""COMPUTED_VALUE"""),726900.0)</f>
        <v>726900</v>
      </c>
      <c r="G72" s="20" t="str">
        <f>IFERROR(__xludf.DUMMYFUNCTION("""COMPUTED_VALUE"""),"Macro")</f>
        <v>Macro</v>
      </c>
      <c r="H72" s="17" t="str">
        <f>IFERROR(__xludf.DUMMYFUNCTION("""COMPUTED_VALUE"""),"Jakarta")</f>
        <v>Jakarta</v>
      </c>
      <c r="I72" s="17" t="str">
        <f>IFERROR(__xludf.DUMMYFUNCTION("""COMPUTED_VALUE"""),"- Lifestyle Female
- Beauty
- Comedy")</f>
        <v>- Lifestyle Female
- Beauty
- Comedy</v>
      </c>
      <c r="J72" s="17"/>
      <c r="K72" s="20">
        <f>IFERROR(__xludf.DUMMYFUNCTION("""COMPUTED_VALUE"""),5000000.0)</f>
        <v>5000000</v>
      </c>
      <c r="L72" s="20">
        <f>IFERROR(__xludf.DUMMYFUNCTION("""COMPUTED_VALUE"""),8000000.0)</f>
        <v>8000000</v>
      </c>
      <c r="M72" s="17"/>
      <c r="N72" s="17"/>
      <c r="O72" s="17"/>
      <c r="P72" s="20">
        <f>IFERROR(__xludf.DUMMYFUNCTION("""COMPUTED_VALUE"""),2.0E7)</f>
        <v>20000000</v>
      </c>
      <c r="Q72" s="17"/>
      <c r="R72" s="20">
        <f>IFERROR(__xludf.DUMMYFUNCTION("""COMPUTED_VALUE"""),1.0E7)</f>
        <v>10000000</v>
      </c>
      <c r="S72" s="17"/>
      <c r="T72" s="17"/>
      <c r="U72" s="20">
        <f>IFERROR(__xludf.DUMMYFUNCTION("""COMPUTED_VALUE"""),5000000.0)</f>
        <v>5000000</v>
      </c>
      <c r="V72" s="17"/>
      <c r="W72" s="17"/>
      <c r="X72" s="17"/>
      <c r="Y72" s="17"/>
    </row>
    <row r="73">
      <c r="A73" s="17">
        <f>IFERROR(__xludf.DUMMYFUNCTION("""COMPUTED_VALUE"""),55.0)</f>
        <v>55</v>
      </c>
      <c r="B73" s="18" t="str">
        <f>IFERROR(__xludf.DUMMYFUNCTION("""COMPUTED_VALUE"""),"alyadjohan")</f>
        <v>alyadjohan</v>
      </c>
      <c r="C73" s="19">
        <f>IFERROR(__xludf.DUMMYFUNCTION("""COMPUTED_VALUE"""),28100.0)</f>
        <v>28100</v>
      </c>
      <c r="D73" s="20" t="str">
        <f>IFERROR(__xludf.DUMMYFUNCTION("""COMPUTED_VALUE"""),"Micro")</f>
        <v>Micro</v>
      </c>
      <c r="E73" s="24" t="str">
        <f>IFERROR(__xludf.DUMMYFUNCTION("""COMPUTED_VALUE"""),"alyttlebit")</f>
        <v>alyttlebit</v>
      </c>
      <c r="F73" s="19">
        <f>IFERROR(__xludf.DUMMYFUNCTION("""COMPUTED_VALUE"""),218000.0)</f>
        <v>218000</v>
      </c>
      <c r="G73" s="20" t="str">
        <f>IFERROR(__xludf.DUMMYFUNCTION("""COMPUTED_VALUE"""),"Mid")</f>
        <v>Mid</v>
      </c>
      <c r="H73" s="17" t="str">
        <f>IFERROR(__xludf.DUMMYFUNCTION("""COMPUTED_VALUE"""),"Jakarta Selatan")</f>
        <v>Jakarta Selatan</v>
      </c>
      <c r="I73" s="17" t="str">
        <f>IFERROR(__xludf.DUMMYFUNCTION("""COMPUTED_VALUE"""),"- Lifestyle Female")</f>
        <v>- Lifestyle Female</v>
      </c>
      <c r="J73" s="17"/>
      <c r="K73" s="20">
        <f>IFERROR(__xludf.DUMMYFUNCTION("""COMPUTED_VALUE"""),2000000.0)</f>
        <v>2000000</v>
      </c>
      <c r="L73" s="20">
        <f>IFERROR(__xludf.DUMMYFUNCTION("""COMPUTED_VALUE"""),5000000.0)</f>
        <v>5000000</v>
      </c>
      <c r="M73" s="20" t="str">
        <f>IFERROR(__xludf.DUMMYFUNCTION("""COMPUTED_VALUE"""),"FREE")</f>
        <v>FREE</v>
      </c>
      <c r="N73" s="17"/>
      <c r="O73" s="20">
        <f>IFERROR(__xludf.DUMMYFUNCTION("""COMPUTED_VALUE"""),5000000.0)</f>
        <v>5000000</v>
      </c>
      <c r="P73" s="20">
        <f>IFERROR(__xludf.DUMMYFUNCTION("""COMPUTED_VALUE"""),6000000.0)</f>
        <v>6000000</v>
      </c>
      <c r="Q73" s="17"/>
      <c r="R73" s="20">
        <f>IFERROR(__xludf.DUMMYFUNCTION("""COMPUTED_VALUE"""),8000000.0)</f>
        <v>8000000</v>
      </c>
      <c r="S73" s="20">
        <f>IFERROR(__xludf.DUMMYFUNCTION("""COMPUTED_VALUE"""),1.0E7)</f>
        <v>10000000</v>
      </c>
      <c r="T73" s="17"/>
      <c r="U73" s="21">
        <f>IFERROR(__xludf.DUMMYFUNCTION("""COMPUTED_VALUE"""),1.0)</f>
        <v>1</v>
      </c>
      <c r="V73" s="20">
        <f>IFERROR(__xludf.DUMMYFUNCTION("""COMPUTED_VALUE"""),2000000.0)</f>
        <v>2000000</v>
      </c>
      <c r="W73" s="20">
        <f>IFERROR(__xludf.DUMMYFUNCTION("""COMPUTED_VALUE"""),500000.0)</f>
        <v>500000</v>
      </c>
      <c r="X73" s="20">
        <f>IFERROR(__xludf.DUMMYFUNCTION("""COMPUTED_VALUE"""),3000000.0)</f>
        <v>3000000</v>
      </c>
      <c r="Y73" s="17"/>
    </row>
    <row r="74">
      <c r="A74" s="17">
        <f>IFERROR(__xludf.DUMMYFUNCTION("""COMPUTED_VALUE"""),55.0)</f>
        <v>55</v>
      </c>
      <c r="B74" s="18" t="str">
        <f>IFERROR(__xludf.DUMMYFUNCTION("""COMPUTED_VALUE"""),"gmarthagraciela")</f>
        <v>gmarthagraciela</v>
      </c>
      <c r="C74" s="19">
        <f>IFERROR(__xludf.DUMMYFUNCTION("""COMPUTED_VALUE"""),660000.0)</f>
        <v>660000</v>
      </c>
      <c r="D74" s="20" t="str">
        <f>IFERROR(__xludf.DUMMYFUNCTION("""COMPUTED_VALUE"""),"Macro")</f>
        <v>Macro</v>
      </c>
      <c r="E74" s="24" t="str">
        <f>IFERROR(__xludf.DUMMYFUNCTION("""COMPUTED_VALUE"""),"guraisu.com")</f>
        <v>guraisu.com</v>
      </c>
      <c r="F74" s="19">
        <f>IFERROR(__xludf.DUMMYFUNCTION("""COMPUTED_VALUE"""),445700.0)</f>
        <v>445700</v>
      </c>
      <c r="G74" s="20" t="str">
        <f>IFERROR(__xludf.DUMMYFUNCTION("""COMPUTED_VALUE"""),"Mid")</f>
        <v>Mid</v>
      </c>
      <c r="H74" s="17" t="str">
        <f>IFERROR(__xludf.DUMMYFUNCTION("""COMPUTED_VALUE"""),"Tangerang")</f>
        <v>Tangerang</v>
      </c>
      <c r="I74" s="17" t="str">
        <f>IFERROR(__xludf.DUMMYFUNCTION("""COMPUTED_VALUE"""),"- Lifestyle Female")</f>
        <v>- Lifestyle Female</v>
      </c>
      <c r="J74" s="17"/>
      <c r="K74" s="20">
        <f>IFERROR(__xludf.DUMMYFUNCTION("""COMPUTED_VALUE"""),2500000.0)</f>
        <v>2500000</v>
      </c>
      <c r="L74" s="20" t="str">
        <f>IFERROR(__xludf.DUMMYFUNCTION("""COMPUTED_VALUE"""),"Rp6,000,000 (Free Link)")</f>
        <v>Rp6,000,000 (Free Link)</v>
      </c>
      <c r="M74" s="17"/>
      <c r="N74" s="20">
        <f>IFERROR(__xludf.DUMMYFUNCTION("""COMPUTED_VALUE"""),5000000.0)</f>
        <v>5000000</v>
      </c>
      <c r="O74" s="17"/>
      <c r="P74" s="20">
        <f>IFERROR(__xludf.DUMMYFUNCTION("""COMPUTED_VALUE"""),1.2E7)</f>
        <v>12000000</v>
      </c>
      <c r="Q74" s="21">
        <f>IFERROR(__xludf.DUMMYFUNCTION("""COMPUTED_VALUE"""),0.5)</f>
        <v>0.5</v>
      </c>
      <c r="R74" s="20">
        <f>IFERROR(__xludf.DUMMYFUNCTION("""COMPUTED_VALUE"""),1.0E7)</f>
        <v>10000000</v>
      </c>
      <c r="S74" s="20">
        <f>IFERROR(__xludf.DUMMYFUNCTION("""COMPUTED_VALUE"""),1.5E7)</f>
        <v>15000000</v>
      </c>
      <c r="T74" s="17"/>
      <c r="U74" s="21">
        <f>IFERROR(__xludf.DUMMYFUNCTION("""COMPUTED_VALUE"""),1.0)</f>
        <v>1</v>
      </c>
      <c r="V74" s="21">
        <f>IFERROR(__xludf.DUMMYFUNCTION("""COMPUTED_VALUE"""),0.3)</f>
        <v>0.3</v>
      </c>
      <c r="W74" s="17"/>
      <c r="X74" s="17"/>
      <c r="Y74" s="17"/>
    </row>
    <row r="75">
      <c r="A75" s="27"/>
      <c r="B75" s="33" t="str">
        <f>IFERROR(__xludf.DUMMYFUNCTION("""COMPUTED_VALUE"""),"putrialyn")</f>
        <v>putrialyn</v>
      </c>
      <c r="C75" s="34">
        <f>IFERROR(__xludf.DUMMYFUNCTION("""COMPUTED_VALUE"""),15300.0)</f>
        <v>15300</v>
      </c>
      <c r="D75" s="35" t="str">
        <f>IFERROR(__xludf.DUMMYFUNCTION("""COMPUTED_VALUE"""),"Micro")</f>
        <v>Micro</v>
      </c>
      <c r="E75" s="36" t="str">
        <f>IFERROR(__xludf.DUMMYFUNCTION("""COMPUTED_VALUE"""),"putrialynnn")</f>
        <v>putrialynnn</v>
      </c>
      <c r="F75" s="34">
        <f>IFERROR(__xludf.DUMMYFUNCTION("""COMPUTED_VALUE"""),1226.0)</f>
        <v>1226</v>
      </c>
      <c r="G75" s="35" t="str">
        <f>IFERROR(__xludf.DUMMYFUNCTION("""COMPUTED_VALUE"""),"Nano")</f>
        <v>Nano</v>
      </c>
      <c r="H75" s="27" t="str">
        <f>IFERROR(__xludf.DUMMYFUNCTION("""COMPUTED_VALUE"""),"Jakarta")</f>
        <v>Jakarta</v>
      </c>
      <c r="I75" s="27" t="str">
        <f>IFERROR(__xludf.DUMMYFUNCTION("""COMPUTED_VALUE"""),"- Lifestyle Female
- Sport
- Fashion Wanita")</f>
        <v>- Lifestyle Female
- Sport
- Fashion Wanita</v>
      </c>
      <c r="J75" s="27"/>
      <c r="K75" s="35">
        <f>IFERROR(__xludf.DUMMYFUNCTION("""COMPUTED_VALUE"""),350000.0)</f>
        <v>350000</v>
      </c>
      <c r="L75" s="35">
        <f>IFERROR(__xludf.DUMMYFUNCTION("""COMPUTED_VALUE"""),450000.0)</f>
        <v>450000</v>
      </c>
      <c r="M75" s="35">
        <f>IFERROR(__xludf.DUMMYFUNCTION("""COMPUTED_VALUE"""),50000.0)</f>
        <v>50000</v>
      </c>
      <c r="N75" s="35">
        <f>IFERROR(__xludf.DUMMYFUNCTION("""COMPUTED_VALUE"""),700000.0)</f>
        <v>700000</v>
      </c>
      <c r="O75" s="27"/>
      <c r="P75" s="35">
        <f>IFERROR(__xludf.DUMMYFUNCTION("""COMPUTED_VALUE"""),1000000.0)</f>
        <v>1000000</v>
      </c>
      <c r="Q75" s="27"/>
      <c r="R75" s="35">
        <f>IFERROR(__xludf.DUMMYFUNCTION("""COMPUTED_VALUE"""),400000.0)</f>
        <v>400000</v>
      </c>
      <c r="S75" s="35">
        <f>IFERROR(__xludf.DUMMYFUNCTION("""COMPUTED_VALUE"""),1300000.0)</f>
        <v>1300000</v>
      </c>
      <c r="T75" s="27"/>
      <c r="U75" s="27"/>
      <c r="V75" s="27"/>
      <c r="W75" s="27"/>
      <c r="X75" s="27"/>
      <c r="Y75" s="27"/>
    </row>
    <row r="76">
      <c r="A76" s="27"/>
      <c r="B76" s="33" t="str">
        <f>IFERROR(__xludf.DUMMYFUNCTION("""COMPUTED_VALUE"""),"stephaniegiscka")</f>
        <v>stephaniegiscka</v>
      </c>
      <c r="C76" s="34">
        <f>IFERROR(__xludf.DUMMYFUNCTION("""COMPUTED_VALUE"""),27200.0)</f>
        <v>27200</v>
      </c>
      <c r="D76" s="35" t="str">
        <f>IFERROR(__xludf.DUMMYFUNCTION("""COMPUTED_VALUE"""),"Micro")</f>
        <v>Micro</v>
      </c>
      <c r="E76" s="36" t="str">
        <f>IFERROR(__xludf.DUMMYFUNCTION("""COMPUTED_VALUE"""),"inigiscka")</f>
        <v>inigiscka</v>
      </c>
      <c r="F76" s="34">
        <f>IFERROR(__xludf.DUMMYFUNCTION("""COMPUTED_VALUE"""),50800.0)</f>
        <v>50800</v>
      </c>
      <c r="G76" s="35" t="str">
        <f>IFERROR(__xludf.DUMMYFUNCTION("""COMPUTED_VALUE"""),"Micro")</f>
        <v>Micro</v>
      </c>
      <c r="H76" s="27" t="str">
        <f>IFERROR(__xludf.DUMMYFUNCTION("""COMPUTED_VALUE"""),"Jakarta")</f>
        <v>Jakarta</v>
      </c>
      <c r="I76" s="27" t="str">
        <f>IFERROR(__xludf.DUMMYFUNCTION("""COMPUTED_VALUE"""),"- Fashion Wanita
- Beauty
- Lifestyle Female")</f>
        <v>- Fashion Wanita
- Beauty
- Lifestyle Female</v>
      </c>
      <c r="J76" s="27"/>
      <c r="K76" s="35">
        <f>IFERROR(__xludf.DUMMYFUNCTION("""COMPUTED_VALUE"""),350000.0)</f>
        <v>350000</v>
      </c>
      <c r="L76" s="35">
        <f>IFERROR(__xludf.DUMMYFUNCTION("""COMPUTED_VALUE"""),450000.0)</f>
        <v>450000</v>
      </c>
      <c r="M76" s="35">
        <f>IFERROR(__xludf.DUMMYFUNCTION("""COMPUTED_VALUE"""),50000.0)</f>
        <v>50000</v>
      </c>
      <c r="N76" s="35">
        <f>IFERROR(__xludf.DUMMYFUNCTION("""COMPUTED_VALUE"""),1000000.0)</f>
        <v>1000000</v>
      </c>
      <c r="O76" s="27"/>
      <c r="P76" s="35">
        <f>IFERROR(__xludf.DUMMYFUNCTION("""COMPUTED_VALUE"""),1000000.0)</f>
        <v>1000000</v>
      </c>
      <c r="Q76" s="27"/>
      <c r="R76" s="35">
        <f>IFERROR(__xludf.DUMMYFUNCTION("""COMPUTED_VALUE"""),1000000.0)</f>
        <v>1000000</v>
      </c>
      <c r="S76" s="35">
        <f>IFERROR(__xludf.DUMMYFUNCTION("""COMPUTED_VALUE"""),1700000.0)</f>
        <v>1700000</v>
      </c>
      <c r="T76" s="27"/>
      <c r="U76" s="35">
        <f>IFERROR(__xludf.DUMMYFUNCTION("""COMPUTED_VALUE"""),500000.0)</f>
        <v>500000</v>
      </c>
      <c r="V76" s="27"/>
      <c r="W76" s="27"/>
      <c r="X76" s="27"/>
      <c r="Y76" s="27"/>
    </row>
    <row r="77">
      <c r="A77" s="27"/>
      <c r="B77" s="33" t="str">
        <f>IFERROR(__xludf.DUMMYFUNCTION("""COMPUTED_VALUE"""),"princess.kinoi")</f>
        <v>princess.kinoi</v>
      </c>
      <c r="C77" s="34">
        <f>IFERROR(__xludf.DUMMYFUNCTION("""COMPUTED_VALUE"""),818000.0)</f>
        <v>818000</v>
      </c>
      <c r="D77" s="35" t="str">
        <f>IFERROR(__xludf.DUMMYFUNCTION("""COMPUTED_VALUE"""),"Macro")</f>
        <v>Macro</v>
      </c>
      <c r="E77" s="36" t="str">
        <f>IFERROR(__xludf.DUMMYFUNCTION("""COMPUTED_VALUE"""),"amandazahra")</f>
        <v>amandazahra</v>
      </c>
      <c r="F77" s="34" t="str">
        <f>IFERROR(__xludf.DUMMYFUNCTION("""COMPUTED_VALUE"""),"1M")</f>
        <v>1M</v>
      </c>
      <c r="G77" s="35" t="str">
        <f>IFERROR(__xludf.DUMMYFUNCTION("""COMPUTED_VALUE"""),"Mega")</f>
        <v>Mega</v>
      </c>
      <c r="H77" s="27" t="str">
        <f>IFERROR(__xludf.DUMMYFUNCTION("""COMPUTED_VALUE"""),"Jakarta")</f>
        <v>Jakarta</v>
      </c>
      <c r="I77" s="27" t="str">
        <f>IFERROR(__xludf.DUMMYFUNCTION("""COMPUTED_VALUE"""),"- Lifestyle Female
- Beauty")</f>
        <v>- Lifestyle Female
- Beauty</v>
      </c>
      <c r="J77" s="35">
        <f>IFERROR(__xludf.DUMMYFUNCTION("""COMPUTED_VALUE"""),1.5E7)</f>
        <v>15000000</v>
      </c>
      <c r="K77" s="35">
        <f>IFERROR(__xludf.DUMMYFUNCTION("""COMPUTED_VALUE"""),1.75E7)</f>
        <v>17500000</v>
      </c>
      <c r="L77" s="35">
        <f>IFERROR(__xludf.DUMMYFUNCTION("""COMPUTED_VALUE"""),2.5E7)</f>
        <v>25000000</v>
      </c>
      <c r="M77" s="35">
        <f>IFERROR(__xludf.DUMMYFUNCTION("""COMPUTED_VALUE"""),500000.0)</f>
        <v>500000</v>
      </c>
      <c r="N77" s="35">
        <f>IFERROR(__xludf.DUMMYFUNCTION("""COMPUTED_VALUE"""),2.5E7)</f>
        <v>25000000</v>
      </c>
      <c r="O77" s="35">
        <f>IFERROR(__xludf.DUMMYFUNCTION("""COMPUTED_VALUE"""),3.0E7)</f>
        <v>30000000</v>
      </c>
      <c r="P77" s="35">
        <f>IFERROR(__xludf.DUMMYFUNCTION("""COMPUTED_VALUE"""),5.0E7)</f>
        <v>50000000</v>
      </c>
      <c r="Q77" s="35">
        <f>IFERROR(__xludf.DUMMYFUNCTION("""COMPUTED_VALUE"""),1.25E7)</f>
        <v>12500000</v>
      </c>
      <c r="R77" s="35">
        <f>IFERROR(__xludf.DUMMYFUNCTION("""COMPUTED_VALUE"""),5.0E7)</f>
        <v>50000000</v>
      </c>
      <c r="S77" s="27"/>
      <c r="T77" s="27"/>
      <c r="U77" s="27"/>
      <c r="V77" s="35">
        <f>IFERROR(__xludf.DUMMYFUNCTION("""COMPUTED_VALUE"""),1000000.0)</f>
        <v>1000000</v>
      </c>
      <c r="W77" s="27"/>
      <c r="X77" s="35">
        <f>IFERROR(__xludf.DUMMYFUNCTION("""COMPUTED_VALUE"""),2.55E7)</f>
        <v>25500000</v>
      </c>
      <c r="Y77" s="27"/>
    </row>
    <row r="78">
      <c r="A78" s="27"/>
      <c r="B78" s="33" t="str">
        <f>IFERROR(__xludf.DUMMYFUNCTION("""COMPUTED_VALUE"""),"sellacarolina")</f>
        <v>sellacarolina</v>
      </c>
      <c r="C78" s="34">
        <f>IFERROR(__xludf.DUMMYFUNCTION("""COMPUTED_VALUE"""),10000.0)</f>
        <v>10000</v>
      </c>
      <c r="D78" s="35" t="str">
        <f>IFERROR(__xludf.DUMMYFUNCTION("""COMPUTED_VALUE"""),"Micro")</f>
        <v>Micro</v>
      </c>
      <c r="E78" s="33" t="str">
        <f>IFERROR(__xludf.DUMMYFUNCTION("""COMPUTED_VALUE"""),"sellacarolina")</f>
        <v>sellacarolina</v>
      </c>
      <c r="F78" s="34">
        <f>IFERROR(__xludf.DUMMYFUNCTION("""COMPUTED_VALUE"""),12000.0)</f>
        <v>12000</v>
      </c>
      <c r="G78" s="35" t="str">
        <f>IFERROR(__xludf.DUMMYFUNCTION("""COMPUTED_VALUE"""),"Micro")</f>
        <v>Micro</v>
      </c>
      <c r="H78" s="27" t="str">
        <f>IFERROR(__xludf.DUMMYFUNCTION("""COMPUTED_VALUE"""),"Jakarta")</f>
        <v>Jakarta</v>
      </c>
      <c r="I78" s="27" t="str">
        <f>IFERROR(__xludf.DUMMYFUNCTION("""COMPUTED_VALUE"""),"- Lifestyle Female
- Health &amp; sport")</f>
        <v>- Lifestyle Female
- Health &amp; sport</v>
      </c>
      <c r="J78" s="27"/>
      <c r="K78" s="35">
        <f>IFERROR(__xludf.DUMMYFUNCTION("""COMPUTED_VALUE"""),300000.0)</f>
        <v>300000</v>
      </c>
      <c r="L78" s="35">
        <f>IFERROR(__xludf.DUMMYFUNCTION("""COMPUTED_VALUE"""),1000000.0)</f>
        <v>1000000</v>
      </c>
      <c r="M78" s="35" t="str">
        <f>IFERROR(__xludf.DUMMYFUNCTION("""COMPUTED_VALUE"""),"FREE")</f>
        <v>FREE</v>
      </c>
      <c r="N78" s="27"/>
      <c r="O78" s="27"/>
      <c r="P78" s="35">
        <f>IFERROR(__xludf.DUMMYFUNCTION("""COMPUTED_VALUE"""),1500000.0)</f>
        <v>1500000</v>
      </c>
      <c r="Q78" s="27"/>
      <c r="R78" s="35">
        <f>IFERROR(__xludf.DUMMYFUNCTION("""COMPUTED_VALUE"""),1300000.0)</f>
        <v>1300000</v>
      </c>
      <c r="S78" s="27"/>
      <c r="T78" s="27"/>
      <c r="U78" s="37">
        <f>IFERROR(__xludf.DUMMYFUNCTION("""COMPUTED_VALUE"""),0.5)</f>
        <v>0.5</v>
      </c>
      <c r="V78" s="35">
        <f>IFERROR(__xludf.DUMMYFUNCTION("""COMPUTED_VALUE"""),100000.0)</f>
        <v>100000</v>
      </c>
      <c r="W78" s="35">
        <f>IFERROR(__xludf.DUMMYFUNCTION("""COMPUTED_VALUE"""),100000.0)</f>
        <v>100000</v>
      </c>
      <c r="X78" s="35">
        <f>IFERROR(__xludf.DUMMYFUNCTION("""COMPUTED_VALUE"""),1500000.0)</f>
        <v>1500000</v>
      </c>
      <c r="Y78" s="27"/>
    </row>
    <row r="79">
      <c r="A79" s="27"/>
      <c r="B79" s="33" t="str">
        <f>IFERROR(__xludf.DUMMYFUNCTION("""COMPUTED_VALUE"""),"sillacaroline")</f>
        <v>sillacaroline</v>
      </c>
      <c r="C79" s="34">
        <f>IFERROR(__xludf.DUMMYFUNCTION("""COMPUTED_VALUE"""),150000.0)</f>
        <v>150000</v>
      </c>
      <c r="D79" s="35" t="str">
        <f>IFERROR(__xludf.DUMMYFUNCTION("""COMPUTED_VALUE"""),"Mid")</f>
        <v>Mid</v>
      </c>
      <c r="E79" s="36" t="str">
        <f>IFERROR(__xludf.DUMMYFUNCTION("""COMPUTED_VALUE"""),"sillacaroline")</f>
        <v>sillacaroline</v>
      </c>
      <c r="F79" s="34">
        <f>IFERROR(__xludf.DUMMYFUNCTION("""COMPUTED_VALUE"""),21000.0)</f>
        <v>21000</v>
      </c>
      <c r="G79" s="35" t="str">
        <f>IFERROR(__xludf.DUMMYFUNCTION("""COMPUTED_VALUE"""),"Micro")</f>
        <v>Micro</v>
      </c>
      <c r="H79" s="27" t="str">
        <f>IFERROR(__xludf.DUMMYFUNCTION("""COMPUTED_VALUE"""),"Jakarta")</f>
        <v>Jakarta</v>
      </c>
      <c r="I79" s="27" t="str">
        <f>IFERROR(__xludf.DUMMYFUNCTION("""COMPUTED_VALUE"""),"- Lifestyle Female
- Health &amp; sport")</f>
        <v>- Lifestyle Female
- Health &amp; sport</v>
      </c>
      <c r="J79" s="27"/>
      <c r="K79" s="35">
        <f>IFERROR(__xludf.DUMMYFUNCTION("""COMPUTED_VALUE"""),300000.0)</f>
        <v>300000</v>
      </c>
      <c r="L79" s="35">
        <f>IFERROR(__xludf.DUMMYFUNCTION("""COMPUTED_VALUE"""),1000000.0)</f>
        <v>1000000</v>
      </c>
      <c r="M79" s="35" t="str">
        <f>IFERROR(__xludf.DUMMYFUNCTION("""COMPUTED_VALUE"""),"FREE")</f>
        <v>FREE</v>
      </c>
      <c r="N79" s="27"/>
      <c r="O79" s="27"/>
      <c r="P79" s="35">
        <f>IFERROR(__xludf.DUMMYFUNCTION("""COMPUTED_VALUE"""),1500000.0)</f>
        <v>1500000</v>
      </c>
      <c r="Q79" s="27"/>
      <c r="R79" s="35">
        <f>IFERROR(__xludf.DUMMYFUNCTION("""COMPUTED_VALUE"""),1500000.0)</f>
        <v>1500000</v>
      </c>
      <c r="S79" s="27"/>
      <c r="T79" s="27"/>
      <c r="U79" s="37">
        <f>IFERROR(__xludf.DUMMYFUNCTION("""COMPUTED_VALUE"""),0.5)</f>
        <v>0.5</v>
      </c>
      <c r="V79" s="35">
        <f>IFERROR(__xludf.DUMMYFUNCTION("""COMPUTED_VALUE"""),100000.0)</f>
        <v>100000</v>
      </c>
      <c r="W79" s="35">
        <f>IFERROR(__xludf.DUMMYFUNCTION("""COMPUTED_VALUE"""),100000.0)</f>
        <v>100000</v>
      </c>
      <c r="X79" s="35">
        <f>IFERROR(__xludf.DUMMYFUNCTION("""COMPUTED_VALUE"""),1500000.0)</f>
        <v>1500000</v>
      </c>
      <c r="Y79" s="27"/>
    </row>
    <row r="80">
      <c r="A80" s="27"/>
      <c r="B80" s="33" t="str">
        <f>IFERROR(__xludf.DUMMYFUNCTION("""COMPUTED_VALUE"""),"afifahriyad")</f>
        <v>afifahriyad</v>
      </c>
      <c r="C80" s="34">
        <f>IFERROR(__xludf.DUMMYFUNCTION("""COMPUTED_VALUE"""),527000.0)</f>
        <v>527000</v>
      </c>
      <c r="D80" s="35" t="str">
        <f>IFERROR(__xludf.DUMMYFUNCTION("""COMPUTED_VALUE"""),"Macro")</f>
        <v>Macro</v>
      </c>
      <c r="E80" s="33" t="str">
        <f>IFERROR(__xludf.DUMMYFUNCTION("""COMPUTED_VALUE"""),"afifahriyad")</f>
        <v>afifahriyad</v>
      </c>
      <c r="F80" s="34" t="str">
        <f>IFERROR(__xludf.DUMMYFUNCTION("""COMPUTED_VALUE"""),"3M")</f>
        <v>3M</v>
      </c>
      <c r="G80" s="35" t="str">
        <f>IFERROR(__xludf.DUMMYFUNCTION("""COMPUTED_VALUE"""),"Mega")</f>
        <v>Mega</v>
      </c>
      <c r="H80" s="27"/>
      <c r="I80" s="27" t="str">
        <f>IFERROR(__xludf.DUMMYFUNCTION("""COMPUTED_VALUE"""),"- Lifestyle Female
- Mom &amp; Kids
- Beauty")</f>
        <v>- Lifestyle Female
- Mom &amp; Kids
- Beauty</v>
      </c>
      <c r="J80" s="35">
        <f>IFERROR(__xludf.DUMMYFUNCTION("""COMPUTED_VALUE"""),4000000.0)</f>
        <v>4000000</v>
      </c>
      <c r="K80" s="35">
        <f>IFERROR(__xludf.DUMMYFUNCTION("""COMPUTED_VALUE"""),4000000.0)</f>
        <v>4000000</v>
      </c>
      <c r="L80" s="35">
        <f>IFERROR(__xludf.DUMMYFUNCTION("""COMPUTED_VALUE"""),6000000.0)</f>
        <v>6000000</v>
      </c>
      <c r="M80" s="35" t="str">
        <f>IFERROR(__xludf.DUMMYFUNCTION("""COMPUTED_VALUE"""),"FREE")</f>
        <v>FREE</v>
      </c>
      <c r="N80" s="35">
        <f>IFERROR(__xludf.DUMMYFUNCTION("""COMPUTED_VALUE"""),1.5E7)</f>
        <v>15000000</v>
      </c>
      <c r="O80" s="35">
        <f>IFERROR(__xludf.DUMMYFUNCTION("""COMPUTED_VALUE"""),1.5E7)</f>
        <v>15000000</v>
      </c>
      <c r="P80" s="35">
        <f>IFERROR(__xludf.DUMMYFUNCTION("""COMPUTED_VALUE"""),1.8E7)</f>
        <v>18000000</v>
      </c>
      <c r="Q80" s="35" t="str">
        <f>IFERROR(__xludf.DUMMYFUNCTION("""COMPUTED_VALUE"""),"FREE")</f>
        <v>FREE</v>
      </c>
      <c r="R80" s="35">
        <f>IFERROR(__xludf.DUMMYFUNCTION("""COMPUTED_VALUE"""),3.0E7)</f>
        <v>30000000</v>
      </c>
      <c r="S80" s="35">
        <f>IFERROR(__xludf.DUMMYFUNCTION("""COMPUTED_VALUE"""),4.8E7)</f>
        <v>48000000</v>
      </c>
      <c r="T80" s="35">
        <f>IFERROR(__xludf.DUMMYFUNCTION("""COMPUTED_VALUE"""),2.5E7)</f>
        <v>25000000</v>
      </c>
      <c r="U80" s="35" t="str">
        <f>IFERROR(__xludf.DUMMYFUNCTION("""COMPUTED_VALUE"""),"FREE")</f>
        <v>FREE</v>
      </c>
      <c r="V80" s="35" t="str">
        <f>IFERROR(__xludf.DUMMYFUNCTION("""COMPUTED_VALUE"""),"FREE")</f>
        <v>FREE</v>
      </c>
      <c r="W80" s="35" t="str">
        <f>IFERROR(__xludf.DUMMYFUNCTION("""COMPUTED_VALUE"""),"FREE")</f>
        <v>FREE</v>
      </c>
      <c r="X80" s="35">
        <f>IFERROR(__xludf.DUMMYFUNCTION("""COMPUTED_VALUE"""),2.5E7)</f>
        <v>25000000</v>
      </c>
      <c r="Y80" s="27"/>
    </row>
    <row r="81">
      <c r="A81" s="27"/>
      <c r="B81" s="33" t="str">
        <f>IFERROR(__xludf.DUMMYFUNCTION("""COMPUTED_VALUE"""),"risyabrabo")</f>
        <v>risyabrabo</v>
      </c>
      <c r="C81" s="34">
        <f>IFERROR(__xludf.DUMMYFUNCTION("""COMPUTED_VALUE"""),580000.0)</f>
        <v>580000</v>
      </c>
      <c r="D81" s="35" t="str">
        <f>IFERROR(__xludf.DUMMYFUNCTION("""COMPUTED_VALUE"""),"Macro")</f>
        <v>Macro</v>
      </c>
      <c r="E81" s="36" t="str">
        <f>IFERROR(__xludf.DUMMYFUNCTION("""COMPUTED_VALUE"""),"risyabrabo9")</f>
        <v>risyabrabo9</v>
      </c>
      <c r="F81" s="34">
        <f>IFERROR(__xludf.DUMMYFUNCTION("""COMPUTED_VALUE"""),312000.0)</f>
        <v>312000</v>
      </c>
      <c r="G81" s="35" t="str">
        <f>IFERROR(__xludf.DUMMYFUNCTION("""COMPUTED_VALUE"""),"Mid")</f>
        <v>Mid</v>
      </c>
      <c r="H81" s="27" t="str">
        <f>IFERROR(__xludf.DUMMYFUNCTION("""COMPUTED_VALUE"""),"Jakarta")</f>
        <v>Jakarta</v>
      </c>
      <c r="I81" s="27" t="str">
        <f>IFERROR(__xludf.DUMMYFUNCTION("""COMPUTED_VALUE"""),"- Lifestyle Female 
- Beauty")</f>
        <v>- Lifestyle Female 
- Beauty</v>
      </c>
      <c r="J81" s="35">
        <f>IFERROR(__xludf.DUMMYFUNCTION("""COMPUTED_VALUE"""),5500000.0)</f>
        <v>5500000</v>
      </c>
      <c r="K81" s="35">
        <f>IFERROR(__xludf.DUMMYFUNCTION("""COMPUTED_VALUE"""),7000000.0)</f>
        <v>7000000</v>
      </c>
      <c r="L81" s="35">
        <f>IFERROR(__xludf.DUMMYFUNCTION("""COMPUTED_VALUE"""),1.5E7)</f>
        <v>15000000</v>
      </c>
      <c r="M81" s="35" t="str">
        <f>IFERROR(__xludf.DUMMYFUNCTION("""COMPUTED_VALUE"""),"FREE")</f>
        <v>FREE</v>
      </c>
      <c r="N81" s="35">
        <f>IFERROR(__xludf.DUMMYFUNCTION("""COMPUTED_VALUE"""),1.8E7)</f>
        <v>18000000</v>
      </c>
      <c r="O81" s="35">
        <f>IFERROR(__xludf.DUMMYFUNCTION("""COMPUTED_VALUE"""),2.1E7)</f>
        <v>21000000</v>
      </c>
      <c r="P81" s="35">
        <f>IFERROR(__xludf.DUMMYFUNCTION("""COMPUTED_VALUE"""),2.5E7)</f>
        <v>25000000</v>
      </c>
      <c r="Q81" s="35">
        <f>IFERROR(__xludf.DUMMYFUNCTION("""COMPUTED_VALUE"""),1.0E7)</f>
        <v>10000000</v>
      </c>
      <c r="R81" s="35">
        <f>IFERROR(__xludf.DUMMYFUNCTION("""COMPUTED_VALUE"""),2.0E7)</f>
        <v>20000000</v>
      </c>
      <c r="S81" s="35">
        <f>IFERROR(__xludf.DUMMYFUNCTION("""COMPUTED_VALUE"""),3.0E7)</f>
        <v>30000000</v>
      </c>
      <c r="T81" s="35">
        <f>IFERROR(__xludf.DUMMYFUNCTION("""COMPUTED_VALUE"""),1.5E7)</f>
        <v>15000000</v>
      </c>
      <c r="U81" s="35">
        <f>IFERROR(__xludf.DUMMYFUNCTION("""COMPUTED_VALUE"""),1.0E8)</f>
        <v>100000000</v>
      </c>
      <c r="V81" s="35">
        <f>IFERROR(__xludf.DUMMYFUNCTION("""COMPUTED_VALUE"""),5000000.0)</f>
        <v>5000000</v>
      </c>
      <c r="W81" s="35">
        <f>IFERROR(__xludf.DUMMYFUNCTION("""COMPUTED_VALUE"""),1.0E7)</f>
        <v>10000000</v>
      </c>
      <c r="X81" s="35">
        <f>IFERROR(__xludf.DUMMYFUNCTION("""COMPUTED_VALUE"""),1.5E7)</f>
        <v>15000000</v>
      </c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59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  <hyperlink r:id="rId47" ref="B27"/>
    <hyperlink r:id="rId48" ref="E27"/>
    <hyperlink r:id="rId49" ref="B28"/>
    <hyperlink r:id="rId50" ref="E28"/>
    <hyperlink r:id="rId51" ref="B29"/>
    <hyperlink r:id="rId52" ref="E29"/>
    <hyperlink r:id="rId53" ref="B30"/>
    <hyperlink r:id="rId54" ref="E30"/>
    <hyperlink r:id="rId55" ref="B31"/>
    <hyperlink r:id="rId56" ref="E31"/>
    <hyperlink r:id="rId57" ref="B32"/>
    <hyperlink r:id="rId58" ref="E32"/>
    <hyperlink r:id="rId59" ref="B33"/>
    <hyperlink r:id="rId60" ref="E33"/>
    <hyperlink r:id="rId61" ref="B34"/>
    <hyperlink r:id="rId62" ref="E34"/>
    <hyperlink r:id="rId63" ref="B35"/>
    <hyperlink r:id="rId64" ref="E35"/>
    <hyperlink r:id="rId65" ref="B36"/>
    <hyperlink r:id="rId66" ref="E36"/>
    <hyperlink r:id="rId67" ref="B37"/>
    <hyperlink r:id="rId68" ref="E37"/>
    <hyperlink r:id="rId69" ref="E38"/>
    <hyperlink r:id="rId70" ref="B39"/>
    <hyperlink r:id="rId71" ref="E39"/>
    <hyperlink r:id="rId72" ref="B40"/>
    <hyperlink r:id="rId73" ref="E40"/>
    <hyperlink r:id="rId74" ref="B41"/>
    <hyperlink r:id="rId75" ref="E41"/>
    <hyperlink r:id="rId76" ref="B42"/>
    <hyperlink r:id="rId77" ref="E42"/>
    <hyperlink r:id="rId78" ref="B43"/>
    <hyperlink r:id="rId79" ref="E43"/>
    <hyperlink r:id="rId80" ref="B44"/>
    <hyperlink r:id="rId81" ref="E44"/>
    <hyperlink r:id="rId82" ref="B45"/>
    <hyperlink r:id="rId83" ref="E45"/>
    <hyperlink r:id="rId84" ref="B46"/>
    <hyperlink r:id="rId85" ref="E46"/>
    <hyperlink r:id="rId86" ref="B47"/>
    <hyperlink r:id="rId87" ref="E47"/>
    <hyperlink r:id="rId88" ref="B48"/>
    <hyperlink r:id="rId89" ref="E48"/>
    <hyperlink r:id="rId90" ref="B49"/>
    <hyperlink r:id="rId91" ref="E49"/>
    <hyperlink r:id="rId92" ref="B50"/>
    <hyperlink r:id="rId93" ref="E50"/>
    <hyperlink r:id="rId94" ref="B51"/>
    <hyperlink r:id="rId95" ref="E51"/>
    <hyperlink r:id="rId96" ref="B52"/>
    <hyperlink r:id="rId97" ref="E52"/>
    <hyperlink r:id="rId98" ref="B53"/>
    <hyperlink r:id="rId99" ref="E53"/>
    <hyperlink r:id="rId100" ref="B54"/>
    <hyperlink r:id="rId101" ref="E54"/>
    <hyperlink r:id="rId102" ref="B55"/>
    <hyperlink r:id="rId103" ref="E55"/>
    <hyperlink r:id="rId104" ref="B56"/>
    <hyperlink r:id="rId105" ref="E56"/>
    <hyperlink r:id="rId106" ref="B57"/>
    <hyperlink r:id="rId107" ref="E57"/>
    <hyperlink r:id="rId108" ref="B58"/>
    <hyperlink r:id="rId109" ref="E58"/>
    <hyperlink r:id="rId110" ref="B59"/>
    <hyperlink r:id="rId111" ref="E59"/>
    <hyperlink r:id="rId112" ref="B60"/>
    <hyperlink r:id="rId113" ref="E60"/>
    <hyperlink r:id="rId114" ref="B61"/>
    <hyperlink r:id="rId115" ref="E61"/>
    <hyperlink r:id="rId116" ref="B62"/>
    <hyperlink r:id="rId117" ref="E62"/>
    <hyperlink r:id="rId118" ref="B63"/>
    <hyperlink r:id="rId119" ref="E63"/>
    <hyperlink r:id="rId120" ref="B64"/>
    <hyperlink r:id="rId121" ref="E64"/>
    <hyperlink r:id="rId122" ref="B65"/>
    <hyperlink r:id="rId123" ref="E65"/>
    <hyperlink r:id="rId124" ref="B66"/>
    <hyperlink r:id="rId125" ref="E66"/>
    <hyperlink r:id="rId126" ref="B67"/>
    <hyperlink r:id="rId127" ref="E67"/>
    <hyperlink r:id="rId128" ref="B68"/>
    <hyperlink r:id="rId129" ref="E68"/>
    <hyperlink r:id="rId130" ref="B69"/>
    <hyperlink r:id="rId131" ref="E69"/>
    <hyperlink r:id="rId132" ref="B70"/>
    <hyperlink r:id="rId133" ref="E70"/>
    <hyperlink r:id="rId134" ref="B71"/>
    <hyperlink r:id="rId135" ref="E71"/>
    <hyperlink r:id="rId136" ref="B72"/>
    <hyperlink r:id="rId137" ref="E72"/>
    <hyperlink r:id="rId138" ref="B73"/>
    <hyperlink r:id="rId139" ref="E73"/>
    <hyperlink r:id="rId140" ref="B74"/>
    <hyperlink r:id="rId141" ref="E74"/>
    <hyperlink r:id="rId142" ref="B75"/>
    <hyperlink r:id="rId143" ref="E75"/>
    <hyperlink r:id="rId144" ref="B76"/>
    <hyperlink r:id="rId145" ref="E76"/>
    <hyperlink r:id="rId146" ref="B77"/>
    <hyperlink r:id="rId147" ref="E77"/>
    <hyperlink r:id="rId148" ref="B78"/>
    <hyperlink r:id="rId149" ref="E78"/>
    <hyperlink r:id="rId150" ref="B79"/>
    <hyperlink r:id="rId151" ref="E79"/>
    <hyperlink r:id="rId152" ref="B80"/>
    <hyperlink r:id="rId153" ref="E80"/>
    <hyperlink r:id="rId154" ref="B81"/>
    <hyperlink r:id="rId155" ref="E81"/>
  </hyperlinks>
  <drawing r:id="rId15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8"/>
      <c r="B1" s="3"/>
      <c r="C1" s="3"/>
      <c r="D1" s="3"/>
      <c r="E1" s="3"/>
      <c r="F1" s="3"/>
      <c r="G1" s="3"/>
      <c r="H1" s="3"/>
      <c r="I1" s="4"/>
      <c r="J1" s="29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""Lifestyle Male!A4:Y999"")"),1.0)</f>
        <v>1</v>
      </c>
      <c r="B4" s="18" t="str">
        <f>IFERROR(__xludf.DUMMYFUNCTION("""COMPUTED_VALUE"""),"makanlurrrr")</f>
        <v>makanlurrrr</v>
      </c>
      <c r="C4" s="23">
        <f>IFERROR(__xludf.DUMMYFUNCTION("""COMPUTED_VALUE"""),650000.0)</f>
        <v>650000</v>
      </c>
      <c r="D4" s="17" t="str">
        <f>IFERROR(__xludf.DUMMYFUNCTION("""COMPUTED_VALUE"""),"Macro")</f>
        <v>Macro</v>
      </c>
      <c r="E4" s="18" t="str">
        <f>IFERROR(__xludf.DUMMYFUNCTION("""COMPUTED_VALUE"""),"makanlurr")</f>
        <v>makanlurr</v>
      </c>
      <c r="F4" s="19">
        <f>IFERROR(__xludf.DUMMYFUNCTION("""COMPUTED_VALUE"""),1800000.0)</f>
        <v>1800000</v>
      </c>
      <c r="G4" s="17" t="str">
        <f>IFERROR(__xludf.DUMMYFUNCTION("""COMPUTED_VALUE"""),"Mega")</f>
        <v>Mega</v>
      </c>
      <c r="H4" s="17" t="str">
        <f>IFERROR(__xludf.DUMMYFUNCTION("""COMPUTED_VALUE"""),"Jakarta")</f>
        <v>Jakarta</v>
      </c>
      <c r="I4" s="17" t="str">
        <f>IFERROR(__xludf.DUMMYFUNCTION("""COMPUTED_VALUE"""),"- FnB
- Lifestyle Male")</f>
        <v>- FnB
- Lifestyle Male</v>
      </c>
      <c r="J4" s="17"/>
      <c r="K4" s="20">
        <f>IFERROR(__xludf.DUMMYFUNCTION("""COMPUTED_VALUE"""),1000000.0)</f>
        <v>1000000</v>
      </c>
      <c r="L4" s="20">
        <f>IFERROR(__xludf.DUMMYFUNCTION("""COMPUTED_VALUE"""),1000000.0)</f>
        <v>1000000</v>
      </c>
      <c r="M4" s="20" t="str">
        <f>IFERROR(__xludf.DUMMYFUNCTION("""COMPUTED_VALUE"""),"FREE")</f>
        <v>FREE</v>
      </c>
      <c r="N4" s="17"/>
      <c r="O4" s="17"/>
      <c r="P4" s="20">
        <f>IFERROR(__xludf.DUMMYFUNCTION("""COMPUTED_VALUE"""),1.0E7)</f>
        <v>10000000</v>
      </c>
      <c r="Q4" s="20" t="str">
        <f>IFERROR(__xludf.DUMMYFUNCTION("""COMPUTED_VALUE"""),"FREE")</f>
        <v>FREE</v>
      </c>
      <c r="R4" s="20">
        <f>IFERROR(__xludf.DUMMYFUNCTION("""COMPUTED_VALUE"""),1.5E7)</f>
        <v>15000000</v>
      </c>
      <c r="S4" s="20">
        <f>IFERROR(__xludf.DUMMYFUNCTION("""COMPUTED_VALUE"""),2.0E7)</f>
        <v>20000000</v>
      </c>
      <c r="T4" s="20">
        <f>IFERROR(__xludf.DUMMYFUNCTION("""COMPUTED_VALUE"""),7000000.0)</f>
        <v>7000000</v>
      </c>
      <c r="U4" s="20">
        <f>IFERROR(__xludf.DUMMYFUNCTION("""COMPUTED_VALUE"""),7000000.0)</f>
        <v>7000000</v>
      </c>
      <c r="V4" s="20" t="str">
        <f>IFERROR(__xludf.DUMMYFUNCTION("""COMPUTED_VALUE"""),"FREE")</f>
        <v>FREE</v>
      </c>
      <c r="W4" s="20" t="str">
        <f>IFERROR(__xludf.DUMMYFUNCTION("""COMPUTED_VALUE"""),"FREE")</f>
        <v>FREE</v>
      </c>
      <c r="X4" s="20">
        <f>IFERROR(__xludf.DUMMYFUNCTION("""COMPUTED_VALUE"""),2500000.0)</f>
        <v>2500000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IFERROR(__xludf.DUMMYFUNCTION("""COMPUTED_VALUE"""),"fazmifebriana_")</f>
        <v>fazmifebriana_</v>
      </c>
      <c r="C5" s="23">
        <f>IFERROR(__xludf.DUMMYFUNCTION("""COMPUTED_VALUE"""),457000.0)</f>
        <v>457000</v>
      </c>
      <c r="D5" s="17" t="str">
        <f>IFERROR(__xludf.DUMMYFUNCTION("""COMPUTED_VALUE"""),"Mid")</f>
        <v>Mid</v>
      </c>
      <c r="E5" s="18" t="str">
        <f>IFERROR(__xludf.DUMMYFUNCTION("""COMPUTED_VALUE"""),"fazmif_")</f>
        <v>fazmif_</v>
      </c>
      <c r="F5" s="23">
        <f>IFERROR(__xludf.DUMMYFUNCTION("""COMPUTED_VALUE"""),779900.0)</f>
        <v>779900</v>
      </c>
      <c r="G5" s="17" t="str">
        <f>IFERROR(__xludf.DUMMYFUNCTION("""COMPUTED_VALUE"""),"Macro")</f>
        <v>Macro</v>
      </c>
      <c r="H5" s="17" t="str">
        <f>IFERROR(__xludf.DUMMYFUNCTION("""COMPUTED_VALUE"""),"Bogor")</f>
        <v>Bogor</v>
      </c>
      <c r="I5" s="17" t="str">
        <f>IFERROR(__xludf.DUMMYFUNCTION("""COMPUTED_VALUE"""),"- Lifestyle Male
- Fashion Pria")</f>
        <v>- Lifestyle Male
- Fashion Pria</v>
      </c>
      <c r="J5" s="20">
        <f>IFERROR(__xludf.DUMMYFUNCTION("""COMPUTED_VALUE"""),2500000.0)</f>
        <v>2500000</v>
      </c>
      <c r="K5" s="20">
        <f>IFERROR(__xludf.DUMMYFUNCTION("""COMPUTED_VALUE"""),3500000.0)</f>
        <v>3500000</v>
      </c>
      <c r="L5" s="17"/>
      <c r="M5" s="20" t="str">
        <f>IFERROR(__xludf.DUMMYFUNCTION("""COMPUTED_VALUE"""),"FREE")</f>
        <v>FREE</v>
      </c>
      <c r="N5" s="17"/>
      <c r="O5" s="20">
        <f>IFERROR(__xludf.DUMMYFUNCTION("""COMPUTED_VALUE"""),6000000.0)</f>
        <v>6000000</v>
      </c>
      <c r="P5" s="20">
        <f>IFERROR(__xludf.DUMMYFUNCTION("""COMPUTED_VALUE"""),7000000.0)</f>
        <v>7000000</v>
      </c>
      <c r="Q5" s="20" t="str">
        <f>IFERROR(__xludf.DUMMYFUNCTION("""COMPUTED_VALUE"""),"FREE")</f>
        <v>FREE</v>
      </c>
      <c r="R5" s="20">
        <f>IFERROR(__xludf.DUMMYFUNCTION("""COMPUTED_VALUE"""),8000000.0)</f>
        <v>8000000</v>
      </c>
      <c r="S5" s="20">
        <f>IFERROR(__xludf.DUMMYFUNCTION("""COMPUTED_VALUE"""),1.3E7)</f>
        <v>13000000</v>
      </c>
      <c r="T5" s="20">
        <f>IFERROR(__xludf.DUMMYFUNCTION("""COMPUTED_VALUE"""),1000000.0)</f>
        <v>1000000</v>
      </c>
      <c r="U5" s="20">
        <f>IFERROR(__xludf.DUMMYFUNCTION("""COMPUTED_VALUE"""),1000000.0)</f>
        <v>1000000</v>
      </c>
      <c r="V5" s="20" t="str">
        <f>IFERROR(__xludf.DUMMYFUNCTION("""COMPUTED_VALUE"""),"7D: FREE
30D: Rp500,000
60D: Rp750,000")</f>
        <v>7D: FREE
30D: Rp500,000
60D: Rp750,000</v>
      </c>
      <c r="W5" s="20">
        <f>IFERROR(__xludf.DUMMYFUNCTION("""COMPUTED_VALUE"""),500000.0)</f>
        <v>500000</v>
      </c>
      <c r="X5" s="20" t="str">
        <f>IFERROR(__xludf.DUMMYFUNCTION("""COMPUTED_VALUE"""),"Feeds: Rp8,000,000
Reels/TikTok: Rp9,000,000")</f>
        <v>Feeds: Rp8,000,000
Reels/TikTok: Rp9,000,000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IFERROR(__xludf.DUMMYFUNCTION("""COMPUTED_VALUE"""),"fauzanakhdan")</f>
        <v>fauzanakhdan</v>
      </c>
      <c r="C6" s="23">
        <f>IFERROR(__xludf.DUMMYFUNCTION("""COMPUTED_VALUE"""),465000.0)</f>
        <v>465000</v>
      </c>
      <c r="D6" s="17" t="str">
        <f>IFERROR(__xludf.DUMMYFUNCTION("""COMPUTED_VALUE"""),"Mid")</f>
        <v>Mid</v>
      </c>
      <c r="E6" s="18" t="str">
        <f>IFERROR(__xludf.DUMMYFUNCTION("""COMPUTED_VALUE"""),"fauzanakhdan")</f>
        <v>fauzanakhdan</v>
      </c>
      <c r="F6" s="23">
        <f>IFERROR(__xludf.DUMMYFUNCTION("""COMPUTED_VALUE"""),490200.0)</f>
        <v>490200</v>
      </c>
      <c r="G6" s="17" t="str">
        <f>IFERROR(__xludf.DUMMYFUNCTION("""COMPUTED_VALUE"""),"Mid")</f>
        <v>Mid</v>
      </c>
      <c r="H6" s="17" t="str">
        <f>IFERROR(__xludf.DUMMYFUNCTION("""COMPUTED_VALUE"""),"Bogor")</f>
        <v>Bogor</v>
      </c>
      <c r="I6" s="17" t="str">
        <f>IFERROR(__xludf.DUMMYFUNCTION("""COMPUTED_VALUE"""),"- Lifestyle Male
- Pasutri
- Family
- Fashion Pria")</f>
        <v>- Lifestyle Male
- Pasutri
- Family
- Fashion Pria</v>
      </c>
      <c r="J6" s="20">
        <f>IFERROR(__xludf.DUMMYFUNCTION("""COMPUTED_VALUE"""),2500000.0)</f>
        <v>2500000</v>
      </c>
      <c r="K6" s="20">
        <f>IFERROR(__xludf.DUMMYFUNCTION("""COMPUTED_VALUE"""),2500000.0)</f>
        <v>2500000</v>
      </c>
      <c r="L6" s="20">
        <f>IFERROR(__xludf.DUMMYFUNCTION("""COMPUTED_VALUE"""),7500000.0)</f>
        <v>7500000</v>
      </c>
      <c r="M6" s="20" t="str">
        <f>IFERROR(__xludf.DUMMYFUNCTION("""COMPUTED_VALUE"""),"FREE")</f>
        <v>FREE</v>
      </c>
      <c r="N6" s="20">
        <f>IFERROR(__xludf.DUMMYFUNCTION("""COMPUTED_VALUE"""),4000000.0)</f>
        <v>4000000</v>
      </c>
      <c r="O6" s="20">
        <f>IFERROR(__xludf.DUMMYFUNCTION("""COMPUTED_VALUE"""),7500000.0)</f>
        <v>7500000</v>
      </c>
      <c r="P6" s="20">
        <f>IFERROR(__xludf.DUMMYFUNCTION("""COMPUTED_VALUE"""),9000000.0)</f>
        <v>9000000</v>
      </c>
      <c r="Q6" s="20">
        <f>IFERROR(__xludf.DUMMYFUNCTION("""COMPUTED_VALUE"""),2000000.0)</f>
        <v>2000000</v>
      </c>
      <c r="R6" s="20">
        <f>IFERROR(__xludf.DUMMYFUNCTION("""COMPUTED_VALUE"""),8000000.0)</f>
        <v>8000000</v>
      </c>
      <c r="S6" s="20">
        <f>IFERROR(__xludf.DUMMYFUNCTION("""COMPUTED_VALUE"""),1.3E7)</f>
        <v>13000000</v>
      </c>
      <c r="T6" s="17"/>
      <c r="U6" s="20">
        <f>IFERROR(__xludf.DUMMYFUNCTION("""COMPUTED_VALUE"""),3000000.0)</f>
        <v>3000000</v>
      </c>
      <c r="V6" s="20">
        <f>IFERROR(__xludf.DUMMYFUNCTION("""COMPUTED_VALUE"""),1000000.0)</f>
        <v>1000000</v>
      </c>
      <c r="W6" s="20">
        <f>IFERROR(__xludf.DUMMYFUNCTION("""COMPUTED_VALUE"""),3000000.0)</f>
        <v>3000000</v>
      </c>
      <c r="X6" s="20">
        <f>IFERROR(__xludf.DUMMYFUNCTION("""COMPUTED_VALUE"""),4000000.0)</f>
        <v>4000000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IFERROR(__xludf.DUMMYFUNCTION("""COMPUTED_VALUE"""),"faridnuralimm_")</f>
        <v>faridnuralimm_</v>
      </c>
      <c r="C7" s="23">
        <f>IFERROR(__xludf.DUMMYFUNCTION("""COMPUTED_VALUE"""),303000.0)</f>
        <v>303000</v>
      </c>
      <c r="D7" s="17" t="str">
        <f>IFERROR(__xludf.DUMMYFUNCTION("""COMPUTED_VALUE"""),"Mid")</f>
        <v>Mid</v>
      </c>
      <c r="E7" s="18" t="str">
        <f>IFERROR(__xludf.DUMMYFUNCTION("""COMPUTED_VALUE"""),"aidnnn2")</f>
        <v>aidnnn2</v>
      </c>
      <c r="F7" s="23">
        <f>IFERROR(__xludf.DUMMYFUNCTION("""COMPUTED_VALUE"""),238100.0)</f>
        <v>238100</v>
      </c>
      <c r="G7" s="17" t="str">
        <f>IFERROR(__xludf.DUMMYFUNCTION("""COMPUTED_VALUE"""),"Mid")</f>
        <v>Mid</v>
      </c>
      <c r="H7" s="17" t="str">
        <f>IFERROR(__xludf.DUMMYFUNCTION("""COMPUTED_VALUE"""),"Bandung")</f>
        <v>Bandung</v>
      </c>
      <c r="I7" s="17" t="str">
        <f>IFERROR(__xludf.DUMMYFUNCTION("""COMPUTED_VALUE"""),"- Lifestyle Male
- Comedy
- FnB")</f>
        <v>- Lifestyle Male
- Comedy
- FnB</v>
      </c>
      <c r="J7" s="20">
        <f>IFERROR(__xludf.DUMMYFUNCTION("""COMPUTED_VALUE"""),500000.0)</f>
        <v>500000</v>
      </c>
      <c r="K7" s="20">
        <f>IFERROR(__xludf.DUMMYFUNCTION("""COMPUTED_VALUE"""),1500000.0)</f>
        <v>1500000</v>
      </c>
      <c r="L7" s="20">
        <f>IFERROR(__xludf.DUMMYFUNCTION("""COMPUTED_VALUE"""),2500000.0)</f>
        <v>2500000</v>
      </c>
      <c r="M7" s="20" t="str">
        <f>IFERROR(__xludf.DUMMYFUNCTION("""COMPUTED_VALUE"""),"FREE")</f>
        <v>FREE</v>
      </c>
      <c r="N7" s="20">
        <f>IFERROR(__xludf.DUMMYFUNCTION("""COMPUTED_VALUE"""),5000000.0)</f>
        <v>5000000</v>
      </c>
      <c r="O7" s="20" t="str">
        <f>IFERROR(__xludf.DUMMYFUNCTION("""COMPUTED_VALUE"""),"FREE")</f>
        <v>FREE</v>
      </c>
      <c r="P7" s="20">
        <f>IFERROR(__xludf.DUMMYFUNCTION("""COMPUTED_VALUE"""),7500000.0)</f>
        <v>7500000</v>
      </c>
      <c r="Q7" s="20">
        <f>IFERROR(__xludf.DUMMYFUNCTION("""COMPUTED_VALUE"""),2500000.0)</f>
        <v>2500000</v>
      </c>
      <c r="R7" s="20">
        <f>IFERROR(__xludf.DUMMYFUNCTION("""COMPUTED_VALUE"""),1.0E7)</f>
        <v>10000000</v>
      </c>
      <c r="S7" s="20">
        <f>IFERROR(__xludf.DUMMYFUNCTION("""COMPUTED_VALUE"""),1.2E7)</f>
        <v>12000000</v>
      </c>
      <c r="T7" s="20" t="str">
        <f>IFERROR(__xludf.DUMMYFUNCTION("""COMPUTED_VALUE"""),"Akun brand: Rp7.000.000
Akun sendiri: Rp5.000.000")</f>
        <v>Akun brand: Rp7.000.000
Akun sendiri: Rp5.000.000</v>
      </c>
      <c r="U7" s="17" t="str">
        <f>IFERROR(__xludf.DUMMYFUNCTION("""COMPUTED_VALUE"""),"100% rate")</f>
        <v>100% rate</v>
      </c>
      <c r="V7" s="20">
        <f>IFERROR(__xludf.DUMMYFUNCTION("""COMPUTED_VALUE"""),2500000.0)</f>
        <v>2500000</v>
      </c>
      <c r="W7" s="20" t="str">
        <f>IFERROR(__xludf.DUMMYFUNCTION("""COMPUTED_VALUE"""),"FREE")</f>
        <v>FREE</v>
      </c>
      <c r="X7" s="20">
        <f>IFERROR(__xludf.DUMMYFUNCTION("""COMPUTED_VALUE"""),6500000.0)</f>
        <v>6500000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IFERROR(__xludf.DUMMYFUNCTION("""COMPUTED_VALUE"""),"elnandautomo")</f>
        <v>elnandautomo</v>
      </c>
      <c r="C8" s="23">
        <f>IFERROR(__xludf.DUMMYFUNCTION("""COMPUTED_VALUE"""),286000.0)</f>
        <v>286000</v>
      </c>
      <c r="D8" s="17" t="str">
        <f>IFERROR(__xludf.DUMMYFUNCTION("""COMPUTED_VALUE"""),"Mid")</f>
        <v>Mid</v>
      </c>
      <c r="E8" s="18" t="str">
        <f>IFERROR(__xludf.DUMMYFUNCTION("""COMPUTED_VALUE"""),"elnandautomoo")</f>
        <v>elnandautomoo</v>
      </c>
      <c r="F8" s="23">
        <f>IFERROR(__xludf.DUMMYFUNCTION("""COMPUTED_VALUE"""),61300.0)</f>
        <v>61300</v>
      </c>
      <c r="G8" s="17" t="str">
        <f>IFERROR(__xludf.DUMMYFUNCTION("""COMPUTED_VALUE"""),"Micro")</f>
        <v>Micro</v>
      </c>
      <c r="H8" s="17" t="str">
        <f>IFERROR(__xludf.DUMMYFUNCTION("""COMPUTED_VALUE"""),"Jakarta")</f>
        <v>Jakarta</v>
      </c>
      <c r="I8" s="17" t="str">
        <f>IFERROR(__xludf.DUMMYFUNCTION("""COMPUTED_VALUE"""),"- Lifestyle Male
- Fashion Pria")</f>
        <v>- Lifestyle Male
- Fashion Pria</v>
      </c>
      <c r="J8" s="17"/>
      <c r="K8" s="20">
        <f>IFERROR(__xludf.DUMMYFUNCTION("""COMPUTED_VALUE"""),3000000.0)</f>
        <v>3000000</v>
      </c>
      <c r="L8" s="20">
        <f>IFERROR(__xludf.DUMMYFUNCTION("""COMPUTED_VALUE"""),6000000.0)</f>
        <v>6000000</v>
      </c>
      <c r="M8" s="20" t="str">
        <f>IFERROR(__xludf.DUMMYFUNCTION("""COMPUTED_VALUE"""),"FREE")</f>
        <v>FREE</v>
      </c>
      <c r="N8" s="20">
        <f>IFERROR(__xludf.DUMMYFUNCTION("""COMPUTED_VALUE"""),4000000.0)</f>
        <v>4000000</v>
      </c>
      <c r="O8" s="20">
        <f>IFERROR(__xludf.DUMMYFUNCTION("""COMPUTED_VALUE"""),7000000.0)</f>
        <v>7000000</v>
      </c>
      <c r="P8" s="20">
        <f>IFERROR(__xludf.DUMMYFUNCTION("""COMPUTED_VALUE"""),1.0E7)</f>
        <v>10000000</v>
      </c>
      <c r="Q8" s="21">
        <f>IFERROR(__xludf.DUMMYFUNCTION("""COMPUTED_VALUE"""),0.3)</f>
        <v>0.3</v>
      </c>
      <c r="R8" s="20">
        <f>IFERROR(__xludf.DUMMYFUNCTION("""COMPUTED_VALUE"""),3000000.0)</f>
        <v>3000000</v>
      </c>
      <c r="S8" s="20">
        <f>IFERROR(__xludf.DUMMYFUNCTION("""COMPUTED_VALUE"""),1.2E7)</f>
        <v>12000000</v>
      </c>
      <c r="T8" s="17"/>
      <c r="U8" s="21">
        <f>IFERROR(__xludf.DUMMYFUNCTION("""COMPUTED_VALUE"""),0.5)</f>
        <v>0.5</v>
      </c>
      <c r="V8" s="21">
        <f>IFERROR(__xludf.DUMMYFUNCTION("""COMPUTED_VALUE"""),0.2)</f>
        <v>0.2</v>
      </c>
      <c r="W8" s="20" t="str">
        <f>IFERROR(__xludf.DUMMYFUNCTION("""COMPUTED_VALUE"""),"FREE")</f>
        <v>FREE</v>
      </c>
      <c r="X8" s="20">
        <f>IFERROR(__xludf.DUMMYFUNCTION("""COMPUTED_VALUE"""),7000000.0)</f>
        <v>7000000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IFERROR(__xludf.DUMMYFUNCTION("""COMPUTED_VALUE"""),"juandadaly")</f>
        <v>juandadaly</v>
      </c>
      <c r="C9" s="23">
        <f>IFERROR(__xludf.DUMMYFUNCTION("""COMPUTED_VALUE"""),228000.0)</f>
        <v>228000</v>
      </c>
      <c r="D9" s="17" t="str">
        <f>IFERROR(__xludf.DUMMYFUNCTION("""COMPUTED_VALUE"""),"Mid")</f>
        <v>Mid</v>
      </c>
      <c r="E9" s="18" t="str">
        <f>IFERROR(__xludf.DUMMYFUNCTION("""COMPUTED_VALUE"""),"juandadaly")</f>
        <v>juandadaly</v>
      </c>
      <c r="F9" s="19">
        <f>IFERROR(__xludf.DUMMYFUNCTION("""COMPUTED_VALUE"""),1700000.0)</f>
        <v>1700000</v>
      </c>
      <c r="G9" s="17" t="str">
        <f>IFERROR(__xludf.DUMMYFUNCTION("""COMPUTED_VALUE"""),"Mega")</f>
        <v>Mega</v>
      </c>
      <c r="H9" s="17" t="str">
        <f>IFERROR(__xludf.DUMMYFUNCTION("""COMPUTED_VALUE"""),"Bogor ")</f>
        <v>Bogor </v>
      </c>
      <c r="I9" s="17" t="str">
        <f>IFERROR(__xludf.DUMMYFUNCTION("""COMPUTED_VALUE"""),"- Lifestyle Male, 
- Health &amp; Sport
- Family")</f>
        <v>- Lifestyle Male, 
- Health &amp; Sport
- Family</v>
      </c>
      <c r="J9" s="17"/>
      <c r="K9" s="20">
        <f>IFERROR(__xludf.DUMMYFUNCTION("""COMPUTED_VALUE"""),1000000.0)</f>
        <v>1000000</v>
      </c>
      <c r="L9" s="20">
        <f>IFERROR(__xludf.DUMMYFUNCTION("""COMPUTED_VALUE"""),1500000.0)</f>
        <v>1500000</v>
      </c>
      <c r="M9" s="20" t="str">
        <f>IFERROR(__xludf.DUMMYFUNCTION("""COMPUTED_VALUE"""),"FREE")</f>
        <v>FREE</v>
      </c>
      <c r="N9" s="20">
        <f>IFERROR(__xludf.DUMMYFUNCTION("""COMPUTED_VALUE"""),2500000.0)</f>
        <v>2500000</v>
      </c>
      <c r="O9" s="20">
        <f>IFERROR(__xludf.DUMMYFUNCTION("""COMPUTED_VALUE"""),3000000.0)</f>
        <v>3000000</v>
      </c>
      <c r="P9" s="20">
        <f>IFERROR(__xludf.DUMMYFUNCTION("""COMPUTED_VALUE"""),4000000.0)</f>
        <v>4000000</v>
      </c>
      <c r="Q9" s="20" t="str">
        <f>IFERROR(__xludf.DUMMYFUNCTION("""COMPUTED_VALUE"""),"FREE")</f>
        <v>FREE</v>
      </c>
      <c r="R9" s="20">
        <f>IFERROR(__xludf.DUMMYFUNCTION("""COMPUTED_VALUE"""),4500000.0)</f>
        <v>4500000</v>
      </c>
      <c r="S9" s="20">
        <f>IFERROR(__xludf.DUMMYFUNCTION("""COMPUTED_VALUE"""),5500000.0)</f>
        <v>5500000</v>
      </c>
      <c r="T9" s="17"/>
      <c r="U9" s="20">
        <f>IFERROR(__xludf.DUMMYFUNCTION("""COMPUTED_VALUE"""),2000000.0)</f>
        <v>2000000</v>
      </c>
      <c r="V9" s="20">
        <f>IFERROR(__xludf.DUMMYFUNCTION("""COMPUTED_VALUE"""),500000.0)</f>
        <v>500000</v>
      </c>
      <c r="W9" s="20">
        <f>IFERROR(__xludf.DUMMYFUNCTION("""COMPUTED_VALUE"""),500000.0)</f>
        <v>500000</v>
      </c>
      <c r="X9" s="17" t="str">
        <f>IFERROR(__xludf.DUMMYFUNCTION("""COMPUTED_VALUE"""),"Rp1.000.000 (Jabodetabek)")</f>
        <v>Rp1.000.000 (Jabodetabek)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IFERROR(__xludf.DUMMYFUNCTION("""COMPUTED_VALUE"""),"redcah")</f>
        <v>redcah</v>
      </c>
      <c r="C10" s="23">
        <f>IFERROR(__xludf.DUMMYFUNCTION("""COMPUTED_VALUE"""),181000.0)</f>
        <v>181000</v>
      </c>
      <c r="D10" s="17" t="str">
        <f>IFERROR(__xludf.DUMMYFUNCTION("""COMPUTED_VALUE"""),"Mid")</f>
        <v>Mid</v>
      </c>
      <c r="E10" s="18" t="str">
        <f>IFERROR(__xludf.DUMMYFUNCTION("""COMPUTED_VALUE"""),"redcah")</f>
        <v>redcah</v>
      </c>
      <c r="F10" s="23">
        <f>IFERROR(__xludf.DUMMYFUNCTION("""COMPUTED_VALUE"""),569400.0)</f>
        <v>569400</v>
      </c>
      <c r="G10" s="17" t="str">
        <f>IFERROR(__xludf.DUMMYFUNCTION("""COMPUTED_VALUE"""),"Macro")</f>
        <v>Macro</v>
      </c>
      <c r="H10" s="17" t="str">
        <f>IFERROR(__xludf.DUMMYFUNCTION("""COMPUTED_VALUE"""),"Tangerang")</f>
        <v>Tangerang</v>
      </c>
      <c r="I10" s="17" t="str">
        <f>IFERROR(__xludf.DUMMYFUNCTION("""COMPUTED_VALUE"""),"- Lifestyle Male
- Pasutri
- Fashion Pria")</f>
        <v>- Lifestyle Male
- Pasutri
- Fashion Pria</v>
      </c>
      <c r="J10" s="20">
        <f>IFERROR(__xludf.DUMMYFUNCTION("""COMPUTED_VALUE"""),450000.0)</f>
        <v>450000</v>
      </c>
      <c r="K10" s="20">
        <f>IFERROR(__xludf.DUMMYFUNCTION("""COMPUTED_VALUE"""),500000.0)</f>
        <v>500000</v>
      </c>
      <c r="L10" s="20">
        <f>IFERROR(__xludf.DUMMYFUNCTION("""COMPUTED_VALUE"""),750000.0)</f>
        <v>750000</v>
      </c>
      <c r="M10" s="20" t="str">
        <f>IFERROR(__xludf.DUMMYFUNCTION("""COMPUTED_VALUE"""),"FREE")</f>
        <v>FREE</v>
      </c>
      <c r="N10" s="20">
        <f>IFERROR(__xludf.DUMMYFUNCTION("""COMPUTED_VALUE"""),2000000.0)</f>
        <v>2000000</v>
      </c>
      <c r="O10" s="20">
        <f>IFERROR(__xludf.DUMMYFUNCTION("""COMPUTED_VALUE"""),2500000.0)</f>
        <v>2500000</v>
      </c>
      <c r="P10" s="20">
        <f>IFERROR(__xludf.DUMMYFUNCTION("""COMPUTED_VALUE"""),3000000.0)</f>
        <v>3000000</v>
      </c>
      <c r="Q10" s="20" t="str">
        <f>IFERROR(__xludf.DUMMYFUNCTION("""COMPUTED_VALUE"""),"FREE")</f>
        <v>FREE</v>
      </c>
      <c r="R10" s="20">
        <f>IFERROR(__xludf.DUMMYFUNCTION("""COMPUTED_VALUE"""),6000000.0)</f>
        <v>6000000</v>
      </c>
      <c r="S10" s="20">
        <f>IFERROR(__xludf.DUMMYFUNCTION("""COMPUTED_VALUE"""),7000000.0)</f>
        <v>7000000</v>
      </c>
      <c r="T10" s="20">
        <f>IFERROR(__xludf.DUMMYFUNCTION("""COMPUTED_VALUE"""),3000000.0)</f>
        <v>3000000</v>
      </c>
      <c r="U10" s="20" t="str">
        <f>IFERROR(__xludf.DUMMYFUNCTION("""COMPUTED_VALUE"""),"FREE")</f>
        <v>FREE</v>
      </c>
      <c r="V10" s="20" t="str">
        <f>IFERROR(__xludf.DUMMYFUNCTION("""COMPUTED_VALUE"""),"FREE")</f>
        <v>FREE</v>
      </c>
      <c r="W10" s="20" t="str">
        <f>IFERROR(__xludf.DUMMYFUNCTION("""COMPUTED_VALUE"""),"FREE")</f>
        <v>FREE</v>
      </c>
      <c r="X10" s="20">
        <f>IFERROR(__xludf.DUMMYFUNCTION("""COMPUTED_VALUE"""),1000000.0)</f>
        <v>1000000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IFERROR(__xludf.DUMMYFUNCTION("""COMPUTED_VALUE"""),"luthfy.h20")</f>
        <v>luthfy.h20</v>
      </c>
      <c r="C11" s="23">
        <f>IFERROR(__xludf.DUMMYFUNCTION("""COMPUTED_VALUE"""),148000.0)</f>
        <v>148000</v>
      </c>
      <c r="D11" s="17" t="str">
        <f>IFERROR(__xludf.DUMMYFUNCTION("""COMPUTED_VALUE"""),"Mid")</f>
        <v>Mid</v>
      </c>
      <c r="E11" s="18" t="str">
        <f>IFERROR(__xludf.DUMMYFUNCTION("""COMPUTED_VALUE"""),"luthfy.h20")</f>
        <v>luthfy.h20</v>
      </c>
      <c r="F11" s="19">
        <f>IFERROR(__xludf.DUMMYFUNCTION("""COMPUTED_VALUE"""),1500000.0)</f>
        <v>1500000</v>
      </c>
      <c r="G11" s="17" t="str">
        <f>IFERROR(__xludf.DUMMYFUNCTION("""COMPUTED_VALUE"""),"Mega")</f>
        <v>Mega</v>
      </c>
      <c r="H11" s="17" t="str">
        <f>IFERROR(__xludf.DUMMYFUNCTION("""COMPUTED_VALUE"""),"Tasikmalaya")</f>
        <v>Tasikmalaya</v>
      </c>
      <c r="I11" s="17" t="str">
        <f>IFERROR(__xludf.DUMMYFUNCTION("""COMPUTED_VALUE"""),"- Lifestyle Male 
- Family
- Pasutri")</f>
        <v>- Lifestyle Male 
- Family
- Pasutri</v>
      </c>
      <c r="J11" s="17"/>
      <c r="K11" s="20">
        <f>IFERROR(__xludf.DUMMYFUNCTION("""COMPUTED_VALUE"""),2000000.0)</f>
        <v>2000000</v>
      </c>
      <c r="L11" s="20">
        <f>IFERROR(__xludf.DUMMYFUNCTION("""COMPUTED_VALUE"""),2500000.0)</f>
        <v>2500000</v>
      </c>
      <c r="M11" s="20">
        <f>IFERROR(__xludf.DUMMYFUNCTION("""COMPUTED_VALUE"""),500000.0)</f>
        <v>500000</v>
      </c>
      <c r="N11" s="20">
        <f>IFERROR(__xludf.DUMMYFUNCTION("""COMPUTED_VALUE"""),4500000.0)</f>
        <v>4500000</v>
      </c>
      <c r="O11" s="20">
        <f>IFERROR(__xludf.DUMMYFUNCTION("""COMPUTED_VALUE"""),4500000.0)</f>
        <v>4500000</v>
      </c>
      <c r="P11" s="20">
        <f>IFERROR(__xludf.DUMMYFUNCTION("""COMPUTED_VALUE"""),8000000.0)</f>
        <v>8000000</v>
      </c>
      <c r="Q11" s="20" t="str">
        <f>IFERROR(__xludf.DUMMYFUNCTION("""COMPUTED_VALUE"""),"FREE")</f>
        <v>FREE</v>
      </c>
      <c r="R11" s="20">
        <f>IFERROR(__xludf.DUMMYFUNCTION("""COMPUTED_VALUE"""),1.1E7)</f>
        <v>11000000</v>
      </c>
      <c r="S11" s="20">
        <f>IFERROR(__xludf.DUMMYFUNCTION("""COMPUTED_VALUE"""),1.3E7)</f>
        <v>13000000</v>
      </c>
      <c r="T11" s="17"/>
      <c r="U11" s="20" t="str">
        <f>IFERROR(__xludf.DUMMYFUNCTION("""COMPUTED_VALUE"""),"FREE")</f>
        <v>FREE</v>
      </c>
      <c r="V11" s="20" t="str">
        <f>IFERROR(__xludf.DUMMYFUNCTION("""COMPUTED_VALUE"""),"FREE")</f>
        <v>FREE</v>
      </c>
      <c r="W11" s="20" t="str">
        <f>IFERROR(__xludf.DUMMYFUNCTION("""COMPUTED_VALUE"""),"FREE")</f>
        <v>FREE</v>
      </c>
      <c r="X11" s="17"/>
      <c r="Y11" s="17"/>
    </row>
    <row r="12">
      <c r="A12" s="17">
        <f>IFERROR(__xludf.DUMMYFUNCTION("""COMPUTED_VALUE"""),9.0)</f>
        <v>9</v>
      </c>
      <c r="B12" s="18" t="str">
        <f>IFERROR(__xludf.DUMMYFUNCTION("""COMPUTED_VALUE"""),"rizkywahyudinata_")</f>
        <v>rizkywahyudinata_</v>
      </c>
      <c r="C12" s="23">
        <f>IFERROR(__xludf.DUMMYFUNCTION("""COMPUTED_VALUE"""),142000.0)</f>
        <v>142000</v>
      </c>
      <c r="D12" s="17" t="str">
        <f>IFERROR(__xludf.DUMMYFUNCTION("""COMPUTED_VALUE"""),"Mid")</f>
        <v>Mid</v>
      </c>
      <c r="E12" s="18" t="str">
        <f>IFERROR(__xludf.DUMMYFUNCTION("""COMPUTED_VALUE"""),"amoskiduy0512")</f>
        <v>amoskiduy0512</v>
      </c>
      <c r="F12" s="23">
        <f>IFERROR(__xludf.DUMMYFUNCTION("""COMPUTED_VALUE"""),714500.0)</f>
        <v>714500</v>
      </c>
      <c r="G12" s="17" t="str">
        <f>IFERROR(__xludf.DUMMYFUNCTION("""COMPUTED_VALUE"""),"Macro")</f>
        <v>Macro</v>
      </c>
      <c r="H12" s="17" t="str">
        <f>IFERROR(__xludf.DUMMYFUNCTION("""COMPUTED_VALUE"""),"Tangerang")</f>
        <v>Tangerang</v>
      </c>
      <c r="I12" s="17" t="str">
        <f>IFERROR(__xludf.DUMMYFUNCTION("""COMPUTED_VALUE"""),"- Lifestyle Male 
- Family
- Pasutri")</f>
        <v>- Lifestyle Male 
- Family
- Pasutri</v>
      </c>
      <c r="J12" s="17"/>
      <c r="K12" s="20">
        <f>IFERROR(__xludf.DUMMYFUNCTION("""COMPUTED_VALUE"""),2000000.0)</f>
        <v>2000000</v>
      </c>
      <c r="L12" s="20">
        <f>IFERROR(__xludf.DUMMYFUNCTION("""COMPUTED_VALUE"""),3000000.0)</f>
        <v>3000000</v>
      </c>
      <c r="M12" s="20" t="str">
        <f>IFERROR(__xludf.DUMMYFUNCTION("""COMPUTED_VALUE"""),"FREE")</f>
        <v>FREE</v>
      </c>
      <c r="N12" s="20">
        <f>IFERROR(__xludf.DUMMYFUNCTION("""COMPUTED_VALUE"""),2000000.0)</f>
        <v>2000000</v>
      </c>
      <c r="O12" s="17"/>
      <c r="P12" s="20">
        <f>IFERROR(__xludf.DUMMYFUNCTION("""COMPUTED_VALUE"""),5000000.0)</f>
        <v>5000000</v>
      </c>
      <c r="Q12" s="20">
        <f>IFERROR(__xludf.DUMMYFUNCTION("""COMPUTED_VALUE"""),1000000.0)</f>
        <v>1000000</v>
      </c>
      <c r="R12" s="20">
        <f>IFERROR(__xludf.DUMMYFUNCTION("""COMPUTED_VALUE"""),5000000.0)</f>
        <v>5000000</v>
      </c>
      <c r="S12" s="20">
        <f>IFERROR(__xludf.DUMMYFUNCTION("""COMPUTED_VALUE"""),6000000.0)</f>
        <v>6000000</v>
      </c>
      <c r="T12" s="17"/>
      <c r="U12" s="17"/>
      <c r="V12" s="20">
        <f>IFERROR(__xludf.DUMMYFUNCTION("""COMPUTED_VALUE"""),1000000.0)</f>
        <v>1000000</v>
      </c>
      <c r="W12" s="20" t="str">
        <f>IFERROR(__xludf.DUMMYFUNCTION("""COMPUTED_VALUE"""),"FREE")</f>
        <v>FREE</v>
      </c>
      <c r="X12" s="20">
        <f>IFERROR(__xludf.DUMMYFUNCTION("""COMPUTED_VALUE"""),1000000.0)</f>
        <v>1000000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IFERROR(__xludf.DUMMYFUNCTION("""COMPUTED_VALUE"""),"hasbyalf")</f>
        <v>hasbyalf</v>
      </c>
      <c r="C13" s="23">
        <f>IFERROR(__xludf.DUMMYFUNCTION("""COMPUTED_VALUE"""),121000.0)</f>
        <v>121000</v>
      </c>
      <c r="D13" s="17" t="str">
        <f>IFERROR(__xludf.DUMMYFUNCTION("""COMPUTED_VALUE"""),"Mid")</f>
        <v>Mid</v>
      </c>
      <c r="E13" s="18" t="str">
        <f>IFERROR(__xludf.DUMMYFUNCTION("""COMPUTED_VALUE"""),"hasbyalf")</f>
        <v>hasbyalf</v>
      </c>
      <c r="F13" s="19">
        <f>IFERROR(__xludf.DUMMYFUNCTION("""COMPUTED_VALUE"""),1900000.0)</f>
        <v>1900000</v>
      </c>
      <c r="G13" s="17" t="str">
        <f>IFERROR(__xludf.DUMMYFUNCTION("""COMPUTED_VALUE"""),"Mega")</f>
        <v>Mega</v>
      </c>
      <c r="H13" s="17" t="str">
        <f>IFERROR(__xludf.DUMMYFUNCTION("""COMPUTED_VALUE"""),"Bandung")</f>
        <v>Bandung</v>
      </c>
      <c r="I13" s="17" t="str">
        <f>IFERROR(__xludf.DUMMYFUNCTION("""COMPUTED_VALUE"""),"- Lifestyle Male 
- Family
- Pasutri")</f>
        <v>- Lifestyle Male 
- Family
- Pasutri</v>
      </c>
      <c r="J13" s="17"/>
      <c r="K13" s="20">
        <f>IFERROR(__xludf.DUMMYFUNCTION("""COMPUTED_VALUE"""),500000.0)</f>
        <v>500000</v>
      </c>
      <c r="L13" s="20" t="str">
        <f>IFERROR(__xludf.DUMMYFUNCTION("""COMPUTED_VALUE"""),"Rp800,000 (Free Tap Link)")</f>
        <v>Rp800,000 (Free Tap Link)</v>
      </c>
      <c r="M13" s="17"/>
      <c r="N13" s="20">
        <f>IFERROR(__xludf.DUMMYFUNCTION("""COMPUTED_VALUE"""),700000.0)</f>
        <v>700000</v>
      </c>
      <c r="O13" s="17"/>
      <c r="P13" s="20">
        <f>IFERROR(__xludf.DUMMYFUNCTION("""COMPUTED_VALUE"""),4000000.0)</f>
        <v>4000000</v>
      </c>
      <c r="Q13" s="17"/>
      <c r="R13" s="20">
        <f>IFERROR(__xludf.DUMMYFUNCTION("""COMPUTED_VALUE"""),6500000.0)</f>
        <v>6500000</v>
      </c>
      <c r="S13" s="17"/>
      <c r="T13" s="17"/>
      <c r="U13" s="17"/>
      <c r="V13" s="17"/>
      <c r="W13" s="17"/>
      <c r="X13" s="17"/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IFERROR(__xludf.DUMMYFUNCTION("""COMPUTED_VALUE"""),"ficrafth")</f>
        <v>ficrafth</v>
      </c>
      <c r="C14" s="23">
        <f>IFERROR(__xludf.DUMMYFUNCTION("""COMPUTED_VALUE"""),77000.0)</f>
        <v>77000</v>
      </c>
      <c r="D14" s="17" t="str">
        <f>IFERROR(__xludf.DUMMYFUNCTION("""COMPUTED_VALUE"""),"Micro")</f>
        <v>Micro</v>
      </c>
      <c r="E14" s="18" t="str">
        <f>IFERROR(__xludf.DUMMYFUNCTION("""COMPUTED_VALUE"""),"ficrafth")</f>
        <v>ficrafth</v>
      </c>
      <c r="F14" s="19">
        <f>IFERROR(__xludf.DUMMYFUNCTION("""COMPUTED_VALUE"""),2200000.0)</f>
        <v>2200000</v>
      </c>
      <c r="G14" s="17" t="str">
        <f>IFERROR(__xludf.DUMMYFUNCTION("""COMPUTED_VALUE"""),"Mega")</f>
        <v>Mega</v>
      </c>
      <c r="H14" s="17" t="str">
        <f>IFERROR(__xludf.DUMMYFUNCTION("""COMPUTED_VALUE"""),"Jakarta")</f>
        <v>Jakarta</v>
      </c>
      <c r="I14" s="17" t="str">
        <f>IFERROR(__xludf.DUMMYFUNCTION("""COMPUTED_VALUE"""),"- Lifestyle Male
- Comedy
- FnB")</f>
        <v>- Lifestyle Male
- Comedy
- FnB</v>
      </c>
      <c r="J14" s="17"/>
      <c r="K14" s="20">
        <f>IFERROR(__xludf.DUMMYFUNCTION("""COMPUTED_VALUE"""),500000.0)</f>
        <v>500000</v>
      </c>
      <c r="L14" s="20">
        <f>IFERROR(__xludf.DUMMYFUNCTION("""COMPUTED_VALUE"""),1500000.0)</f>
        <v>1500000</v>
      </c>
      <c r="M14" s="20" t="str">
        <f>IFERROR(__xludf.DUMMYFUNCTION("""COMPUTED_VALUE"""),"FREE")</f>
        <v>FREE</v>
      </c>
      <c r="N14" s="20">
        <f>IFERROR(__xludf.DUMMYFUNCTION("""COMPUTED_VALUE"""),2500000.0)</f>
        <v>2500000</v>
      </c>
      <c r="O14" s="20">
        <f>IFERROR(__xludf.DUMMYFUNCTION("""COMPUTED_VALUE"""),3000000.0)</f>
        <v>3000000</v>
      </c>
      <c r="P14" s="20">
        <f>IFERROR(__xludf.DUMMYFUNCTION("""COMPUTED_VALUE"""),4000000.0)</f>
        <v>4000000</v>
      </c>
      <c r="Q14" s="20">
        <f>IFERROR(__xludf.DUMMYFUNCTION("""COMPUTED_VALUE"""),3000000.0)</f>
        <v>3000000</v>
      </c>
      <c r="R14" s="20" t="str">
        <f>IFERROR(__xludf.DUMMYFUNCTION("""COMPUTED_VALUE"""),"Rp7.000.000 - Rp10.000.000")</f>
        <v>Rp7.000.000 - Rp10.000.000</v>
      </c>
      <c r="S14" s="20">
        <f>IFERROR(__xludf.DUMMYFUNCTION("""COMPUTED_VALUE"""),1.2E7)</f>
        <v>12000000</v>
      </c>
      <c r="T14" s="20" t="str">
        <f>IFERROR(__xludf.DUMMYFUNCTION("""COMPUTED_VALUE"""),"Rp3.500.000 - Rp5.000.000")</f>
        <v>Rp3.500.000 - Rp5.000.000</v>
      </c>
      <c r="U14" s="20">
        <f>IFERROR(__xludf.DUMMYFUNCTION("""COMPUTED_VALUE"""),4000000.0)</f>
        <v>4000000</v>
      </c>
      <c r="V14" s="20">
        <f>IFERROR(__xludf.DUMMYFUNCTION("""COMPUTED_VALUE"""),1000000.0)</f>
        <v>1000000</v>
      </c>
      <c r="W14" s="20">
        <f>IFERROR(__xludf.DUMMYFUNCTION("""COMPUTED_VALUE"""),500000.0)</f>
        <v>500000</v>
      </c>
      <c r="X14" s="20" t="str">
        <f>IFERROR(__xludf.DUMMYFUNCTION("""COMPUTED_VALUE"""),"Rp1.500.000 - Rp2.000.000")</f>
        <v>Rp1.500.000 - Rp2.000.000</v>
      </c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IFERROR(__xludf.DUMMYFUNCTION("""COMPUTED_VALUE"""),"hoveryponen12")</f>
        <v>hoveryponen12</v>
      </c>
      <c r="C15" s="23">
        <f>IFERROR(__xludf.DUMMYFUNCTION("""COMPUTED_VALUE"""),30300.0)</f>
        <v>30300</v>
      </c>
      <c r="D15" s="17" t="str">
        <f>IFERROR(__xludf.DUMMYFUNCTION("""COMPUTED_VALUE"""),"Micro")</f>
        <v>Micro</v>
      </c>
      <c r="E15" s="18" t="str">
        <f>IFERROR(__xludf.DUMMYFUNCTION("""COMPUTED_VALUE"""),"kenbun88")</f>
        <v>kenbun88</v>
      </c>
      <c r="F15" s="23">
        <f>IFERROR(__xludf.DUMMYFUNCTION("""COMPUTED_VALUE"""),342500.0)</f>
        <v>342500</v>
      </c>
      <c r="G15" s="17" t="str">
        <f>IFERROR(__xludf.DUMMYFUNCTION("""COMPUTED_VALUE"""),"Mid")</f>
        <v>Mid</v>
      </c>
      <c r="H15" s="17" t="str">
        <f>IFERROR(__xludf.DUMMYFUNCTION("""COMPUTED_VALUE"""),"Jakarta")</f>
        <v>Jakarta</v>
      </c>
      <c r="I15" s="17" t="str">
        <f>IFERROR(__xludf.DUMMYFUNCTION("""COMPUTED_VALUE"""),"- Lifestyle Male
- Health &amp; Sport")</f>
        <v>- Lifestyle Male
- Health &amp; Sport</v>
      </c>
      <c r="J15" s="20">
        <f>IFERROR(__xludf.DUMMYFUNCTION("""COMPUTED_VALUE"""),200000.0)</f>
        <v>200000</v>
      </c>
      <c r="K15" s="20">
        <f>IFERROR(__xludf.DUMMYFUNCTION("""COMPUTED_VALUE"""),200000.0)</f>
        <v>200000</v>
      </c>
      <c r="L15" s="20">
        <f>IFERROR(__xludf.DUMMYFUNCTION("""COMPUTED_VALUE"""),700000.0)</f>
        <v>700000</v>
      </c>
      <c r="M15" s="20" t="str">
        <f>IFERROR(__xludf.DUMMYFUNCTION("""COMPUTED_VALUE"""),"FREE")</f>
        <v>FREE</v>
      </c>
      <c r="N15" s="20">
        <f>IFERROR(__xludf.DUMMYFUNCTION("""COMPUTED_VALUE"""),350000.0)</f>
        <v>350000</v>
      </c>
      <c r="O15" s="20">
        <f>IFERROR(__xludf.DUMMYFUNCTION("""COMPUTED_VALUE"""),400000.0)</f>
        <v>400000</v>
      </c>
      <c r="P15" s="20">
        <f>IFERROR(__xludf.DUMMYFUNCTION("""COMPUTED_VALUE"""),1000000.0)</f>
        <v>1000000</v>
      </c>
      <c r="Q15" s="20" t="str">
        <f>IFERROR(__xludf.DUMMYFUNCTION("""COMPUTED_VALUE"""),"FREE")</f>
        <v>FREE</v>
      </c>
      <c r="R15" s="20">
        <f>IFERROR(__xludf.DUMMYFUNCTION("""COMPUTED_VALUE"""),2500000.0)</f>
        <v>2500000</v>
      </c>
      <c r="S15" s="20">
        <f>IFERROR(__xludf.DUMMYFUNCTION("""COMPUTED_VALUE"""),3000000.0)</f>
        <v>3000000</v>
      </c>
      <c r="T15" s="20">
        <f>IFERROR(__xludf.DUMMYFUNCTION("""COMPUTED_VALUE"""),500000.0)</f>
        <v>500000</v>
      </c>
      <c r="U15" s="20">
        <f>IFERROR(__xludf.DUMMYFUNCTION("""COMPUTED_VALUE"""),500000.0)</f>
        <v>500000</v>
      </c>
      <c r="V15" s="20" t="str">
        <f>IFERROR(__xludf.DUMMYFUNCTION("""COMPUTED_VALUE"""),"TBD")</f>
        <v>TBD</v>
      </c>
      <c r="W15" s="20" t="str">
        <f>IFERROR(__xludf.DUMMYFUNCTION("""COMPUTED_VALUE"""),"FREE")</f>
        <v>FREE</v>
      </c>
      <c r="X15" s="20">
        <f>IFERROR(__xludf.DUMMYFUNCTION("""COMPUTED_VALUE"""),1000000.0)</f>
        <v>1000000</v>
      </c>
      <c r="Y15" s="17"/>
    </row>
    <row r="16">
      <c r="A16" s="17">
        <f>IFERROR(__xludf.DUMMYFUNCTION("""COMPUTED_VALUE"""),13.0)</f>
        <v>13</v>
      </c>
      <c r="B16" s="18" t="str">
        <f>IFERROR(__xludf.DUMMYFUNCTION("""COMPUTED_VALUE"""),"fadlyfsl_")</f>
        <v>fadlyfsl_</v>
      </c>
      <c r="C16" s="25">
        <f>IFERROR(__xludf.DUMMYFUNCTION("""COMPUTED_VALUE"""),7000000.0)</f>
        <v>7000000</v>
      </c>
      <c r="D16" s="17" t="str">
        <f>IFERROR(__xludf.DUMMYFUNCTION("""COMPUTED_VALUE"""),"Mega")</f>
        <v>Mega</v>
      </c>
      <c r="E16" s="18" t="str">
        <f>IFERROR(__xludf.DUMMYFUNCTION("""COMPUTED_VALUE"""),"fadlyfsl_")</f>
        <v>fadlyfsl_</v>
      </c>
      <c r="F16" s="26">
        <f>IFERROR(__xludf.DUMMYFUNCTION("""COMPUTED_VALUE"""),6100000.0)</f>
        <v>6100000</v>
      </c>
      <c r="G16" s="17" t="str">
        <f>IFERROR(__xludf.DUMMYFUNCTION("""COMPUTED_VALUE"""),"Mega")</f>
        <v>Mega</v>
      </c>
      <c r="H16" s="17" t="str">
        <f>IFERROR(__xludf.DUMMYFUNCTION("""COMPUTED_VALUE"""),"Jakarta")</f>
        <v>Jakarta</v>
      </c>
      <c r="I16" s="17" t="str">
        <f>IFERROR(__xludf.DUMMYFUNCTION("""COMPUTED_VALUE"""),"- Lifestyle Male")</f>
        <v>- Lifestyle Male</v>
      </c>
      <c r="J16" s="17"/>
      <c r="K16" s="20" t="str">
        <f>IFERROR(__xludf.DUMMYFUNCTION("""COMPUTED_VALUE"""),"Rp10,000,000/15s")</f>
        <v>Rp10,000,000/15s</v>
      </c>
      <c r="L16" s="17"/>
      <c r="M16" s="17"/>
      <c r="N16" s="20">
        <f>IFERROR(__xludf.DUMMYFUNCTION("""COMPUTED_VALUE"""),2.5E7)</f>
        <v>25000000</v>
      </c>
      <c r="O16" s="17"/>
      <c r="P16" s="20">
        <f>IFERROR(__xludf.DUMMYFUNCTION("""COMPUTED_VALUE"""),3.5E7)</f>
        <v>35000000</v>
      </c>
      <c r="Q16" s="17"/>
      <c r="R16" s="20" t="str">
        <f>IFERROR(__xludf.DUMMYFUNCTION("""COMPUTED_VALUE"""),"Rp35,000,000 (max. 30s)")</f>
        <v>Rp35,000,000 (max. 30s)</v>
      </c>
      <c r="S16" s="21">
        <f>IFERROR(__xludf.DUMMYFUNCTION("""COMPUTED_VALUE"""),0.5)</f>
        <v>0.5</v>
      </c>
      <c r="T16" s="20" t="str">
        <f>IFERROR(__xludf.DUMMYFUNCTION("""COMPUTED_VALUE"""),"Rp40,000,000/jam")</f>
        <v>Rp40,000,000/jam</v>
      </c>
      <c r="U16" s="17"/>
      <c r="V16" s="21">
        <f>IFERROR(__xludf.DUMMYFUNCTION("""COMPUTED_VALUE"""),0.5)</f>
        <v>0.5</v>
      </c>
      <c r="W16" s="17"/>
      <c r="X16" s="17"/>
      <c r="Y16" s="17"/>
    </row>
    <row r="17">
      <c r="A17" s="17">
        <f>IFERROR(__xludf.DUMMYFUNCTION("""COMPUTED_VALUE"""),14.0)</f>
        <v>14</v>
      </c>
      <c r="B17" s="18" t="str">
        <f>IFERROR(__xludf.DUMMYFUNCTION("""COMPUTED_VALUE"""),"jehianps")</f>
        <v>jehianps</v>
      </c>
      <c r="C17" s="23">
        <f>IFERROR(__xludf.DUMMYFUNCTION("""COMPUTED_VALUE"""),614000.0)</f>
        <v>614000</v>
      </c>
      <c r="D17" s="20" t="str">
        <f>IFERROR(__xludf.DUMMYFUNCTION("""COMPUTED_VALUE"""),"Macro")</f>
        <v>Macro</v>
      </c>
      <c r="E17" s="24" t="str">
        <f>IFERROR(__xludf.DUMMYFUNCTION("""COMPUTED_VALUE"""),"jehianps")</f>
        <v>jehianps</v>
      </c>
      <c r="F17" s="23">
        <f>IFERROR(__xludf.DUMMYFUNCTION("""COMPUTED_VALUE"""),301800.0)</f>
        <v>301800</v>
      </c>
      <c r="G17" s="20" t="str">
        <f>IFERROR(__xludf.DUMMYFUNCTION("""COMPUTED_VALUE"""),"Mid")</f>
        <v>Mid</v>
      </c>
      <c r="H17" s="17" t="str">
        <f>IFERROR(__xludf.DUMMYFUNCTION("""COMPUTED_VALUE"""),"Jakarta")</f>
        <v>Jakarta</v>
      </c>
      <c r="I17" s="17" t="str">
        <f>IFERROR(__xludf.DUMMYFUNCTION("""COMPUTED_VALUE"""),"- Entrepreneur
- Lifestyle Male")</f>
        <v>- Entrepreneur
- Lifestyle Male</v>
      </c>
      <c r="J17" s="17"/>
      <c r="K17" s="20">
        <f>IFERROR(__xludf.DUMMYFUNCTION("""COMPUTED_VALUE"""),4000000.0)</f>
        <v>4000000</v>
      </c>
      <c r="L17" s="20">
        <f>IFERROR(__xludf.DUMMYFUNCTION("""COMPUTED_VALUE"""),1.0E7)</f>
        <v>10000000</v>
      </c>
      <c r="M17" s="17"/>
      <c r="N17" s="20">
        <f>IFERROR(__xludf.DUMMYFUNCTION("""COMPUTED_VALUE"""),1.5E7)</f>
        <v>15000000</v>
      </c>
      <c r="O17" s="20">
        <f>IFERROR(__xludf.DUMMYFUNCTION("""COMPUTED_VALUE"""),2.0E7)</f>
        <v>20000000</v>
      </c>
      <c r="P17" s="20">
        <f>IFERROR(__xludf.DUMMYFUNCTION("""COMPUTED_VALUE"""),2.0E7)</f>
        <v>20000000</v>
      </c>
      <c r="Q17" s="17"/>
      <c r="R17" s="20">
        <f>IFERROR(__xludf.DUMMYFUNCTION("""COMPUTED_VALUE"""),1.25E7)</f>
        <v>12500000</v>
      </c>
      <c r="S17" s="20">
        <f>IFERROR(__xludf.DUMMYFUNCTION("""COMPUTED_VALUE"""),2.55E7)</f>
        <v>25500000</v>
      </c>
      <c r="T17" s="20">
        <f>IFERROR(__xludf.DUMMYFUNCTION("""COMPUTED_VALUE"""),1.5E7)</f>
        <v>15000000</v>
      </c>
      <c r="U17" s="17"/>
      <c r="V17" s="17"/>
      <c r="W17" s="17"/>
      <c r="X17" s="20" t="str">
        <f>IFERROR(__xludf.DUMMYFUNCTION("""COMPUTED_VALUE"""),"Rp 45,000,000 - Rp 54,500,000")</f>
        <v>Rp 45,000,000 - Rp 54,500,000</v>
      </c>
      <c r="Y17" s="17"/>
    </row>
    <row r="18">
      <c r="A18" s="17">
        <f>IFERROR(__xludf.DUMMYFUNCTION("""COMPUTED_VALUE"""),15.0)</f>
        <v>15</v>
      </c>
      <c r="B18" s="18" t="str">
        <f>IFERROR(__xludf.DUMMYFUNCTION("""COMPUTED_VALUE"""),"@mike__frans")</f>
        <v>@mike__frans</v>
      </c>
      <c r="C18" s="23">
        <f>IFERROR(__xludf.DUMMYFUNCTION("""COMPUTED_VALUE"""),30900.0)</f>
        <v>30900</v>
      </c>
      <c r="D18" s="17" t="str">
        <f>IFERROR(__xludf.DUMMYFUNCTION("""COMPUTED_VALUE"""),"Micro")</f>
        <v>Micro</v>
      </c>
      <c r="E18" s="18" t="str">
        <f>IFERROR(__xludf.DUMMYFUNCTION("""COMPUTED_VALUE"""),"@mike__frans")</f>
        <v>@mike__frans</v>
      </c>
      <c r="F18" s="23">
        <f>IFERROR(__xludf.DUMMYFUNCTION("""COMPUTED_VALUE"""),47800.0)</f>
        <v>47800</v>
      </c>
      <c r="G18" s="17" t="str">
        <f>IFERROR(__xludf.DUMMYFUNCTION("""COMPUTED_VALUE"""),"Micro")</f>
        <v>Micro</v>
      </c>
      <c r="H18" s="17" t="str">
        <f>IFERROR(__xludf.DUMMYFUNCTION("""COMPUTED_VALUE"""),"Jakarta")</f>
        <v>Jakarta</v>
      </c>
      <c r="I18" s="17" t="str">
        <f>IFERROR(__xludf.DUMMYFUNCTION("""COMPUTED_VALUE"""),"- Lifestyle Male
- Health &amp; Sport")</f>
        <v>- Lifestyle Male
- Health &amp; Sport</v>
      </c>
      <c r="J18" s="17"/>
      <c r="K18" s="20">
        <f>IFERROR(__xludf.DUMMYFUNCTION("""COMPUTED_VALUE"""),1000000.0)</f>
        <v>1000000</v>
      </c>
      <c r="L18" s="20">
        <f>IFERROR(__xludf.DUMMYFUNCTION("""COMPUTED_VALUE"""),1000000.0)</f>
        <v>1000000</v>
      </c>
      <c r="M18" s="17" t="str">
        <f>IFERROR(__xludf.DUMMYFUNCTION("""COMPUTED_VALUE"""),"-")</f>
        <v>-</v>
      </c>
      <c r="N18" s="20">
        <f>IFERROR(__xludf.DUMMYFUNCTION("""COMPUTED_VALUE"""),1500000.0)</f>
        <v>1500000</v>
      </c>
      <c r="O18" s="20">
        <f>IFERROR(__xludf.DUMMYFUNCTION("""COMPUTED_VALUE"""),1500000.0)</f>
        <v>1500000</v>
      </c>
      <c r="P18" s="20">
        <f>IFERROR(__xludf.DUMMYFUNCTION("""COMPUTED_VALUE"""),1500000.0)</f>
        <v>1500000</v>
      </c>
      <c r="Q18" s="20" t="str">
        <f>IFERROR(__xludf.DUMMYFUNCTION("""COMPUTED_VALUE"""),"-")</f>
        <v>-</v>
      </c>
      <c r="R18" s="20">
        <f>IFERROR(__xludf.DUMMYFUNCTION("""COMPUTED_VALUE"""),1.5E7)</f>
        <v>15000000</v>
      </c>
      <c r="S18" s="20">
        <f>IFERROR(__xludf.DUMMYFUNCTION("""COMPUTED_VALUE"""),1.5E7)</f>
        <v>15000000</v>
      </c>
      <c r="T18" s="20">
        <f>IFERROR(__xludf.DUMMYFUNCTION("""COMPUTED_VALUE"""),1500000.0)</f>
        <v>1500000</v>
      </c>
      <c r="U18" s="20">
        <f>IFERROR(__xludf.DUMMYFUNCTION("""COMPUTED_VALUE"""),500000.0)</f>
        <v>500000</v>
      </c>
      <c r="V18" s="20" t="str">
        <f>IFERROR(__xludf.DUMMYFUNCTION("""COMPUTED_VALUE"""),"-")</f>
        <v>-</v>
      </c>
      <c r="W18" s="20" t="str">
        <f>IFERROR(__xludf.DUMMYFUNCTION("""COMPUTED_VALUE"""),"-")</f>
        <v>-</v>
      </c>
      <c r="X18" s="20">
        <f>IFERROR(__xludf.DUMMYFUNCTION("""COMPUTED_VALUE"""),500000.0)</f>
        <v>500000</v>
      </c>
      <c r="Y18" s="17"/>
    </row>
    <row r="19">
      <c r="A19" s="17">
        <f>IFERROR(__xludf.DUMMYFUNCTION("""COMPUTED_VALUE"""),16.0)</f>
        <v>16</v>
      </c>
      <c r="B19" s="18" t="str">
        <f>IFERROR(__xludf.DUMMYFUNCTION("""COMPUTED_VALUE"""),"opah_faisal")</f>
        <v>opah_faisal</v>
      </c>
      <c r="C19" s="25">
        <f>IFERROR(__xludf.DUMMYFUNCTION("""COMPUTED_VALUE"""),1000000.0)</f>
        <v>1000000</v>
      </c>
      <c r="D19" s="17" t="str">
        <f>IFERROR(__xludf.DUMMYFUNCTION("""COMPUTED_VALUE"""),"Macro")</f>
        <v>Macro</v>
      </c>
      <c r="E19" s="18" t="str">
        <f>IFERROR(__xludf.DUMMYFUNCTION("""COMPUTED_VALUE"""),"opahgalareal")</f>
        <v>opahgalareal</v>
      </c>
      <c r="F19" s="23">
        <f>IFERROR(__xludf.DUMMYFUNCTION("""COMPUTED_VALUE"""),145000.0)</f>
        <v>145000</v>
      </c>
      <c r="G19" s="17" t="str">
        <f>IFERROR(__xludf.DUMMYFUNCTION("""COMPUTED_VALUE"""),"Mid")</f>
        <v>Mid</v>
      </c>
      <c r="H19" s="17" t="str">
        <f>IFERROR(__xludf.DUMMYFUNCTION("""COMPUTED_VALUE"""),"Jakarta")</f>
        <v>Jakarta</v>
      </c>
      <c r="I19" s="17" t="str">
        <f>IFERROR(__xludf.DUMMYFUNCTION("""COMPUTED_VALUE"""),"- Lifestyle Male
- Family")</f>
        <v>- Lifestyle Male
- Family</v>
      </c>
      <c r="J19" s="17"/>
      <c r="K19" s="20">
        <f>IFERROR(__xludf.DUMMYFUNCTION("""COMPUTED_VALUE"""),4000000.0)</f>
        <v>4000000</v>
      </c>
      <c r="L19" s="17"/>
      <c r="M19" s="17"/>
      <c r="N19" s="20">
        <f>IFERROR(__xludf.DUMMYFUNCTION("""COMPUTED_VALUE"""),3.0E7)</f>
        <v>30000000</v>
      </c>
      <c r="O19" s="17"/>
      <c r="P19" s="20">
        <f>IFERROR(__xludf.DUMMYFUNCTION("""COMPUTED_VALUE"""),4.0E7)</f>
        <v>40000000</v>
      </c>
      <c r="Q19" s="20">
        <f>IFERROR(__xludf.DUMMYFUNCTION("""COMPUTED_VALUE"""),5000000.0)</f>
        <v>5000000</v>
      </c>
      <c r="R19" s="17"/>
      <c r="S19" s="17"/>
      <c r="T19" s="17"/>
      <c r="U19" s="17"/>
      <c r="V19" s="17"/>
      <c r="W19" s="20" t="str">
        <f>IFERROR(__xludf.DUMMYFUNCTION("""COMPUTED_VALUE"""),"FREE")</f>
        <v>FREE</v>
      </c>
      <c r="X19" s="17"/>
      <c r="Y19" s="17"/>
    </row>
    <row r="20">
      <c r="A20" s="17">
        <f>IFERROR(__xludf.DUMMYFUNCTION("""COMPUTED_VALUE"""),17.0)</f>
        <v>17</v>
      </c>
      <c r="B20" s="18" t="str">
        <f>IFERROR(__xludf.DUMMYFUNCTION("""COMPUTED_VALUE"""),"harbie16")</f>
        <v>harbie16</v>
      </c>
      <c r="C20" s="23">
        <f>IFERROR(__xludf.DUMMYFUNCTION("""COMPUTED_VALUE"""),288000.0)</f>
        <v>288000</v>
      </c>
      <c r="D20" s="17" t="str">
        <f>IFERROR(__xludf.DUMMYFUNCTION("""COMPUTED_VALUE"""),"Mid")</f>
        <v>Mid</v>
      </c>
      <c r="E20" s="18" t="str">
        <f>IFERROR(__xludf.DUMMYFUNCTION("""COMPUTED_VALUE"""),"harbie16")</f>
        <v>harbie16</v>
      </c>
      <c r="F20" s="23">
        <f>IFERROR(__xludf.DUMMYFUNCTION("""COMPUTED_VALUE"""),393000.0)</f>
        <v>393000</v>
      </c>
      <c r="G20" s="17" t="str">
        <f>IFERROR(__xludf.DUMMYFUNCTION("""COMPUTED_VALUE"""),"Mid")</f>
        <v>Mid</v>
      </c>
      <c r="H20" s="17" t="str">
        <f>IFERROR(__xludf.DUMMYFUNCTION("""COMPUTED_VALUE"""),"Jakarta")</f>
        <v>Jakarta</v>
      </c>
      <c r="I20" s="17" t="str">
        <f>IFERROR(__xludf.DUMMYFUNCTION("""COMPUTED_VALUE"""),"- Place Review
- Lifestyle Male")</f>
        <v>- Place Review
- Lifestyle Male</v>
      </c>
      <c r="J20" s="17"/>
      <c r="K20" s="20">
        <f>IFERROR(__xludf.DUMMYFUNCTION("""COMPUTED_VALUE"""),2900000.0)</f>
        <v>2900000</v>
      </c>
      <c r="L20" s="20">
        <f>IFERROR(__xludf.DUMMYFUNCTION("""COMPUTED_VALUE"""),3900000.0)</f>
        <v>3900000</v>
      </c>
      <c r="M20" s="20">
        <f>IFERROR(__xludf.DUMMYFUNCTION("""COMPUTED_VALUE"""),250000.0)</f>
        <v>250000</v>
      </c>
      <c r="N20" s="20">
        <f>IFERROR(__xludf.DUMMYFUNCTION("""COMPUTED_VALUE"""),3500000.0)</f>
        <v>3500000</v>
      </c>
      <c r="O20" s="20">
        <f>IFERROR(__xludf.DUMMYFUNCTION("""COMPUTED_VALUE"""),5000000.0)</f>
        <v>5000000</v>
      </c>
      <c r="P20" s="20">
        <f>IFERROR(__xludf.DUMMYFUNCTION("""COMPUTED_VALUE"""),7000000.0)</f>
        <v>7000000</v>
      </c>
      <c r="Q20" s="20">
        <f>IFERROR(__xludf.DUMMYFUNCTION("""COMPUTED_VALUE"""),250000.0)</f>
        <v>250000</v>
      </c>
      <c r="R20" s="20">
        <f>IFERROR(__xludf.DUMMYFUNCTION("""COMPUTED_VALUE"""),4000000.0)</f>
        <v>4000000</v>
      </c>
      <c r="S20" s="20">
        <f>IFERROR(__xludf.DUMMYFUNCTION("""COMPUTED_VALUE"""),7920000.0)</f>
        <v>7920000</v>
      </c>
      <c r="T20" s="20">
        <f>IFERROR(__xludf.DUMMYFUNCTION("""COMPUTED_VALUE"""),3500000.0)</f>
        <v>3500000</v>
      </c>
      <c r="U20" s="21">
        <f>IFERROR(__xludf.DUMMYFUNCTION("""COMPUTED_VALUE"""),0.2)</f>
        <v>0.2</v>
      </c>
      <c r="V20" s="20">
        <f>IFERROR(__xludf.DUMMYFUNCTION("""COMPUTED_VALUE"""),1000000.0)</f>
        <v>1000000</v>
      </c>
      <c r="W20" s="20">
        <f>IFERROR(__xludf.DUMMYFUNCTION("""COMPUTED_VALUE"""),500000.0)</f>
        <v>500000</v>
      </c>
      <c r="X20" s="20" t="str">
        <f>IFERROR(__xludf.DUMMYFUNCTION("""COMPUTED_VALUE"""),"Start from Rp500,000")</f>
        <v>Start from Rp500,000</v>
      </c>
      <c r="Y20" s="17"/>
    </row>
    <row r="21">
      <c r="A21" s="17">
        <f>IFERROR(__xludf.DUMMYFUNCTION("""COMPUTED_VALUE"""),18.0)</f>
        <v>18</v>
      </c>
      <c r="B21" s="18" t="str">
        <f>IFERROR(__xludf.DUMMYFUNCTION("""COMPUTED_VALUE"""),"ayunghadid")</f>
        <v>ayunghadid</v>
      </c>
      <c r="C21" s="23">
        <f>IFERROR(__xludf.DUMMYFUNCTION("""COMPUTED_VALUE"""),238000.0)</f>
        <v>238000</v>
      </c>
      <c r="D21" s="17" t="str">
        <f>IFERROR(__xludf.DUMMYFUNCTION("""COMPUTED_VALUE"""),"Mid")</f>
        <v>Mid</v>
      </c>
      <c r="E21" s="18" t="str">
        <f>IFERROR(__xludf.DUMMYFUNCTION("""COMPUTED_VALUE"""),"fachrulhadid")</f>
        <v>fachrulhadid</v>
      </c>
      <c r="F21" s="26">
        <f>IFERROR(__xludf.DUMMYFUNCTION("""COMPUTED_VALUE"""),2700000.0)</f>
        <v>2700000</v>
      </c>
      <c r="G21" s="17" t="str">
        <f>IFERROR(__xludf.DUMMYFUNCTION("""COMPUTED_VALUE"""),"Mega")</f>
        <v>Mega</v>
      </c>
      <c r="H21" s="17" t="str">
        <f>IFERROR(__xludf.DUMMYFUNCTION("""COMPUTED_VALUE"""),"Jakarta")</f>
        <v>Jakarta</v>
      </c>
      <c r="I21" s="17" t="str">
        <f>IFERROR(__xludf.DUMMYFUNCTION("""COMPUTED_VALUE"""),"- Lifestyle Male
- Comedy")</f>
        <v>- Lifestyle Male
- Comedy</v>
      </c>
      <c r="J21" s="17"/>
      <c r="K21" s="20">
        <f>IFERROR(__xludf.DUMMYFUNCTION("""COMPUTED_VALUE"""),5000000.0)</f>
        <v>5000000</v>
      </c>
      <c r="L21" s="20">
        <f>IFERROR(__xludf.DUMMYFUNCTION("""COMPUTED_VALUE"""),1.3E7)</f>
        <v>13000000</v>
      </c>
      <c r="M21" s="20" t="str">
        <f>IFERROR(__xludf.DUMMYFUNCTION("""COMPUTED_VALUE"""),"Rp1,000,000 (Story)
Rp2,000,000 (Session)")</f>
        <v>Rp1,000,000 (Story)
Rp2,000,000 (Session)</v>
      </c>
      <c r="N21" s="20">
        <f>IFERROR(__xludf.DUMMYFUNCTION("""COMPUTED_VALUE"""),9000000.0)</f>
        <v>9000000</v>
      </c>
      <c r="O21" s="20">
        <f>IFERROR(__xludf.DUMMYFUNCTION("""COMPUTED_VALUE"""),2.5E7)</f>
        <v>25000000</v>
      </c>
      <c r="P21" s="20">
        <f>IFERROR(__xludf.DUMMYFUNCTION("""COMPUTED_VALUE"""),1.8E7)</f>
        <v>18000000</v>
      </c>
      <c r="Q21" s="21" t="str">
        <f>IFERROR(__xludf.DUMMYFUNCTION("""COMPUTED_VALUE"""),"FREE")</f>
        <v>FREE</v>
      </c>
      <c r="R21" s="20">
        <f>IFERROR(__xludf.DUMMYFUNCTION("""COMPUTED_VALUE"""),3.5E7)</f>
        <v>35000000</v>
      </c>
      <c r="S21" s="17"/>
      <c r="T21" s="20">
        <f>IFERROR(__xludf.DUMMYFUNCTION("""COMPUTED_VALUE"""),3.5E7)</f>
        <v>35000000</v>
      </c>
      <c r="U21" s="21">
        <f>IFERROR(__xludf.DUMMYFUNCTION("""COMPUTED_VALUE"""),1.0)</f>
        <v>1</v>
      </c>
      <c r="V21" s="21">
        <f>IFERROR(__xludf.DUMMYFUNCTION("""COMPUTED_VALUE"""),0.3)</f>
        <v>0.3</v>
      </c>
      <c r="W21" s="21">
        <f>IFERROR(__xludf.DUMMYFUNCTION("""COMPUTED_VALUE"""),0.3)</f>
        <v>0.3</v>
      </c>
      <c r="X21" s="20">
        <f>IFERROR(__xludf.DUMMYFUNCTION("""COMPUTED_VALUE"""),1.5E7)</f>
        <v>15000000</v>
      </c>
      <c r="Y21" s="17"/>
    </row>
    <row r="22">
      <c r="A22" s="17">
        <f>IFERROR(__xludf.DUMMYFUNCTION("""COMPUTED_VALUE"""),19.0)</f>
        <v>19</v>
      </c>
      <c r="B22" s="18" t="str">
        <f>IFERROR(__xludf.DUMMYFUNCTION("""COMPUTED_VALUE"""),"bagas_dribble")</f>
        <v>bagas_dribble</v>
      </c>
      <c r="C22" s="23">
        <f>IFERROR(__xludf.DUMMYFUNCTION("""COMPUTED_VALUE"""),374000.0)</f>
        <v>374000</v>
      </c>
      <c r="D22" s="17" t="str">
        <f>IFERROR(__xludf.DUMMYFUNCTION("""COMPUTED_VALUE"""),"Mid")</f>
        <v>Mid</v>
      </c>
      <c r="E22" s="18" t="str">
        <f>IFERROR(__xludf.DUMMYFUNCTION("""COMPUTED_VALUE"""),"s4y4_im0t")</f>
        <v>s4y4_im0t</v>
      </c>
      <c r="F22" s="19">
        <f>IFERROR(__xludf.DUMMYFUNCTION("""COMPUTED_VALUE"""),1900000.0)</f>
        <v>1900000</v>
      </c>
      <c r="G22" s="17" t="str">
        <f>IFERROR(__xludf.DUMMYFUNCTION("""COMPUTED_VALUE"""),"Mega")</f>
        <v>Mega</v>
      </c>
      <c r="H22" s="17" t="str">
        <f>IFERROR(__xludf.DUMMYFUNCTION("""COMPUTED_VALUE"""),"Jakarta Selatan")</f>
        <v>Jakarta Selatan</v>
      </c>
      <c r="I22" s="17" t="str">
        <f>IFERROR(__xludf.DUMMYFUNCTION("""COMPUTED_VALUE"""),"- Lifestyle Male
- Comedy")</f>
        <v>- Lifestyle Male
- Comedy</v>
      </c>
      <c r="J22" s="20">
        <f>IFERROR(__xludf.DUMMYFUNCTION("""COMPUTED_VALUE"""),2000000.0)</f>
        <v>2000000</v>
      </c>
      <c r="K22" s="20">
        <f>IFERROR(__xludf.DUMMYFUNCTION("""COMPUTED_VALUE"""),8500000.0)</f>
        <v>8500000</v>
      </c>
      <c r="L22" s="20">
        <f>IFERROR(__xludf.DUMMYFUNCTION("""COMPUTED_VALUE"""),2.2E7)</f>
        <v>22000000</v>
      </c>
      <c r="M22" s="20">
        <f>IFERROR(__xludf.DUMMYFUNCTION("""COMPUTED_VALUE"""),2000000.0)</f>
        <v>2000000</v>
      </c>
      <c r="N22" s="20">
        <f>IFERROR(__xludf.DUMMYFUNCTION("""COMPUTED_VALUE"""),2.8E7)</f>
        <v>28000000</v>
      </c>
      <c r="O22" s="20">
        <f>IFERROR(__xludf.DUMMYFUNCTION("""COMPUTED_VALUE"""),2.8E7)</f>
        <v>28000000</v>
      </c>
      <c r="P22" s="20">
        <f>IFERROR(__xludf.DUMMYFUNCTION("""COMPUTED_VALUE"""),3.5E7)</f>
        <v>35000000</v>
      </c>
      <c r="Q22" s="17"/>
      <c r="R22" s="20">
        <f>IFERROR(__xludf.DUMMYFUNCTION("""COMPUTED_VALUE"""),3.8E7)</f>
        <v>38000000</v>
      </c>
      <c r="S22" s="20">
        <f>IFERROR(__xludf.DUMMYFUNCTION("""COMPUTED_VALUE"""),6.5E7)</f>
        <v>65000000</v>
      </c>
      <c r="T22" s="20">
        <f>IFERROR(__xludf.DUMMYFUNCTION("""COMPUTED_VALUE"""),1.8E7)</f>
        <v>18000000</v>
      </c>
      <c r="U22" s="21">
        <f>IFERROR(__xludf.DUMMYFUNCTION("""COMPUTED_VALUE"""),0.5)</f>
        <v>0.5</v>
      </c>
      <c r="V22" s="20">
        <f>IFERROR(__xludf.DUMMYFUNCTION("""COMPUTED_VALUE"""),7000000.0)</f>
        <v>7000000</v>
      </c>
      <c r="W22" s="20">
        <f>IFERROR(__xludf.DUMMYFUNCTION("""COMPUTED_VALUE"""),7000000.0)</f>
        <v>7000000</v>
      </c>
      <c r="X22" s="21">
        <f>IFERROR(__xludf.DUMMYFUNCTION("""COMPUTED_VALUE"""),0.3)</f>
        <v>0.3</v>
      </c>
      <c r="Y22" s="17"/>
    </row>
    <row r="23">
      <c r="A23" s="17">
        <f>IFERROR(__xludf.DUMMYFUNCTION("""COMPUTED_VALUE"""),20.0)</f>
        <v>20</v>
      </c>
      <c r="B23" s="18" t="str">
        <f>IFERROR(__xludf.DUMMYFUNCTION("""COMPUTED_VALUE"""),"fachrulhadid")</f>
        <v>fachrulhadid</v>
      </c>
      <c r="C23" s="23">
        <f>IFERROR(__xludf.DUMMYFUNCTION("""COMPUTED_VALUE"""),770000.0)</f>
        <v>770000</v>
      </c>
      <c r="D23" s="17" t="str">
        <f>IFERROR(__xludf.DUMMYFUNCTION("""COMPUTED_VALUE"""),"Macro")</f>
        <v>Macro</v>
      </c>
      <c r="E23" s="18" t="str">
        <f>IFERROR(__xludf.DUMMYFUNCTION("""COMPUTED_VALUE"""),"fachrulhadid")</f>
        <v>fachrulhadid</v>
      </c>
      <c r="F23" s="26">
        <f>IFERROR(__xludf.DUMMYFUNCTION("""COMPUTED_VALUE"""),2700000.0)</f>
        <v>2700000</v>
      </c>
      <c r="G23" s="17" t="str">
        <f>IFERROR(__xludf.DUMMYFUNCTION("""COMPUTED_VALUE"""),"Mega")</f>
        <v>Mega</v>
      </c>
      <c r="H23" s="17" t="str">
        <f>IFERROR(__xludf.DUMMYFUNCTION("""COMPUTED_VALUE"""),"Jakarta")</f>
        <v>Jakarta</v>
      </c>
      <c r="I23" s="17" t="str">
        <f>IFERROR(__xludf.DUMMYFUNCTION("""COMPUTED_VALUE"""),"- Lifestyle Male
- Comedy")</f>
        <v>- Lifestyle Male
- Comedy</v>
      </c>
      <c r="J23" s="17"/>
      <c r="K23" s="20">
        <f>IFERROR(__xludf.DUMMYFUNCTION("""COMPUTED_VALUE"""),9000000.0)</f>
        <v>9000000</v>
      </c>
      <c r="L23" s="20">
        <f>IFERROR(__xludf.DUMMYFUNCTION("""COMPUTED_VALUE"""),2.5E7)</f>
        <v>25000000</v>
      </c>
      <c r="M23" s="20" t="str">
        <f>IFERROR(__xludf.DUMMYFUNCTION("""COMPUTED_VALUE"""),"Rp1,000,000 (Story)
Rp3,000,000 (Session)")</f>
        <v>Rp1,000,000 (Story)
Rp3,000,000 (Session)</v>
      </c>
      <c r="N23" s="20">
        <f>IFERROR(__xludf.DUMMYFUNCTION("""COMPUTED_VALUE"""),1.5E7)</f>
        <v>15000000</v>
      </c>
      <c r="O23" s="20">
        <f>IFERROR(__xludf.DUMMYFUNCTION("""COMPUTED_VALUE"""),3.5E7)</f>
        <v>35000000</v>
      </c>
      <c r="P23" s="20">
        <f>IFERROR(__xludf.DUMMYFUNCTION("""COMPUTED_VALUE"""),2.5E7)</f>
        <v>25000000</v>
      </c>
      <c r="Q23" s="21">
        <f>IFERROR(__xludf.DUMMYFUNCTION("""COMPUTED_VALUE"""),0.5)</f>
        <v>0.5</v>
      </c>
      <c r="R23" s="20">
        <f>IFERROR(__xludf.DUMMYFUNCTION("""COMPUTED_VALUE"""),3.5E7)</f>
        <v>35000000</v>
      </c>
      <c r="S23" s="20">
        <f>IFERROR(__xludf.DUMMYFUNCTION("""COMPUTED_VALUE"""),2.5E7)</f>
        <v>25000000</v>
      </c>
      <c r="T23" s="20">
        <f>IFERROR(__xludf.DUMMYFUNCTION("""COMPUTED_VALUE"""),3.5E7)</f>
        <v>35000000</v>
      </c>
      <c r="U23" s="21">
        <f>IFERROR(__xludf.DUMMYFUNCTION("""COMPUTED_VALUE"""),1.0)</f>
        <v>1</v>
      </c>
      <c r="V23" s="21">
        <f>IFERROR(__xludf.DUMMYFUNCTION("""COMPUTED_VALUE"""),0.3)</f>
        <v>0.3</v>
      </c>
      <c r="W23" s="21">
        <f>IFERROR(__xludf.DUMMYFUNCTION("""COMPUTED_VALUE"""),0.3)</f>
        <v>0.3</v>
      </c>
      <c r="X23" s="20">
        <f>IFERROR(__xludf.DUMMYFUNCTION("""COMPUTED_VALUE"""),1.5E7)</f>
        <v>15000000</v>
      </c>
      <c r="Y23" s="17"/>
    </row>
    <row r="24">
      <c r="A24" s="17">
        <f>IFERROR(__xludf.DUMMYFUNCTION("""COMPUTED_VALUE"""),21.0)</f>
        <v>21</v>
      </c>
      <c r="B24" s="18" t="str">
        <f>IFERROR(__xludf.DUMMYFUNCTION("""COMPUTED_VALUE"""),"renaldfadli")</f>
        <v>renaldfadli</v>
      </c>
      <c r="C24" s="19">
        <f>IFERROR(__xludf.DUMMYFUNCTION("""COMPUTED_VALUE"""),1900000.0)</f>
        <v>1900000</v>
      </c>
      <c r="D24" s="17" t="str">
        <f>IFERROR(__xludf.DUMMYFUNCTION("""COMPUTED_VALUE"""),"Mega")</f>
        <v>Mega</v>
      </c>
      <c r="E24" s="24" t="str">
        <f>IFERROR(__xludf.DUMMYFUNCTION("""COMPUTED_VALUE"""),"mahasiswagendut")</f>
        <v>mahasiswagendut</v>
      </c>
      <c r="F24" s="19">
        <f>IFERROR(__xludf.DUMMYFUNCTION("""COMPUTED_VALUE"""),3300000.0)</f>
        <v>3300000</v>
      </c>
      <c r="G24" s="17" t="str">
        <f>IFERROR(__xludf.DUMMYFUNCTION("""COMPUTED_VALUE"""),"Mega")</f>
        <v>Mega</v>
      </c>
      <c r="H24" s="17" t="str">
        <f>IFERROR(__xludf.DUMMYFUNCTION("""COMPUTED_VALUE"""),"Jakarta")</f>
        <v>Jakarta</v>
      </c>
      <c r="I24" s="17" t="str">
        <f>IFERROR(__xludf.DUMMYFUNCTION("""COMPUTED_VALUE"""),"- FnB
- Lifestyle Male
- Entrepreneur")</f>
        <v>- FnB
- Lifestyle Male
- Entrepreneur</v>
      </c>
      <c r="J24" s="17"/>
      <c r="K24" s="17"/>
      <c r="L24" s="20">
        <f>IFERROR(__xludf.DUMMYFUNCTION("""COMPUTED_VALUE"""),8000000.0)</f>
        <v>8000000</v>
      </c>
      <c r="M24" s="17"/>
      <c r="N24" s="17"/>
      <c r="O24" s="20">
        <f>IFERROR(__xludf.DUMMYFUNCTION("""COMPUTED_VALUE"""),1.2E7)</f>
        <v>12000000</v>
      </c>
      <c r="P24" s="20">
        <f>IFERROR(__xludf.DUMMYFUNCTION("""COMPUTED_VALUE"""),1.5E7)</f>
        <v>15000000</v>
      </c>
      <c r="Q24" s="17"/>
      <c r="R24" s="20">
        <f>IFERROR(__xludf.DUMMYFUNCTION("""COMPUTED_VALUE"""),1.7E7)</f>
        <v>17000000</v>
      </c>
      <c r="S24" s="20">
        <f>IFERROR(__xludf.DUMMYFUNCTION("""COMPUTED_VALUE"""),2.6E7)</f>
        <v>26000000</v>
      </c>
      <c r="T24" s="17"/>
      <c r="U24" s="20">
        <f>IFERROR(__xludf.DUMMYFUNCTION("""COMPUTED_VALUE"""),1.0E7)</f>
        <v>10000000</v>
      </c>
      <c r="V24" s="20">
        <f>IFERROR(__xludf.DUMMYFUNCTION("""COMPUTED_VALUE"""),1000000.0)</f>
        <v>1000000</v>
      </c>
      <c r="W24" s="17"/>
      <c r="X24" s="20">
        <f>IFERROR(__xludf.DUMMYFUNCTION("""COMPUTED_VALUE"""),4000000.0)</f>
        <v>4000000</v>
      </c>
      <c r="Y24" s="17"/>
    </row>
    <row r="25">
      <c r="A25" s="17">
        <f>IFERROR(__xludf.DUMMYFUNCTION("""COMPUTED_VALUE"""),22.0)</f>
        <v>22</v>
      </c>
      <c r="B25" s="18" t="str">
        <f>IFERROR(__xludf.DUMMYFUNCTION("""COMPUTED_VALUE"""),"emilmari0")</f>
        <v>emilmari0</v>
      </c>
      <c r="C25" s="23">
        <f>IFERROR(__xludf.DUMMYFUNCTION("""COMPUTED_VALUE"""),986000.0)</f>
        <v>986000</v>
      </c>
      <c r="D25" s="17" t="str">
        <f>IFERROR(__xludf.DUMMYFUNCTION("""COMPUTED_VALUE"""),"Macro")</f>
        <v>Macro</v>
      </c>
      <c r="E25" s="24" t="str">
        <f>IFERROR(__xludf.DUMMYFUNCTION("""COMPUTED_VALUE"""),"emilmario69")</f>
        <v>emilmario69</v>
      </c>
      <c r="F25" s="19">
        <f>IFERROR(__xludf.DUMMYFUNCTION("""COMPUTED_VALUE"""),7200000.0)</f>
        <v>7200000</v>
      </c>
      <c r="G25" s="17" t="str">
        <f>IFERROR(__xludf.DUMMYFUNCTION("""COMPUTED_VALUE"""),"Mega")</f>
        <v>Mega</v>
      </c>
      <c r="H25" s="17" t="str">
        <f>IFERROR(__xludf.DUMMYFUNCTION("""COMPUTED_VALUE"""),"Jakarta")</f>
        <v>Jakarta</v>
      </c>
      <c r="I25" s="17" t="str">
        <f>IFERROR(__xludf.DUMMYFUNCTION("""COMPUTED_VALUE"""),"- Lifestyle Male
- Comedy")</f>
        <v>- Lifestyle Male
- Comedy</v>
      </c>
      <c r="J25" s="17"/>
      <c r="K25" s="20">
        <f>IFERROR(__xludf.DUMMYFUNCTION("""COMPUTED_VALUE"""),1.6E7)</f>
        <v>16000000</v>
      </c>
      <c r="L25" s="20">
        <f>IFERROR(__xludf.DUMMYFUNCTION("""COMPUTED_VALUE"""),3.6E7)</f>
        <v>36000000</v>
      </c>
      <c r="M25" s="20">
        <f>IFERROR(__xludf.DUMMYFUNCTION("""COMPUTED_VALUE"""),1000000.0)</f>
        <v>1000000</v>
      </c>
      <c r="N25" s="20">
        <f>IFERROR(__xludf.DUMMYFUNCTION("""COMPUTED_VALUE"""),4.0E7)</f>
        <v>40000000</v>
      </c>
      <c r="O25" s="17"/>
      <c r="P25" s="20">
        <f>IFERROR(__xludf.DUMMYFUNCTION("""COMPUTED_VALUE"""),4.7E7)</f>
        <v>47000000</v>
      </c>
      <c r="Q25" s="17"/>
      <c r="R25" s="20">
        <f>IFERROR(__xludf.DUMMYFUNCTION("""COMPUTED_VALUE"""),6.5E7)</f>
        <v>65000000</v>
      </c>
      <c r="S25" s="20">
        <f>IFERROR(__xludf.DUMMYFUNCTION("""COMPUTED_VALUE"""),9.5E7)</f>
        <v>95000000</v>
      </c>
      <c r="T25" s="20">
        <f>IFERROR(__xludf.DUMMYFUNCTION("""COMPUTED_VALUE"""),3.5E7)</f>
        <v>35000000</v>
      </c>
      <c r="U25" s="21">
        <f>IFERROR(__xludf.DUMMYFUNCTION("""COMPUTED_VALUE"""),0.5)</f>
        <v>0.5</v>
      </c>
      <c r="V25" s="17" t="str">
        <f>IFERROR(__xludf.DUMMYFUNCTION("""COMPUTED_VALUE"""),"FREE 30d")</f>
        <v>FREE 30d</v>
      </c>
      <c r="W25" s="20">
        <f>IFERROR(__xludf.DUMMYFUNCTION("""COMPUTED_VALUE"""),8000000.0)</f>
        <v>8000000</v>
      </c>
      <c r="X25" s="20">
        <f>IFERROR(__xludf.DUMMYFUNCTION("""COMPUTED_VALUE"""),3.0E7)</f>
        <v>30000000</v>
      </c>
      <c r="Y25" s="17"/>
    </row>
    <row r="26">
      <c r="A26" s="17">
        <f>IFERROR(__xludf.DUMMYFUNCTION("""COMPUTED_VALUE"""),23.0)</f>
        <v>23</v>
      </c>
      <c r="B26" s="18" t="str">
        <f>IFERROR(__xludf.DUMMYFUNCTION("""COMPUTED_VALUE"""),"gilangsamiadji")</f>
        <v>gilangsamiadji</v>
      </c>
      <c r="C26" s="23">
        <f>IFERROR(__xludf.DUMMYFUNCTION("""COMPUTED_VALUE"""),384000.0)</f>
        <v>384000</v>
      </c>
      <c r="D26" s="17" t="str">
        <f>IFERROR(__xludf.DUMMYFUNCTION("""COMPUTED_VALUE"""),"Mid")</f>
        <v>Mid</v>
      </c>
      <c r="E26" s="24" t="str">
        <f>IFERROR(__xludf.DUMMYFUNCTION("""COMPUTED_VALUE"""),"gilangsamiadji")</f>
        <v>gilangsamiadji</v>
      </c>
      <c r="F26" s="19">
        <f>IFERROR(__xludf.DUMMYFUNCTION("""COMPUTED_VALUE"""),3300000.0)</f>
        <v>3300000</v>
      </c>
      <c r="G26" s="17" t="str">
        <f>IFERROR(__xludf.DUMMYFUNCTION("""COMPUTED_VALUE"""),"Mega")</f>
        <v>Mega</v>
      </c>
      <c r="H26" s="17" t="str">
        <f>IFERROR(__xludf.DUMMYFUNCTION("""COMPUTED_VALUE"""),"Jakarta")</f>
        <v>Jakarta</v>
      </c>
      <c r="I26" s="17" t="str">
        <f>IFERROR(__xludf.DUMMYFUNCTION("""COMPUTED_VALUE"""),"- Lifestyle Male
- Comedy")</f>
        <v>- Lifestyle Male
- Comedy</v>
      </c>
      <c r="J26" s="17"/>
      <c r="K26" s="20">
        <f>IFERROR(__xludf.DUMMYFUNCTION("""COMPUTED_VALUE"""),1.25E7)</f>
        <v>12500000</v>
      </c>
      <c r="L26" s="20">
        <f>IFERROR(__xludf.DUMMYFUNCTION("""COMPUTED_VALUE"""),2.55E7)</f>
        <v>25500000</v>
      </c>
      <c r="M26" s="20">
        <f>IFERROR(__xludf.DUMMYFUNCTION("""COMPUTED_VALUE"""),2000000.0)</f>
        <v>2000000</v>
      </c>
      <c r="N26" s="20">
        <f>IFERROR(__xludf.DUMMYFUNCTION("""COMPUTED_VALUE"""),3.2E7)</f>
        <v>32000000</v>
      </c>
      <c r="O26" s="17"/>
      <c r="P26" s="20">
        <f>IFERROR(__xludf.DUMMYFUNCTION("""COMPUTED_VALUE"""),3.0E7)</f>
        <v>30000000</v>
      </c>
      <c r="Q26" s="17"/>
      <c r="R26" s="20">
        <f>IFERROR(__xludf.DUMMYFUNCTION("""COMPUTED_VALUE"""),3.55E7)</f>
        <v>35500000</v>
      </c>
      <c r="S26" s="20">
        <f>IFERROR(__xludf.DUMMYFUNCTION("""COMPUTED_VALUE"""),6.0E7)</f>
        <v>60000000</v>
      </c>
      <c r="T26" s="20">
        <f>IFERROR(__xludf.DUMMYFUNCTION("""COMPUTED_VALUE"""),2.7E7)</f>
        <v>27000000</v>
      </c>
      <c r="U26" s="21">
        <f>IFERROR(__xludf.DUMMYFUNCTION("""COMPUTED_VALUE"""),0.5)</f>
        <v>0.5</v>
      </c>
      <c r="V26" s="17"/>
      <c r="W26" s="20">
        <f>IFERROR(__xludf.DUMMYFUNCTION("""COMPUTED_VALUE"""),5000000.0)</f>
        <v>5000000</v>
      </c>
      <c r="X26" s="20">
        <f>IFERROR(__xludf.DUMMYFUNCTION("""COMPUTED_VALUE"""),2.0E7)</f>
        <v>20000000</v>
      </c>
      <c r="Y26" s="17"/>
    </row>
    <row r="27">
      <c r="A27" s="17">
        <f>IFERROR(__xludf.DUMMYFUNCTION("""COMPUTED_VALUE"""),24.0)</f>
        <v>24</v>
      </c>
      <c r="B27" s="18" t="str">
        <f>IFERROR(__xludf.DUMMYFUNCTION("""COMPUTED_VALUE"""),"holaofadlan")</f>
        <v>holaofadlan</v>
      </c>
      <c r="C27" s="23">
        <f>IFERROR(__xludf.DUMMYFUNCTION("""COMPUTED_VALUE"""),703000.0)</f>
        <v>703000</v>
      </c>
      <c r="D27" s="17" t="str">
        <f>IFERROR(__xludf.DUMMYFUNCTION("""COMPUTED_VALUE"""),"Macro")</f>
        <v>Macro</v>
      </c>
      <c r="E27" s="24" t="str">
        <f>IFERROR(__xludf.DUMMYFUNCTION("""COMPUTED_VALUE"""),"fadlanholao")</f>
        <v>fadlanholao</v>
      </c>
      <c r="F27" s="19">
        <f>IFERROR(__xludf.DUMMYFUNCTION("""COMPUTED_VALUE"""),2300000.0)</f>
        <v>2300000</v>
      </c>
      <c r="G27" s="17" t="str">
        <f>IFERROR(__xludf.DUMMYFUNCTION("""COMPUTED_VALUE"""),"Mega")</f>
        <v>Mega</v>
      </c>
      <c r="H27" s="17" t="str">
        <f>IFERROR(__xludf.DUMMYFUNCTION("""COMPUTED_VALUE"""),"Jakarta")</f>
        <v>Jakarta</v>
      </c>
      <c r="I27" s="17" t="str">
        <f>IFERROR(__xludf.DUMMYFUNCTION("""COMPUTED_VALUE"""),"- Lifestyle Male
- Comedy")</f>
        <v>- Lifestyle Male
- Comedy</v>
      </c>
      <c r="J27" s="17"/>
      <c r="K27" s="20">
        <f>IFERROR(__xludf.DUMMYFUNCTION("""COMPUTED_VALUE"""),8000000.0)</f>
        <v>8000000</v>
      </c>
      <c r="L27" s="20">
        <f>IFERROR(__xludf.DUMMYFUNCTION("""COMPUTED_VALUE"""),1.85E7)</f>
        <v>18500000</v>
      </c>
      <c r="M27" s="20">
        <f>IFERROR(__xludf.DUMMYFUNCTION("""COMPUTED_VALUE"""),1000000.0)</f>
        <v>1000000</v>
      </c>
      <c r="N27" s="20">
        <f>IFERROR(__xludf.DUMMYFUNCTION("""COMPUTED_VALUE"""),2.0E7)</f>
        <v>20000000</v>
      </c>
      <c r="O27" s="17"/>
      <c r="P27" s="20">
        <f>IFERROR(__xludf.DUMMYFUNCTION("""COMPUTED_VALUE"""),2.3E7)</f>
        <v>23000000</v>
      </c>
      <c r="Q27" s="17"/>
      <c r="R27" s="20">
        <f>IFERROR(__xludf.DUMMYFUNCTION("""COMPUTED_VALUE"""),2.8E7)</f>
        <v>28000000</v>
      </c>
      <c r="S27" s="20">
        <f>IFERROR(__xludf.DUMMYFUNCTION("""COMPUTED_VALUE"""),4.5E7)</f>
        <v>45000000</v>
      </c>
      <c r="T27" s="20">
        <f>IFERROR(__xludf.DUMMYFUNCTION("""COMPUTED_VALUE"""),2.0E7)</f>
        <v>20000000</v>
      </c>
      <c r="U27" s="21">
        <f>IFERROR(__xludf.DUMMYFUNCTION("""COMPUTED_VALUE"""),0.5)</f>
        <v>0.5</v>
      </c>
      <c r="V27" s="17"/>
      <c r="W27" s="20">
        <f>IFERROR(__xludf.DUMMYFUNCTION("""COMPUTED_VALUE"""),5000000.0)</f>
        <v>5000000</v>
      </c>
      <c r="X27" s="20">
        <f>IFERROR(__xludf.DUMMYFUNCTION("""COMPUTED_VALUE"""),1.6E7)</f>
        <v>16000000</v>
      </c>
      <c r="Y27" s="17"/>
    </row>
    <row r="28">
      <c r="A28" s="17">
        <f>IFERROR(__xludf.DUMMYFUNCTION("""COMPUTED_VALUE"""),25.0)</f>
        <v>25</v>
      </c>
      <c r="B28" s="18" t="str">
        <f>IFERROR(__xludf.DUMMYFUNCTION("""COMPUTED_VALUE"""),"__ehan")</f>
        <v>__ehan</v>
      </c>
      <c r="C28" s="23">
        <f>IFERROR(__xludf.DUMMYFUNCTION("""COMPUTED_VALUE"""),337000.0)</f>
        <v>337000</v>
      </c>
      <c r="D28" s="17" t="str">
        <f>IFERROR(__xludf.DUMMYFUNCTION("""COMPUTED_VALUE"""),"Mid")</f>
        <v>Mid</v>
      </c>
      <c r="E28" s="24" t="str">
        <f>IFERROR(__xludf.DUMMYFUNCTION("""COMPUTED_VALUE"""),"__ehan")</f>
        <v>__ehan</v>
      </c>
      <c r="F28" s="19">
        <f>IFERROR(__xludf.DUMMYFUNCTION("""COMPUTED_VALUE"""),4800000.0)</f>
        <v>4800000</v>
      </c>
      <c r="G28" s="17" t="str">
        <f>IFERROR(__xludf.DUMMYFUNCTION("""COMPUTED_VALUE"""),"Mega")</f>
        <v>Mega</v>
      </c>
      <c r="H28" s="17" t="str">
        <f>IFERROR(__xludf.DUMMYFUNCTION("""COMPUTED_VALUE"""),"Jakarta")</f>
        <v>Jakarta</v>
      </c>
      <c r="I28" s="17" t="str">
        <f>IFERROR(__xludf.DUMMYFUNCTION("""COMPUTED_VALUE"""),"- Lifestyle Male
- Comedy")</f>
        <v>- Lifestyle Male
- Comedy</v>
      </c>
      <c r="J28" s="17"/>
      <c r="K28" s="20">
        <f>IFERROR(__xludf.DUMMYFUNCTION("""COMPUTED_VALUE"""),7000000.0)</f>
        <v>7000000</v>
      </c>
      <c r="L28" s="20">
        <f>IFERROR(__xludf.DUMMYFUNCTION("""COMPUTED_VALUE"""),1.7E7)</f>
        <v>17000000</v>
      </c>
      <c r="M28" s="20">
        <f>IFERROR(__xludf.DUMMYFUNCTION("""COMPUTED_VALUE"""),1000000.0)</f>
        <v>1000000</v>
      </c>
      <c r="N28" s="20">
        <f>IFERROR(__xludf.DUMMYFUNCTION("""COMPUTED_VALUE"""),8500000.0)</f>
        <v>8500000</v>
      </c>
      <c r="O28" s="20">
        <f>IFERROR(__xludf.DUMMYFUNCTION("""COMPUTED_VALUE"""),1.1E7)</f>
        <v>11000000</v>
      </c>
      <c r="P28" s="20">
        <f>IFERROR(__xludf.DUMMYFUNCTION("""COMPUTED_VALUE"""),2.2E7)</f>
        <v>22000000</v>
      </c>
      <c r="Q28" s="17"/>
      <c r="R28" s="20">
        <f>IFERROR(__xludf.DUMMYFUNCTION("""COMPUTED_VALUE"""),2.7E7)</f>
        <v>27000000</v>
      </c>
      <c r="S28" s="20">
        <f>IFERROR(__xludf.DUMMYFUNCTION("""COMPUTED_VALUE"""),4.2E7)</f>
        <v>42000000</v>
      </c>
      <c r="T28" s="20">
        <f>IFERROR(__xludf.DUMMYFUNCTION("""COMPUTED_VALUE"""),2.0E7)</f>
        <v>20000000</v>
      </c>
      <c r="U28" s="21">
        <f>IFERROR(__xludf.DUMMYFUNCTION("""COMPUTED_VALUE"""),0.5)</f>
        <v>0.5</v>
      </c>
      <c r="V28" s="17"/>
      <c r="W28" s="20">
        <f>IFERROR(__xludf.DUMMYFUNCTION("""COMPUTED_VALUE"""),4000000.0)</f>
        <v>4000000</v>
      </c>
      <c r="X28" s="20">
        <f>IFERROR(__xludf.DUMMYFUNCTION("""COMPUTED_VALUE"""),1.5E7)</f>
        <v>15000000</v>
      </c>
      <c r="Y28" s="17"/>
    </row>
    <row r="29">
      <c r="A29" s="17">
        <f>IFERROR(__xludf.DUMMYFUNCTION("""COMPUTED_VALUE"""),26.0)</f>
        <v>26</v>
      </c>
      <c r="B29" s="18" t="str">
        <f>IFERROR(__xludf.DUMMYFUNCTION("""COMPUTED_VALUE"""),"kaffanugroho")</f>
        <v>kaffanugroho</v>
      </c>
      <c r="C29" s="23">
        <f>IFERROR(__xludf.DUMMYFUNCTION("""COMPUTED_VALUE"""),101000.0)</f>
        <v>101000</v>
      </c>
      <c r="D29" s="17" t="str">
        <f>IFERROR(__xludf.DUMMYFUNCTION("""COMPUTED_VALUE"""),"Mid")</f>
        <v>Mid</v>
      </c>
      <c r="E29" s="24" t="str">
        <f>IFERROR(__xludf.DUMMYFUNCTION("""COMPUTED_VALUE"""),"pardonmypresence")</f>
        <v>pardonmypresence</v>
      </c>
      <c r="F29" s="19">
        <f>IFERROR(__xludf.DUMMYFUNCTION("""COMPUTED_VALUE"""),2100000.0)</f>
        <v>2100000</v>
      </c>
      <c r="G29" s="17" t="str">
        <f>IFERROR(__xludf.DUMMYFUNCTION("""COMPUTED_VALUE"""),"Mega")</f>
        <v>Mega</v>
      </c>
      <c r="H29" s="17" t="str">
        <f>IFERROR(__xludf.DUMMYFUNCTION("""COMPUTED_VALUE"""),"Jakarta")</f>
        <v>Jakarta</v>
      </c>
      <c r="I29" s="17" t="str">
        <f>IFERROR(__xludf.DUMMYFUNCTION("""COMPUTED_VALUE"""),"- Lifestyle Male
- Comedy")</f>
        <v>- Lifestyle Male
- Comedy</v>
      </c>
      <c r="J29" s="17"/>
      <c r="K29" s="20">
        <f>IFERROR(__xludf.DUMMYFUNCTION("""COMPUTED_VALUE"""),5500000.0)</f>
        <v>5500000</v>
      </c>
      <c r="L29" s="20">
        <f>IFERROR(__xludf.DUMMYFUNCTION("""COMPUTED_VALUE"""),1.3E7)</f>
        <v>13000000</v>
      </c>
      <c r="M29" s="20">
        <f>IFERROR(__xludf.DUMMYFUNCTION("""COMPUTED_VALUE"""),1000000.0)</f>
        <v>1000000</v>
      </c>
      <c r="N29" s="20">
        <f>IFERROR(__xludf.DUMMYFUNCTION("""COMPUTED_VALUE"""),1.4E7)</f>
        <v>14000000</v>
      </c>
      <c r="O29" s="17"/>
      <c r="P29" s="20">
        <f>IFERROR(__xludf.DUMMYFUNCTION("""COMPUTED_VALUE"""),1.85E7)</f>
        <v>18500000</v>
      </c>
      <c r="Q29" s="17"/>
      <c r="R29" s="20">
        <f>IFERROR(__xludf.DUMMYFUNCTION("""COMPUTED_VALUE"""),2.55E7)</f>
        <v>25500000</v>
      </c>
      <c r="S29" s="20">
        <f>IFERROR(__xludf.DUMMYFUNCTION("""COMPUTED_VALUE"""),3.0E7)</f>
        <v>30000000</v>
      </c>
      <c r="T29" s="20">
        <f>IFERROR(__xludf.DUMMYFUNCTION("""COMPUTED_VALUE"""),1.5E7)</f>
        <v>15000000</v>
      </c>
      <c r="U29" s="21">
        <f>IFERROR(__xludf.DUMMYFUNCTION("""COMPUTED_VALUE"""),0.5)</f>
        <v>0.5</v>
      </c>
      <c r="V29" s="17"/>
      <c r="W29" s="20">
        <f>IFERROR(__xludf.DUMMYFUNCTION("""COMPUTED_VALUE"""),3000000.0)</f>
        <v>3000000</v>
      </c>
      <c r="X29" s="20">
        <f>IFERROR(__xludf.DUMMYFUNCTION("""COMPUTED_VALUE"""),2.0E7)</f>
        <v>20000000</v>
      </c>
      <c r="Y29" s="17"/>
    </row>
    <row r="30">
      <c r="A30" s="17">
        <f>IFERROR(__xludf.DUMMYFUNCTION("""COMPUTED_VALUE"""),27.0)</f>
        <v>27</v>
      </c>
      <c r="B30" s="18" t="str">
        <f>IFERROR(__xludf.DUMMYFUNCTION("""COMPUTED_VALUE"""),"farhanrn__")</f>
        <v>farhanrn__</v>
      </c>
      <c r="C30" s="19">
        <f>IFERROR(__xludf.DUMMYFUNCTION("""COMPUTED_VALUE"""),1200000.0)</f>
        <v>1200000</v>
      </c>
      <c r="D30" s="17" t="str">
        <f>IFERROR(__xludf.DUMMYFUNCTION("""COMPUTED_VALUE"""),"Mega")</f>
        <v>Mega</v>
      </c>
      <c r="E30" s="24" t="str">
        <f>IFERROR(__xludf.DUMMYFUNCTION("""COMPUTED_VALUE"""),"farhanrn__")</f>
        <v>farhanrn__</v>
      </c>
      <c r="F30" s="19">
        <f>IFERROR(__xludf.DUMMYFUNCTION("""COMPUTED_VALUE"""),8000000.0)</f>
        <v>8000000</v>
      </c>
      <c r="G30" s="17" t="str">
        <f>IFERROR(__xludf.DUMMYFUNCTION("""COMPUTED_VALUE"""),"Mega")</f>
        <v>Mega</v>
      </c>
      <c r="H30" s="17" t="str">
        <f>IFERROR(__xludf.DUMMYFUNCTION("""COMPUTED_VALUE"""),"Jakarta")</f>
        <v>Jakarta</v>
      </c>
      <c r="I30" s="17" t="str">
        <f>IFERROR(__xludf.DUMMYFUNCTION("""COMPUTED_VALUE"""),"- Lifestyle Male
- Comedy")</f>
        <v>- Lifestyle Male
- Comedy</v>
      </c>
      <c r="J30" s="17"/>
      <c r="K30" s="20">
        <f>IFERROR(__xludf.DUMMYFUNCTION("""COMPUTED_VALUE"""),6500000.0)</f>
        <v>6500000</v>
      </c>
      <c r="L30" s="20">
        <f>IFERROR(__xludf.DUMMYFUNCTION("""COMPUTED_VALUE"""),1.55E7)</f>
        <v>15500000</v>
      </c>
      <c r="M30" s="20">
        <f>IFERROR(__xludf.DUMMYFUNCTION("""COMPUTED_VALUE"""),1000000.0)</f>
        <v>1000000</v>
      </c>
      <c r="N30" s="20">
        <f>IFERROR(__xludf.DUMMYFUNCTION("""COMPUTED_VALUE"""),2.3E7)</f>
        <v>23000000</v>
      </c>
      <c r="O30" s="17"/>
      <c r="P30" s="20">
        <f>IFERROR(__xludf.DUMMYFUNCTION("""COMPUTED_VALUE"""),2.6E7)</f>
        <v>26000000</v>
      </c>
      <c r="Q30" s="17"/>
      <c r="R30" s="20">
        <f>IFERROR(__xludf.DUMMYFUNCTION("""COMPUTED_VALUE"""),3.0E7)</f>
        <v>30000000</v>
      </c>
      <c r="S30" s="20">
        <f>IFERROR(__xludf.DUMMYFUNCTION("""COMPUTED_VALUE"""),5.0E7)</f>
        <v>50000000</v>
      </c>
      <c r="T30" s="20">
        <f>IFERROR(__xludf.DUMMYFUNCTION("""COMPUTED_VALUE"""),2.0E7)</f>
        <v>20000000</v>
      </c>
      <c r="U30" s="21">
        <f>IFERROR(__xludf.DUMMYFUNCTION("""COMPUTED_VALUE"""),0.5)</f>
        <v>0.5</v>
      </c>
      <c r="V30" s="17"/>
      <c r="W30" s="20">
        <f>IFERROR(__xludf.DUMMYFUNCTION("""COMPUTED_VALUE"""),5000000.0)</f>
        <v>5000000</v>
      </c>
      <c r="X30" s="20">
        <f>IFERROR(__xludf.DUMMYFUNCTION("""COMPUTED_VALUE"""),1.5E7)</f>
        <v>15000000</v>
      </c>
      <c r="Y30" s="17"/>
    </row>
    <row r="31">
      <c r="A31" s="17">
        <f>IFERROR(__xludf.DUMMYFUNCTION("""COMPUTED_VALUE"""),28.0)</f>
        <v>28</v>
      </c>
      <c r="B31" s="18" t="str">
        <f>IFERROR(__xludf.DUMMYFUNCTION("""COMPUTED_VALUE"""),"abipraya28")</f>
        <v>abipraya28</v>
      </c>
      <c r="C31" s="23">
        <f>IFERROR(__xludf.DUMMYFUNCTION("""COMPUTED_VALUE"""),712000.0)</f>
        <v>712000</v>
      </c>
      <c r="D31" s="17" t="str">
        <f>IFERROR(__xludf.DUMMYFUNCTION("""COMPUTED_VALUE"""),"Macro")</f>
        <v>Macro</v>
      </c>
      <c r="E31" s="24" t="str">
        <f>IFERROR(__xludf.DUMMYFUNCTION("""COMPUTED_VALUE"""),"reyyyz")</f>
        <v>reyyyz</v>
      </c>
      <c r="F31" s="23">
        <f>IFERROR(__xludf.DUMMYFUNCTION("""COMPUTED_VALUE"""),815000.0)</f>
        <v>815000</v>
      </c>
      <c r="G31" s="17" t="str">
        <f>IFERROR(__xludf.DUMMYFUNCTION("""COMPUTED_VALUE"""),"Macro")</f>
        <v>Macro</v>
      </c>
      <c r="H31" s="17" t="str">
        <f>IFERROR(__xludf.DUMMYFUNCTION("""COMPUTED_VALUE"""),"Jakarta")</f>
        <v>Jakarta</v>
      </c>
      <c r="I31" s="17" t="str">
        <f>IFERROR(__xludf.DUMMYFUNCTION("""COMPUTED_VALUE"""),"- Lifestyle Male
- Comedy")</f>
        <v>- Lifestyle Male
- Comedy</v>
      </c>
      <c r="J31" s="17"/>
      <c r="K31" s="20">
        <f>IFERROR(__xludf.DUMMYFUNCTION("""COMPUTED_VALUE"""),5500000.0)</f>
        <v>5500000</v>
      </c>
      <c r="L31" s="20">
        <f>IFERROR(__xludf.DUMMYFUNCTION("""COMPUTED_VALUE"""),1.2E7)</f>
        <v>12000000</v>
      </c>
      <c r="M31" s="20">
        <f>IFERROR(__xludf.DUMMYFUNCTION("""COMPUTED_VALUE"""),1000000.0)</f>
        <v>1000000</v>
      </c>
      <c r="N31" s="20">
        <f>IFERROR(__xludf.DUMMYFUNCTION("""COMPUTED_VALUE"""),1.0E7)</f>
        <v>10000000</v>
      </c>
      <c r="O31" s="17"/>
      <c r="P31" s="20">
        <f>IFERROR(__xludf.DUMMYFUNCTION("""COMPUTED_VALUE"""),1.7E7)</f>
        <v>17000000</v>
      </c>
      <c r="Q31" s="17"/>
      <c r="R31" s="20">
        <f>IFERROR(__xludf.DUMMYFUNCTION("""COMPUTED_VALUE"""),1.05E7)</f>
        <v>10500000</v>
      </c>
      <c r="S31" s="20">
        <f>IFERROR(__xludf.DUMMYFUNCTION("""COMPUTED_VALUE"""),2.35E7)</f>
        <v>23500000</v>
      </c>
      <c r="T31" s="20">
        <f>IFERROR(__xludf.DUMMYFUNCTION("""COMPUTED_VALUE"""),1.5E7)</f>
        <v>15000000</v>
      </c>
      <c r="U31" s="21">
        <f>IFERROR(__xludf.DUMMYFUNCTION("""COMPUTED_VALUE"""),0.5)</f>
        <v>0.5</v>
      </c>
      <c r="V31" s="17"/>
      <c r="W31" s="20">
        <f>IFERROR(__xludf.DUMMYFUNCTION("""COMPUTED_VALUE"""),4000000.0)</f>
        <v>4000000</v>
      </c>
      <c r="X31" s="20">
        <f>IFERROR(__xludf.DUMMYFUNCTION("""COMPUTED_VALUE"""),6000000.0)</f>
        <v>6000000</v>
      </c>
      <c r="Y31" s="17"/>
    </row>
    <row r="32">
      <c r="A32" s="17">
        <f>IFERROR(__xludf.DUMMYFUNCTION("""COMPUTED_VALUE"""),29.0)</f>
        <v>29</v>
      </c>
      <c r="B32" s="18" t="str">
        <f>IFERROR(__xludf.DUMMYFUNCTION("""COMPUTED_VALUE"""),"nonikmeniesszt")</f>
        <v>nonikmeniesszt</v>
      </c>
      <c r="C32" s="23">
        <f>IFERROR(__xludf.DUMMYFUNCTION("""COMPUTED_VALUE"""),12700.0)</f>
        <v>12700</v>
      </c>
      <c r="D32" s="17" t="str">
        <f>IFERROR(__xludf.DUMMYFUNCTION("""COMPUTED_VALUE"""),"Micro")</f>
        <v>Micro</v>
      </c>
      <c r="E32" s="24" t="str">
        <f>IFERROR(__xludf.DUMMYFUNCTION("""COMPUTED_VALUE"""),"nonikmenieszt")</f>
        <v>nonikmenieszt</v>
      </c>
      <c r="F32" s="23">
        <f>IFERROR(__xludf.DUMMYFUNCTION("""COMPUTED_VALUE"""),320500.0)</f>
        <v>320500</v>
      </c>
      <c r="G32" s="17" t="str">
        <f>IFERROR(__xludf.DUMMYFUNCTION("""COMPUTED_VALUE"""),"Mid")</f>
        <v>Mid</v>
      </c>
      <c r="H32" s="17" t="str">
        <f>IFERROR(__xludf.DUMMYFUNCTION("""COMPUTED_VALUE"""),"Jakarta")</f>
        <v>Jakarta</v>
      </c>
      <c r="I32" s="17" t="str">
        <f>IFERROR(__xludf.DUMMYFUNCTION("""COMPUTED_VALUE"""),"- Lifestyle Male
- Comedy")</f>
        <v>- Lifestyle Male
- Comedy</v>
      </c>
      <c r="J32" s="17"/>
      <c r="K32" s="20">
        <f>IFERROR(__xludf.DUMMYFUNCTION("""COMPUTED_VALUE"""),5500000.0)</f>
        <v>5500000</v>
      </c>
      <c r="L32" s="20">
        <f>IFERROR(__xludf.DUMMYFUNCTION("""COMPUTED_VALUE"""),6500000.0)</f>
        <v>6500000</v>
      </c>
      <c r="M32" s="20" t="str">
        <f>IFERROR(__xludf.DUMMYFUNCTION("""COMPUTED_VALUE"""),"FREE")</f>
        <v>FREE</v>
      </c>
      <c r="N32" s="20">
        <f>IFERROR(__xludf.DUMMYFUNCTION("""COMPUTED_VALUE"""),1.3E7)</f>
        <v>13000000</v>
      </c>
      <c r="O32" s="17"/>
      <c r="P32" s="20">
        <f>IFERROR(__xludf.DUMMYFUNCTION("""COMPUTED_VALUE"""),8000000.0)</f>
        <v>8000000</v>
      </c>
      <c r="Q32" s="17"/>
      <c r="R32" s="20">
        <f>IFERROR(__xludf.DUMMYFUNCTION("""COMPUTED_VALUE"""),1.25E7)</f>
        <v>12500000</v>
      </c>
      <c r="S32" s="20">
        <f>IFERROR(__xludf.DUMMYFUNCTION("""COMPUTED_VALUE"""),1.75E7)</f>
        <v>17500000</v>
      </c>
      <c r="T32" s="20">
        <f>IFERROR(__xludf.DUMMYFUNCTION("""COMPUTED_VALUE"""),1.5E7)</f>
        <v>15000000</v>
      </c>
      <c r="U32" s="21">
        <f>IFERROR(__xludf.DUMMYFUNCTION("""COMPUTED_VALUE"""),0.5)</f>
        <v>0.5</v>
      </c>
      <c r="V32" s="17"/>
      <c r="W32" s="20">
        <f>IFERROR(__xludf.DUMMYFUNCTION("""COMPUTED_VALUE"""),3000000.0)</f>
        <v>3000000</v>
      </c>
      <c r="X32" s="20">
        <f>IFERROR(__xludf.DUMMYFUNCTION("""COMPUTED_VALUE"""),7000000.0)</f>
        <v>7000000</v>
      </c>
      <c r="Y32" s="17"/>
    </row>
    <row r="33">
      <c r="A33" s="17">
        <f>IFERROR(__xludf.DUMMYFUNCTION("""COMPUTED_VALUE"""),30.0)</f>
        <v>30</v>
      </c>
      <c r="B33" s="18" t="str">
        <f>IFERROR(__xludf.DUMMYFUNCTION("""COMPUTED_VALUE"""),"reizukaaari")</f>
        <v>reizukaaari</v>
      </c>
      <c r="C33" s="23">
        <f>IFERROR(__xludf.DUMMYFUNCTION("""COMPUTED_VALUE"""),253000.0)</f>
        <v>253000</v>
      </c>
      <c r="D33" s="17" t="str">
        <f>IFERROR(__xludf.DUMMYFUNCTION("""COMPUTED_VALUE"""),"Mid")</f>
        <v>Mid</v>
      </c>
      <c r="E33" s="24" t="str">
        <f>IFERROR(__xludf.DUMMYFUNCTION("""COMPUTED_VALUE"""),"dictionarei")</f>
        <v>dictionarei</v>
      </c>
      <c r="F33" s="19">
        <f>IFERROR(__xludf.DUMMYFUNCTION("""COMPUTED_VALUE"""),7800000.0)</f>
        <v>7800000</v>
      </c>
      <c r="G33" s="17" t="str">
        <f>IFERROR(__xludf.DUMMYFUNCTION("""COMPUTED_VALUE"""),"Mega")</f>
        <v>Mega</v>
      </c>
      <c r="H33" s="17" t="str">
        <f>IFERROR(__xludf.DUMMYFUNCTION("""COMPUTED_VALUE"""),"Jakarta")</f>
        <v>Jakarta</v>
      </c>
      <c r="I33" s="17" t="str">
        <f>IFERROR(__xludf.DUMMYFUNCTION("""COMPUTED_VALUE"""),"- Lifestyle Male")</f>
        <v>- Lifestyle Male</v>
      </c>
      <c r="J33" s="17"/>
      <c r="K33" s="17"/>
      <c r="L33" s="20">
        <f>IFERROR(__xludf.DUMMYFUNCTION("""COMPUTED_VALUE"""),2.5E7)</f>
        <v>25000000</v>
      </c>
      <c r="M33" s="20" t="str">
        <f>IFERROR(__xludf.DUMMYFUNCTION("""COMPUTED_VALUE"""),"FREE")</f>
        <v>FREE</v>
      </c>
      <c r="N33" s="20">
        <f>IFERROR(__xludf.DUMMYFUNCTION("""COMPUTED_VALUE"""),3.2E7)</f>
        <v>32000000</v>
      </c>
      <c r="O33" s="20">
        <f>IFERROR(__xludf.DUMMYFUNCTION("""COMPUTED_VALUE"""),3.2E7)</f>
        <v>32000000</v>
      </c>
      <c r="P33" s="20">
        <f>IFERROR(__xludf.DUMMYFUNCTION("""COMPUTED_VALUE"""),3.7E7)</f>
        <v>37000000</v>
      </c>
      <c r="Q33" s="17"/>
      <c r="R33" s="20">
        <f>IFERROR(__xludf.DUMMYFUNCTION("""COMPUTED_VALUE"""),5.25E7)</f>
        <v>52500000</v>
      </c>
      <c r="S33" s="17"/>
      <c r="T33" s="17"/>
      <c r="U33" s="20">
        <f>IFERROR(__xludf.DUMMYFUNCTION("""COMPUTED_VALUE"""),8.55E7)</f>
        <v>85500000</v>
      </c>
      <c r="V33" s="20">
        <f>IFERROR(__xludf.DUMMYFUNCTION("""COMPUTED_VALUE"""),2800000.0)</f>
        <v>2800000</v>
      </c>
      <c r="W33" s="17"/>
      <c r="X33" s="20">
        <f>IFERROR(__xludf.DUMMYFUNCTION("""COMPUTED_VALUE"""),1.5E7)</f>
        <v>15000000</v>
      </c>
      <c r="Y33" s="17"/>
    </row>
    <row r="34">
      <c r="A34" s="17">
        <f>IFERROR(__xludf.DUMMYFUNCTION("""COMPUTED_VALUE"""),31.0)</f>
        <v>31</v>
      </c>
      <c r="B34" s="18" t="str">
        <f>IFERROR(__xludf.DUMMYFUNCTION("""COMPUTED_VALUE"""),"teukuryantr")</f>
        <v>teukuryantr</v>
      </c>
      <c r="C34" s="19">
        <f>IFERROR(__xludf.DUMMYFUNCTION("""COMPUTED_VALUE"""),4000000.0)</f>
        <v>4000000</v>
      </c>
      <c r="D34" s="17" t="str">
        <f>IFERROR(__xludf.DUMMYFUNCTION("""COMPUTED_VALUE"""),"Mega")</f>
        <v>Mega</v>
      </c>
      <c r="E34" s="24" t="str">
        <f>IFERROR(__xludf.DUMMYFUNCTION("""COMPUTED_VALUE"""),"teukuryantr")</f>
        <v>teukuryantr</v>
      </c>
      <c r="F34" s="19">
        <f>IFERROR(__xludf.DUMMYFUNCTION("""COMPUTED_VALUE"""),6000000.0)</f>
        <v>6000000</v>
      </c>
      <c r="G34" s="17" t="str">
        <f>IFERROR(__xludf.DUMMYFUNCTION("""COMPUTED_VALUE"""),"Mega")</f>
        <v>Mega</v>
      </c>
      <c r="H34" s="17" t="str">
        <f>IFERROR(__xludf.DUMMYFUNCTION("""COMPUTED_VALUE"""),"Jakarta")</f>
        <v>Jakarta</v>
      </c>
      <c r="I34" s="17" t="str">
        <f>IFERROR(__xludf.DUMMYFUNCTION("""COMPUTED_VALUE"""),"Lifestyle Male")</f>
        <v>Lifestyle Male</v>
      </c>
      <c r="J34" s="17"/>
      <c r="K34" s="20">
        <f>IFERROR(__xludf.DUMMYFUNCTION("""COMPUTED_VALUE"""),4000000.0)</f>
        <v>4000000</v>
      </c>
      <c r="L34" s="17"/>
      <c r="M34" s="20">
        <f>IFERROR(__xludf.DUMMYFUNCTION("""COMPUTED_VALUE"""),2000000.0)</f>
        <v>2000000</v>
      </c>
      <c r="N34" s="20">
        <f>IFERROR(__xludf.DUMMYFUNCTION("""COMPUTED_VALUE"""),1.0E7)</f>
        <v>10000000</v>
      </c>
      <c r="O34" s="17"/>
      <c r="P34" s="20">
        <f>IFERROR(__xludf.DUMMYFUNCTION("""COMPUTED_VALUE"""),1.5E7)</f>
        <v>15000000</v>
      </c>
      <c r="Q34" s="17"/>
      <c r="R34" s="20">
        <f>IFERROR(__xludf.DUMMYFUNCTION("""COMPUTED_VALUE"""),1.5E7)</f>
        <v>15000000</v>
      </c>
      <c r="S34" s="17"/>
      <c r="T34" s="20">
        <f>IFERROR(__xludf.DUMMYFUNCTION("""COMPUTED_VALUE"""),1.0E7)</f>
        <v>10000000</v>
      </c>
      <c r="U34" s="20">
        <f>IFERROR(__xludf.DUMMYFUNCTION("""COMPUTED_VALUE"""),1.0E7)</f>
        <v>10000000</v>
      </c>
      <c r="V34" s="17"/>
      <c r="W34" s="17"/>
      <c r="X34" s="17"/>
      <c r="Y34" s="17"/>
    </row>
    <row r="35">
      <c r="A35" s="17">
        <f>IFERROR(__xludf.DUMMYFUNCTION("""COMPUTED_VALUE"""),32.0)</f>
        <v>32</v>
      </c>
      <c r="B35" s="18" t="str">
        <f>IFERROR(__xludf.DUMMYFUNCTION("""COMPUTED_VALUE"""),"sandrofahdhipa")</f>
        <v>sandrofahdhipa</v>
      </c>
      <c r="C35" s="23">
        <f>IFERROR(__xludf.DUMMYFUNCTION("""COMPUTED_VALUE"""),104000.0)</f>
        <v>104000</v>
      </c>
      <c r="D35" s="20" t="str">
        <f>IFERROR(__xludf.DUMMYFUNCTION("""COMPUTED_VALUE"""),"Mid")</f>
        <v>Mid</v>
      </c>
      <c r="E35" s="24" t="str">
        <f>IFERROR(__xludf.DUMMYFUNCTION("""COMPUTED_VALUE"""),"dhip___")</f>
        <v>dhip___</v>
      </c>
      <c r="F35" s="23">
        <f>IFERROR(__xludf.DUMMYFUNCTION("""COMPUTED_VALUE"""),41300.0)</f>
        <v>41300</v>
      </c>
      <c r="G35" s="20" t="str">
        <f>IFERROR(__xludf.DUMMYFUNCTION("""COMPUTED_VALUE"""),"Micro")</f>
        <v>Micro</v>
      </c>
      <c r="H35" s="17" t="str">
        <f>IFERROR(__xludf.DUMMYFUNCTION("""COMPUTED_VALUE"""),"Bekasi")</f>
        <v>Bekasi</v>
      </c>
      <c r="I35" s="17" t="str">
        <f>IFERROR(__xludf.DUMMYFUNCTION("""COMPUTED_VALUE"""),"- Lifestyle Male
- Family
- Fashion Pria")</f>
        <v>- Lifestyle Male
- Family
- Fashion Pria</v>
      </c>
      <c r="J35" s="17"/>
      <c r="K35" s="20">
        <f>IFERROR(__xludf.DUMMYFUNCTION("""COMPUTED_VALUE"""),2500000.0)</f>
        <v>2500000</v>
      </c>
      <c r="L35" s="20">
        <f>IFERROR(__xludf.DUMMYFUNCTION("""COMPUTED_VALUE"""),5000000.0)</f>
        <v>5000000</v>
      </c>
      <c r="M35" s="20" t="str">
        <f>IFERROR(__xludf.DUMMYFUNCTION("""COMPUTED_VALUE"""),"FREE")</f>
        <v>FREE</v>
      </c>
      <c r="N35" s="20">
        <f>IFERROR(__xludf.DUMMYFUNCTION("""COMPUTED_VALUE"""),3500000.0)</f>
        <v>3500000</v>
      </c>
      <c r="O35" s="17"/>
      <c r="P35" s="20">
        <f>IFERROR(__xludf.DUMMYFUNCTION("""COMPUTED_VALUE"""),7500000.0)</f>
        <v>7500000</v>
      </c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>
        <f>IFERROR(__xludf.DUMMYFUNCTION("""COMPUTED_VALUE"""),33.0)</f>
        <v>33</v>
      </c>
      <c r="B36" s="18" t="str">
        <f>IFERROR(__xludf.DUMMYFUNCTION("""COMPUTED_VALUE"""),"fadiljaidi")</f>
        <v>fadiljaidi</v>
      </c>
      <c r="C36" s="19">
        <f>IFERROR(__xludf.DUMMYFUNCTION("""COMPUTED_VALUE"""),1.39E7)</f>
        <v>13900000</v>
      </c>
      <c r="D36" s="20" t="str">
        <f>IFERROR(__xludf.DUMMYFUNCTION("""COMPUTED_VALUE"""),"Mega")</f>
        <v>Mega</v>
      </c>
      <c r="E36" s="24" t="str">
        <f>IFERROR(__xludf.DUMMYFUNCTION("""COMPUTED_VALUE"""),"fadiljaidi")</f>
        <v>fadiljaidi</v>
      </c>
      <c r="F36" s="19">
        <f>IFERROR(__xludf.DUMMYFUNCTION("""COMPUTED_VALUE"""),1.63E7)</f>
        <v>16300000</v>
      </c>
      <c r="G36" s="20" t="str">
        <f>IFERROR(__xludf.DUMMYFUNCTION("""COMPUTED_VALUE"""),"Mega")</f>
        <v>Mega</v>
      </c>
      <c r="H36" s="17" t="str">
        <f>IFERROR(__xludf.DUMMYFUNCTION("""COMPUTED_VALUE"""),"Bekasi")</f>
        <v>Bekasi</v>
      </c>
      <c r="I36" s="17" t="str">
        <f>IFERROR(__xludf.DUMMYFUNCTION("""COMPUTED_VALUE"""),"- Lifestyle Male
- Family
- Comedy")</f>
        <v>- Lifestyle Male
- Family
- Comedy</v>
      </c>
      <c r="J36" s="17"/>
      <c r="K36" s="20">
        <f>IFERROR(__xludf.DUMMYFUNCTION("""COMPUTED_VALUE"""),3.0E7)</f>
        <v>30000000</v>
      </c>
      <c r="L36" s="20">
        <f>IFERROR(__xludf.DUMMYFUNCTION("""COMPUTED_VALUE"""),1.0E8)</f>
        <v>100000000</v>
      </c>
      <c r="M36" s="20" t="str">
        <f>IFERROR(__xludf.DUMMYFUNCTION("""COMPUTED_VALUE"""),"FREE")</f>
        <v>FREE</v>
      </c>
      <c r="N36" s="20">
        <f>IFERROR(__xludf.DUMMYFUNCTION("""COMPUTED_VALUE"""),7.0E7)</f>
        <v>70000000</v>
      </c>
      <c r="O36" s="20">
        <f>IFERROR(__xludf.DUMMYFUNCTION("""COMPUTED_VALUE"""),1.0E8)</f>
        <v>100000000</v>
      </c>
      <c r="P36" s="20">
        <f>IFERROR(__xludf.DUMMYFUNCTION("""COMPUTED_VALUE"""),1.1E8)</f>
        <v>110000000</v>
      </c>
      <c r="Q36" s="17"/>
      <c r="R36" s="20">
        <f>IFERROR(__xludf.DUMMYFUNCTION("""COMPUTED_VALUE"""),1.1E8)</f>
        <v>110000000</v>
      </c>
      <c r="S36" s="20">
        <f>IFERROR(__xludf.DUMMYFUNCTION("""COMPUTED_VALUE"""),1.95E8)</f>
        <v>195000000</v>
      </c>
      <c r="T36" s="17"/>
      <c r="U36" s="17"/>
      <c r="V36" s="17"/>
      <c r="W36" s="17"/>
      <c r="X36" s="17"/>
      <c r="Y36" s="17"/>
    </row>
    <row r="37">
      <c r="A37" s="17">
        <f>IFERROR(__xludf.DUMMYFUNCTION("""COMPUTED_VALUE"""),34.0)</f>
        <v>34</v>
      </c>
      <c r="B37" s="18" t="str">
        <f>IFERROR(__xludf.DUMMYFUNCTION("""COMPUTED_VALUE"""),"jeromepolin")</f>
        <v>jeromepolin</v>
      </c>
      <c r="C37" s="19">
        <f>IFERROR(__xludf.DUMMYFUNCTION("""COMPUTED_VALUE"""),9500000.0)</f>
        <v>9500000</v>
      </c>
      <c r="D37" s="20" t="str">
        <f>IFERROR(__xludf.DUMMYFUNCTION("""COMPUTED_VALUE"""),"Mega")</f>
        <v>Mega</v>
      </c>
      <c r="E37" s="24" t="str">
        <f>IFERROR(__xludf.DUMMYFUNCTION("""COMPUTED_VALUE"""),"jeromepolin98")</f>
        <v>jeromepolin98</v>
      </c>
      <c r="F37" s="19">
        <f>IFERROR(__xludf.DUMMYFUNCTION("""COMPUTED_VALUE"""),6800000.0)</f>
        <v>6800000</v>
      </c>
      <c r="G37" s="20" t="str">
        <f>IFERROR(__xludf.DUMMYFUNCTION("""COMPUTED_VALUE"""),"Mega")</f>
        <v>Mega</v>
      </c>
      <c r="H37" s="17" t="str">
        <f>IFERROR(__xludf.DUMMYFUNCTION("""COMPUTED_VALUE"""),"Jakarta")</f>
        <v>Jakarta</v>
      </c>
      <c r="I37" s="17" t="str">
        <f>IFERROR(__xludf.DUMMYFUNCTION("""COMPUTED_VALUE"""),"- Lifestyle Male 
- Education")</f>
        <v>- Lifestyle Male 
- Education</v>
      </c>
      <c r="J37" s="17"/>
      <c r="K37" s="20">
        <f>IFERROR(__xludf.DUMMYFUNCTION("""COMPUTED_VALUE"""),1.5E7)</f>
        <v>15000000</v>
      </c>
      <c r="L37" s="20">
        <f>IFERROR(__xludf.DUMMYFUNCTION("""COMPUTED_VALUE"""),3.5E7)</f>
        <v>35000000</v>
      </c>
      <c r="M37" s="17"/>
      <c r="N37" s="20">
        <f>IFERROR(__xludf.DUMMYFUNCTION("""COMPUTED_VALUE"""),6.5E7)</f>
        <v>65000000</v>
      </c>
      <c r="O37" s="17"/>
      <c r="P37" s="20">
        <f>IFERROR(__xludf.DUMMYFUNCTION("""COMPUTED_VALUE"""),9.0E7)</f>
        <v>90000000</v>
      </c>
      <c r="Q37" s="17"/>
      <c r="R37" s="20">
        <f>IFERROR(__xludf.DUMMYFUNCTION("""COMPUTED_VALUE"""),7.0E7)</f>
        <v>70000000</v>
      </c>
      <c r="S37" s="20">
        <f>IFERROR(__xludf.DUMMYFUNCTION("""COMPUTED_VALUE"""),1.25E8)</f>
        <v>125000000</v>
      </c>
      <c r="T37" s="20">
        <f>IFERROR(__xludf.DUMMYFUNCTION("""COMPUTED_VALUE"""),6.5E7)</f>
        <v>65000000</v>
      </c>
      <c r="U37" s="17"/>
      <c r="V37" s="17"/>
      <c r="W37" s="17"/>
      <c r="X37" s="17"/>
      <c r="Y37" s="17"/>
    </row>
    <row r="38">
      <c r="A38" s="17">
        <f>IFERROR(__xludf.DUMMYFUNCTION("""COMPUTED_VALUE"""),35.0)</f>
        <v>35</v>
      </c>
      <c r="B38" s="18" t="str">
        <f>IFERROR(__xludf.DUMMYFUNCTION("""COMPUTED_VALUE"""),"jerhemynemo")</f>
        <v>jerhemynemo</v>
      </c>
      <c r="C38" s="19">
        <f>IFERROR(__xludf.DUMMYFUNCTION("""COMPUTED_VALUE"""),2000000.0)</f>
        <v>2000000</v>
      </c>
      <c r="D38" s="20" t="str">
        <f>IFERROR(__xludf.DUMMYFUNCTION("""COMPUTED_VALUE"""),"Mega")</f>
        <v>Mega</v>
      </c>
      <c r="E38" s="24" t="str">
        <f>IFERROR(__xludf.DUMMYFUNCTION("""COMPUTED_VALUE"""),"jerhemynemoo")</f>
        <v>jerhemynemoo</v>
      </c>
      <c r="F38" s="19">
        <f>IFERROR(__xludf.DUMMYFUNCTION("""COMPUTED_VALUE"""),5000000.0)</f>
        <v>5000000</v>
      </c>
      <c r="G38" s="20" t="str">
        <f>IFERROR(__xludf.DUMMYFUNCTION("""COMPUTED_VALUE"""),"Mega")</f>
        <v>Mega</v>
      </c>
      <c r="H38" s="17" t="str">
        <f>IFERROR(__xludf.DUMMYFUNCTION("""COMPUTED_VALUE"""),"Indonesia")</f>
        <v>Indonesia</v>
      </c>
      <c r="I38" s="17" t="str">
        <f>IFERROR(__xludf.DUMMYFUNCTION("""COMPUTED_VALUE"""),"- Lifestyle Male 
- Education")</f>
        <v>- Lifestyle Male 
- Education</v>
      </c>
      <c r="J38" s="17"/>
      <c r="K38" s="20">
        <f>IFERROR(__xludf.DUMMYFUNCTION("""COMPUTED_VALUE"""),5500000.0)</f>
        <v>5500000</v>
      </c>
      <c r="L38" s="20">
        <f>IFERROR(__xludf.DUMMYFUNCTION("""COMPUTED_VALUE"""),1.05E7)</f>
        <v>10500000</v>
      </c>
      <c r="M38" s="17"/>
      <c r="N38" s="17"/>
      <c r="O38" s="20">
        <f>IFERROR(__xludf.DUMMYFUNCTION("""COMPUTED_VALUE"""),1.4E7)</f>
        <v>14000000</v>
      </c>
      <c r="P38" s="20">
        <f>IFERROR(__xludf.DUMMYFUNCTION("""COMPUTED_VALUE"""),2.75E7)</f>
        <v>27500000</v>
      </c>
      <c r="Q38" s="17"/>
      <c r="R38" s="20">
        <f>IFERROR(__xludf.DUMMYFUNCTION("""COMPUTED_VALUE"""),3.0E7)</f>
        <v>30000000</v>
      </c>
      <c r="S38" s="20">
        <f>IFERROR(__xludf.DUMMYFUNCTION("""COMPUTED_VALUE"""),3.85E7)</f>
        <v>38500000</v>
      </c>
      <c r="T38" s="20">
        <f>IFERROR(__xludf.DUMMYFUNCTION("""COMPUTED_VALUE"""),9500000.0)</f>
        <v>9500000</v>
      </c>
      <c r="U38" s="17"/>
      <c r="V38" s="17"/>
      <c r="W38" s="20">
        <f>IFERROR(__xludf.DUMMYFUNCTION("""COMPUTED_VALUE"""),3500000.0)</f>
        <v>3500000</v>
      </c>
      <c r="X38" s="17"/>
      <c r="Y38" s="17"/>
    </row>
    <row r="39">
      <c r="A39" s="17">
        <f>IFERROR(__xludf.DUMMYFUNCTION("""COMPUTED_VALUE"""),36.0)</f>
        <v>36</v>
      </c>
      <c r="B39" s="18" t="str">
        <f>IFERROR(__xludf.DUMMYFUNCTION("""COMPUTED_VALUE"""),"hansoljang110")</f>
        <v>hansoljang110</v>
      </c>
      <c r="C39" s="19">
        <f>IFERROR(__xludf.DUMMYFUNCTION("""COMPUTED_VALUE"""),1500000.0)</f>
        <v>1500000</v>
      </c>
      <c r="D39" s="20" t="str">
        <f>IFERROR(__xludf.DUMMYFUNCTION("""COMPUTED_VALUE"""),"Mega")</f>
        <v>Mega</v>
      </c>
      <c r="E39" s="24" t="str">
        <f>IFERROR(__xludf.DUMMYFUNCTION("""COMPUTED_VALUE"""),"hansoljang110")</f>
        <v>hansoljang110</v>
      </c>
      <c r="F39" s="23">
        <f>IFERROR(__xludf.DUMMYFUNCTION("""COMPUTED_VALUE"""),739300.0)</f>
        <v>739300</v>
      </c>
      <c r="G39" s="20" t="str">
        <f>IFERROR(__xludf.DUMMYFUNCTION("""COMPUTED_VALUE"""),"Macro")</f>
        <v>Macro</v>
      </c>
      <c r="H39" s="17" t="str">
        <f>IFERROR(__xludf.DUMMYFUNCTION("""COMPUTED_VALUE"""),"Korea Selatan")</f>
        <v>Korea Selatan</v>
      </c>
      <c r="I39" s="17" t="str">
        <f>IFERROR(__xludf.DUMMYFUNCTION("""COMPUTED_VALUE"""),"Lifestyle Male")</f>
        <v>Lifestyle Male</v>
      </c>
      <c r="J39" s="17"/>
      <c r="K39" s="20">
        <f>IFERROR(__xludf.DUMMYFUNCTION("""COMPUTED_VALUE"""),5500000.0)</f>
        <v>5500000</v>
      </c>
      <c r="L39" s="20">
        <f>IFERROR(__xludf.DUMMYFUNCTION("""COMPUTED_VALUE"""),7500000.0)</f>
        <v>7500000</v>
      </c>
      <c r="M39" s="17"/>
      <c r="N39" s="20">
        <f>IFERROR(__xludf.DUMMYFUNCTION("""COMPUTED_VALUE"""),3.5E7)</f>
        <v>35000000</v>
      </c>
      <c r="O39" s="17"/>
      <c r="P39" s="20">
        <f>IFERROR(__xludf.DUMMYFUNCTION("""COMPUTED_VALUE"""),5.0E7)</f>
        <v>50000000</v>
      </c>
      <c r="Q39" s="17"/>
      <c r="R39" s="20">
        <f>IFERROR(__xludf.DUMMYFUNCTION("""COMPUTED_VALUE"""),2.0E7)</f>
        <v>20000000</v>
      </c>
      <c r="S39" s="20">
        <f>IFERROR(__xludf.DUMMYFUNCTION("""COMPUTED_VALUE"""),6.0E7)</f>
        <v>60000000</v>
      </c>
      <c r="T39" s="20">
        <f>IFERROR(__xludf.DUMMYFUNCTION("""COMPUTED_VALUE"""),3.0E7)</f>
        <v>30000000</v>
      </c>
      <c r="U39" s="17"/>
      <c r="V39" s="17"/>
      <c r="W39" s="20">
        <f>IFERROR(__xludf.DUMMYFUNCTION("""COMPUTED_VALUE"""),2500000.0)</f>
        <v>2500000</v>
      </c>
      <c r="X39" s="17"/>
      <c r="Y39" s="17"/>
    </row>
    <row r="40">
      <c r="A40" s="17">
        <f>IFERROR(__xludf.DUMMYFUNCTION("""COMPUTED_VALUE"""),37.0)</f>
        <v>37</v>
      </c>
      <c r="B40" s="18" t="str">
        <f>IFERROR(__xludf.DUMMYFUNCTION("""COMPUTED_VALUE"""),"daehoon_na")</f>
        <v>daehoon_na</v>
      </c>
      <c r="C40" s="19">
        <f>IFERROR(__xludf.DUMMYFUNCTION("""COMPUTED_VALUE"""),3000000.0)</f>
        <v>3000000</v>
      </c>
      <c r="D40" s="20" t="str">
        <f>IFERROR(__xludf.DUMMYFUNCTION("""COMPUTED_VALUE"""),"Mega")</f>
        <v>Mega</v>
      </c>
      <c r="E40" s="24" t="str">
        <f>IFERROR(__xludf.DUMMYFUNCTION("""COMPUTED_VALUE"""),"aadaehoon")</f>
        <v>aadaehoon</v>
      </c>
      <c r="F40" s="19">
        <f>IFERROR(__xludf.DUMMYFUNCTION("""COMPUTED_VALUE"""),8100000.0)</f>
        <v>8100000</v>
      </c>
      <c r="G40" s="20" t="str">
        <f>IFERROR(__xludf.DUMMYFUNCTION("""COMPUTED_VALUE"""),"Mega")</f>
        <v>Mega</v>
      </c>
      <c r="H40" s="17" t="str">
        <f>IFERROR(__xludf.DUMMYFUNCTION("""COMPUTED_VALUE"""),"Jakarta")</f>
        <v>Jakarta</v>
      </c>
      <c r="I40" s="17" t="str">
        <f>IFERROR(__xludf.DUMMYFUNCTION("""COMPUTED_VALUE"""),"Lifestyle Male")</f>
        <v>Lifestyle Male</v>
      </c>
      <c r="J40" s="17"/>
      <c r="K40" s="20">
        <f>IFERROR(__xludf.DUMMYFUNCTION("""COMPUTED_VALUE"""),1.05E7)</f>
        <v>10500000</v>
      </c>
      <c r="L40" s="20">
        <f>IFERROR(__xludf.DUMMYFUNCTION("""COMPUTED_VALUE"""),2.5E7)</f>
        <v>25000000</v>
      </c>
      <c r="M40" s="17"/>
      <c r="N40" s="20">
        <f>IFERROR(__xludf.DUMMYFUNCTION("""COMPUTED_VALUE"""),2.5E7)</f>
        <v>25000000</v>
      </c>
      <c r="O40" s="17"/>
      <c r="P40" s="20">
        <f>IFERROR(__xludf.DUMMYFUNCTION("""COMPUTED_VALUE"""),3.5E7)</f>
        <v>35000000</v>
      </c>
      <c r="Q40" s="17"/>
      <c r="R40" s="20">
        <f>IFERROR(__xludf.DUMMYFUNCTION("""COMPUTED_VALUE"""),4.0E7)</f>
        <v>40000000</v>
      </c>
      <c r="S40" s="20">
        <f>IFERROR(__xludf.DUMMYFUNCTION("""COMPUTED_VALUE"""),6.0E7)</f>
        <v>60000000</v>
      </c>
      <c r="T40" s="17"/>
      <c r="U40" s="17"/>
      <c r="V40" s="17"/>
      <c r="W40" s="20">
        <f>IFERROR(__xludf.DUMMYFUNCTION("""COMPUTED_VALUE"""),5000000.0)</f>
        <v>5000000</v>
      </c>
      <c r="X40" s="17"/>
      <c r="Y40" s="17"/>
    </row>
    <row r="41">
      <c r="A41" s="17">
        <f>IFERROR(__xludf.DUMMYFUNCTION("""COMPUTED_VALUE"""),38.0)</f>
        <v>38</v>
      </c>
      <c r="B41" s="18" t="str">
        <f>IFERROR(__xludf.DUMMYFUNCTION("""COMPUTED_VALUE"""),"juliobowi")</f>
        <v>juliobowi</v>
      </c>
      <c r="C41" s="19">
        <f>IFERROR(__xludf.DUMMYFUNCTION("""COMPUTED_VALUE"""),55200.0)</f>
        <v>55200</v>
      </c>
      <c r="D41" s="20" t="str">
        <f>IFERROR(__xludf.DUMMYFUNCTION("""COMPUTED_VALUE"""),"Micro")</f>
        <v>Micro</v>
      </c>
      <c r="E41" s="24" t="str">
        <f>IFERROR(__xludf.DUMMYFUNCTION("""COMPUTED_VALUE"""),"juliobowi")</f>
        <v>juliobowi</v>
      </c>
      <c r="F41" s="19">
        <f>IFERROR(__xludf.DUMMYFUNCTION("""COMPUTED_VALUE"""),12300.0)</f>
        <v>12300</v>
      </c>
      <c r="G41" s="20" t="str">
        <f>IFERROR(__xludf.DUMMYFUNCTION("""COMPUTED_VALUE"""),"Micro")</f>
        <v>Micro</v>
      </c>
      <c r="H41" s="17" t="str">
        <f>IFERROR(__xludf.DUMMYFUNCTION("""COMPUTED_VALUE"""),"Bekasi")</f>
        <v>Bekasi</v>
      </c>
      <c r="I41" s="17" t="str">
        <f>IFERROR(__xludf.DUMMYFUNCTION("""COMPUTED_VALUE"""),"- Lifestyle Male
- Health &amp; Sport")</f>
        <v>- Lifestyle Male
- Health &amp; Sport</v>
      </c>
      <c r="J41" s="17"/>
      <c r="K41" s="20" t="str">
        <f>IFERROR(__xludf.DUMMYFUNCTION("""COMPUTED_VALUE"""),"Rp1,000,000 (2 photos + 1 video)")</f>
        <v>Rp1,000,000 (2 photos + 1 video)</v>
      </c>
      <c r="L41" s="17"/>
      <c r="M41" s="17"/>
      <c r="N41" s="17"/>
      <c r="O41" s="17"/>
      <c r="P41" s="20">
        <f>IFERROR(__xludf.DUMMYFUNCTION("""COMPUTED_VALUE"""),3500000.0)</f>
        <v>3500000</v>
      </c>
      <c r="Q41" s="17"/>
      <c r="R41" s="20">
        <f>IFERROR(__xludf.DUMMYFUNCTION("""COMPUTED_VALUE"""),1800000.0)</f>
        <v>1800000</v>
      </c>
      <c r="S41" s="20">
        <f>IFERROR(__xludf.DUMMYFUNCTION("""COMPUTED_VALUE"""),4500000.0)</f>
        <v>4500000</v>
      </c>
      <c r="T41" s="17"/>
      <c r="U41" s="20">
        <f>IFERROR(__xludf.DUMMYFUNCTION("""COMPUTED_VALUE"""),800000.0)</f>
        <v>800000</v>
      </c>
      <c r="V41" s="17"/>
      <c r="W41" s="17"/>
      <c r="X41" s="17"/>
      <c r="Y41" s="17"/>
    </row>
    <row r="42">
      <c r="A42" s="27"/>
      <c r="B42" s="33" t="str">
        <f>IFERROR(__xludf.DUMMYFUNCTION("""COMPUTED_VALUE"""),"rofiefauzie")</f>
        <v>rofiefauzie</v>
      </c>
      <c r="C42" s="34">
        <f>IFERROR(__xludf.DUMMYFUNCTION("""COMPUTED_VALUE"""),102000.0)</f>
        <v>102000</v>
      </c>
      <c r="D42" s="35" t="str">
        <f>IFERROR(__xludf.DUMMYFUNCTION("""COMPUTED_VALUE"""),"Mid")</f>
        <v>Mid</v>
      </c>
      <c r="E42" s="36" t="str">
        <f>IFERROR(__xludf.DUMMYFUNCTION("""COMPUTED_VALUE"""),"hirofie")</f>
        <v>hirofie</v>
      </c>
      <c r="F42" s="34">
        <f>IFERROR(__xludf.DUMMYFUNCTION("""COMPUTED_VALUE"""),429800.0)</f>
        <v>429800</v>
      </c>
      <c r="G42" s="35" t="str">
        <f>IFERROR(__xludf.DUMMYFUNCTION("""COMPUTED_VALUE"""),"Mid")</f>
        <v>Mid</v>
      </c>
      <c r="H42" s="27" t="str">
        <f>IFERROR(__xludf.DUMMYFUNCTION("""COMPUTED_VALUE"""),"Jakarta")</f>
        <v>Jakarta</v>
      </c>
      <c r="I42" s="27" t="str">
        <f>IFERROR(__xludf.DUMMYFUNCTION("""COMPUTED_VALUE"""),"- Lifestyle Male 
- Gaming")</f>
        <v>- Lifestyle Male 
- Gaming</v>
      </c>
      <c r="J42" s="27"/>
      <c r="K42" s="35">
        <f>IFERROR(__xludf.DUMMYFUNCTION("""COMPUTED_VALUE"""),1000000.0)</f>
        <v>1000000</v>
      </c>
      <c r="L42" s="35">
        <f>IFERROR(__xludf.DUMMYFUNCTION("""COMPUTED_VALUE"""),2000000.0)</f>
        <v>2000000</v>
      </c>
      <c r="M42" s="35">
        <f>IFERROR(__xludf.DUMMYFUNCTION("""COMPUTED_VALUE"""),500000.0)</f>
        <v>500000</v>
      </c>
      <c r="N42" s="35">
        <f>IFERROR(__xludf.DUMMYFUNCTION("""COMPUTED_VALUE"""),2500000.0)</f>
        <v>2500000</v>
      </c>
      <c r="O42" s="35">
        <f>IFERROR(__xludf.DUMMYFUNCTION("""COMPUTED_VALUE"""),2500000.0)</f>
        <v>2500000</v>
      </c>
      <c r="P42" s="35">
        <f>IFERROR(__xludf.DUMMYFUNCTION("""COMPUTED_VALUE"""),3000000.0)</f>
        <v>3000000</v>
      </c>
      <c r="Q42" s="27"/>
      <c r="R42" s="35">
        <f>IFERROR(__xludf.DUMMYFUNCTION("""COMPUTED_VALUE"""),4000000.0)</f>
        <v>4000000</v>
      </c>
      <c r="S42" s="35">
        <f>IFERROR(__xludf.DUMMYFUNCTION("""COMPUTED_VALUE"""),5000000.0)</f>
        <v>5000000</v>
      </c>
      <c r="T42" s="27"/>
      <c r="U42" s="35">
        <f>IFERROR(__xludf.DUMMYFUNCTION("""COMPUTED_VALUE"""),3000000.0)</f>
        <v>3000000</v>
      </c>
      <c r="V42" s="27"/>
      <c r="W42" s="27"/>
      <c r="X42" s="27"/>
      <c r="Y42" s="27"/>
    </row>
    <row r="43">
      <c r="A43" s="27"/>
      <c r="B43" s="33" t="str">
        <f>IFERROR(__xludf.DUMMYFUNCTION("""COMPUTED_VALUE"""),"mrleizhu")</f>
        <v>mrleizhu</v>
      </c>
      <c r="C43" s="34">
        <f>IFERROR(__xludf.DUMMYFUNCTION("""COMPUTED_VALUE"""),88100.0)</f>
        <v>88100</v>
      </c>
      <c r="D43" s="35" t="str">
        <f>IFERROR(__xludf.DUMMYFUNCTION("""COMPUTED_VALUE"""),"Micro")</f>
        <v>Micro</v>
      </c>
      <c r="E43" s="36" t="str">
        <f>IFERROR(__xludf.DUMMYFUNCTION("""COMPUTED_VALUE"""),"restudehin")</f>
        <v>restudehin</v>
      </c>
      <c r="F43" s="34">
        <f>IFERROR(__xludf.DUMMYFUNCTION("""COMPUTED_VALUE"""),411700.0)</f>
        <v>411700</v>
      </c>
      <c r="G43" s="35" t="str">
        <f>IFERROR(__xludf.DUMMYFUNCTION("""COMPUTED_VALUE"""),"Mid")</f>
        <v>Mid</v>
      </c>
      <c r="H43" s="27" t="str">
        <f>IFERROR(__xludf.DUMMYFUNCTION("""COMPUTED_VALUE"""),"Jakarta")</f>
        <v>Jakarta</v>
      </c>
      <c r="I43" s="27" t="str">
        <f>IFERROR(__xludf.DUMMYFUNCTION("""COMPUTED_VALUE"""),"- Lifestyle Male
- Fashion Pria")</f>
        <v>- Lifestyle Male
- Fashion Pria</v>
      </c>
      <c r="J43" s="27"/>
      <c r="K43" s="35">
        <f>IFERROR(__xludf.DUMMYFUNCTION("""COMPUTED_VALUE"""),1000000.0)</f>
        <v>1000000</v>
      </c>
      <c r="L43" s="35">
        <f>IFERROR(__xludf.DUMMYFUNCTION("""COMPUTED_VALUE"""),2000000.0)</f>
        <v>2000000</v>
      </c>
      <c r="M43" s="35">
        <f>IFERROR(__xludf.DUMMYFUNCTION("""COMPUTED_VALUE"""),500000.0)</f>
        <v>500000</v>
      </c>
      <c r="N43" s="35">
        <f>IFERROR(__xludf.DUMMYFUNCTION("""COMPUTED_VALUE"""),2000000.0)</f>
        <v>2000000</v>
      </c>
      <c r="O43" s="27"/>
      <c r="P43" s="35">
        <f>IFERROR(__xludf.DUMMYFUNCTION("""COMPUTED_VALUE"""),4000000.0)</f>
        <v>4000000</v>
      </c>
      <c r="Q43" s="27"/>
      <c r="R43" s="35">
        <f>IFERROR(__xludf.DUMMYFUNCTION("""COMPUTED_VALUE"""),5000000.0)</f>
        <v>5000000</v>
      </c>
      <c r="S43" s="35">
        <f>IFERROR(__xludf.DUMMYFUNCTION("""COMPUTED_VALUE"""),7000000.0)</f>
        <v>7000000</v>
      </c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34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  <hyperlink r:id="rId47" ref="B27"/>
    <hyperlink r:id="rId48" ref="E27"/>
    <hyperlink r:id="rId49" ref="B28"/>
    <hyperlink r:id="rId50" ref="E28"/>
    <hyperlink r:id="rId51" ref="B29"/>
    <hyperlink r:id="rId52" ref="E29"/>
    <hyperlink r:id="rId53" ref="B30"/>
    <hyperlink r:id="rId54" ref="E30"/>
    <hyperlink r:id="rId55" ref="B31"/>
    <hyperlink r:id="rId56" ref="E31"/>
    <hyperlink r:id="rId57" ref="B32"/>
    <hyperlink r:id="rId58" ref="E32"/>
    <hyperlink r:id="rId59" ref="B33"/>
    <hyperlink r:id="rId60" ref="E33"/>
    <hyperlink r:id="rId61" ref="B34"/>
    <hyperlink r:id="rId62" ref="E34"/>
    <hyperlink r:id="rId63" ref="B35"/>
    <hyperlink r:id="rId64" ref="E35"/>
    <hyperlink r:id="rId65" ref="B36"/>
    <hyperlink r:id="rId66" ref="E36"/>
    <hyperlink r:id="rId67" ref="B37"/>
    <hyperlink r:id="rId68" ref="E37"/>
    <hyperlink r:id="rId69" ref="B38"/>
    <hyperlink r:id="rId70" ref="E38"/>
    <hyperlink r:id="rId71" ref="B39"/>
    <hyperlink r:id="rId72" ref="E39"/>
    <hyperlink r:id="rId73" ref="B40"/>
    <hyperlink r:id="rId74" ref="E40"/>
    <hyperlink r:id="rId75" ref="B41"/>
    <hyperlink r:id="rId76" ref="E41"/>
    <hyperlink r:id="rId77" ref="B42"/>
    <hyperlink r:id="rId78" ref="E42"/>
    <hyperlink r:id="rId79" ref="B43"/>
    <hyperlink r:id="rId80" ref="E43"/>
  </hyperlinks>
  <drawing r:id="rId8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8"/>
      <c r="B1" s="3"/>
      <c r="C1" s="3"/>
      <c r="D1" s="3"/>
      <c r="E1" s="3"/>
      <c r="F1" s="3"/>
      <c r="G1" s="3"/>
      <c r="H1" s="3"/>
      <c r="I1" s="4"/>
      <c r="J1" s="29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""Beauty!A4:Y999"")"),1.0)</f>
        <v>1</v>
      </c>
      <c r="B4" s="18" t="str">
        <f>IFERROR(__xludf.DUMMYFUNCTION("""COMPUTED_VALUE"""),"rklopperr")</f>
        <v>rklopperr</v>
      </c>
      <c r="C4" s="19">
        <f>IFERROR(__xludf.DUMMYFUNCTION("""COMPUTED_VALUE"""),7000000.0)</f>
        <v>7000000</v>
      </c>
      <c r="D4" s="17" t="str">
        <f>IFERROR(__xludf.DUMMYFUNCTION("""COMPUTED_VALUE"""),"Mega")</f>
        <v>Mega</v>
      </c>
      <c r="E4" s="18" t="str">
        <f>IFERROR(__xludf.DUMMYFUNCTION("""COMPUTED_VALUE"""),"rklopperrr")</f>
        <v>rklopperrr</v>
      </c>
      <c r="F4" s="19">
        <f>IFERROR(__xludf.DUMMYFUNCTION("""COMPUTED_VALUE"""),3000000.0)</f>
        <v>3000000</v>
      </c>
      <c r="G4" s="17" t="str">
        <f>IFERROR(__xludf.DUMMYFUNCTION("""COMPUTED_VALUE"""),"Mega")</f>
        <v>Mega</v>
      </c>
      <c r="H4" s="17" t="str">
        <f>IFERROR(__xludf.DUMMYFUNCTION("""COMPUTED_VALUE"""),"Tangerang")</f>
        <v>Tangerang</v>
      </c>
      <c r="I4" s="17" t="str">
        <f>IFERROR(__xludf.DUMMYFUNCTION("""COMPUTED_VALUE"""),"- Lifestyle Female
- Actor/Actress
- Beauty")</f>
        <v>- Lifestyle Female
- Actor/Actress
- Beauty</v>
      </c>
      <c r="J4" s="17"/>
      <c r="K4" s="20">
        <f>IFERROR(__xludf.DUMMYFUNCTION("""COMPUTED_VALUE"""),2.0E7)</f>
        <v>20000000</v>
      </c>
      <c r="L4" s="20">
        <f>IFERROR(__xludf.DUMMYFUNCTION("""COMPUTED_VALUE"""),3.5E7)</f>
        <v>35000000</v>
      </c>
      <c r="M4" s="20">
        <f>IFERROR(__xludf.DUMMYFUNCTION("""COMPUTED_VALUE"""),5000000.0)</f>
        <v>5000000</v>
      </c>
      <c r="N4" s="20">
        <f>IFERROR(__xludf.DUMMYFUNCTION("""COMPUTED_VALUE"""),3.0E7)</f>
        <v>30000000</v>
      </c>
      <c r="O4" s="20">
        <f>IFERROR(__xludf.DUMMYFUNCTION("""COMPUTED_VALUE"""),4.5E7)</f>
        <v>45000000</v>
      </c>
      <c r="P4" s="20">
        <f>IFERROR(__xludf.DUMMYFUNCTION("""COMPUTED_VALUE"""),4.5E7)</f>
        <v>45000000</v>
      </c>
      <c r="Q4" s="20">
        <f>IFERROR(__xludf.DUMMYFUNCTION("""COMPUTED_VALUE"""),1.0E7)</f>
        <v>10000000</v>
      </c>
      <c r="R4" s="20">
        <f>IFERROR(__xludf.DUMMYFUNCTION("""COMPUTED_VALUE"""),4.5E7)</f>
        <v>45000000</v>
      </c>
      <c r="S4" s="20">
        <f>IFERROR(__xludf.DUMMYFUNCTION("""COMPUTED_VALUE"""),6.5E7)</f>
        <v>65000000</v>
      </c>
      <c r="T4" s="20">
        <f>IFERROR(__xludf.DUMMYFUNCTION("""COMPUTED_VALUE"""),4.5E7)</f>
        <v>45000000</v>
      </c>
      <c r="U4" s="20">
        <f>IFERROR(__xludf.DUMMYFUNCTION("""COMPUTED_VALUE"""),1.0E7)</f>
        <v>10000000</v>
      </c>
      <c r="V4" s="20">
        <f>IFERROR(__xludf.DUMMYFUNCTION("""COMPUTED_VALUE"""),1.0E7)</f>
        <v>10000000</v>
      </c>
      <c r="W4" s="17"/>
      <c r="X4" s="17"/>
      <c r="Y4" s="17"/>
    </row>
    <row r="5">
      <c r="A5" s="17">
        <f>IFERROR(__xludf.DUMMYFUNCTION("""COMPUTED_VALUE"""),2.0)</f>
        <v>2</v>
      </c>
      <c r="B5" s="18" t="str">
        <f>IFERROR(__xludf.DUMMYFUNCTION("""COMPUTED_VALUE"""),"nadiladrn")</f>
        <v>nadiladrn</v>
      </c>
      <c r="C5" s="23">
        <f>IFERROR(__xludf.DUMMYFUNCTION("""COMPUTED_VALUE"""),509000.0)</f>
        <v>509000</v>
      </c>
      <c r="D5" s="17" t="str">
        <f>IFERROR(__xludf.DUMMYFUNCTION("""COMPUTED_VALUE"""),"Macro")</f>
        <v>Macro</v>
      </c>
      <c r="E5" s="18" t="str">
        <f>IFERROR(__xludf.DUMMYFUNCTION("""COMPUTED_VALUE"""),"dileeedrn")</f>
        <v>dileeedrn</v>
      </c>
      <c r="F5" s="23">
        <f>IFERROR(__xludf.DUMMYFUNCTION("""COMPUTED_VALUE"""),168200.0)</f>
        <v>168200</v>
      </c>
      <c r="G5" s="17" t="str">
        <f>IFERROR(__xludf.DUMMYFUNCTION("""COMPUTED_VALUE"""),"Mid")</f>
        <v>Mid</v>
      </c>
      <c r="H5" s="17" t="str">
        <f>IFERROR(__xludf.DUMMYFUNCTION("""COMPUTED_VALUE"""),"Siantar")</f>
        <v>Siantar</v>
      </c>
      <c r="I5" s="17" t="str">
        <f>IFERROR(__xludf.DUMMYFUNCTION("""COMPUTED_VALUE"""),"- Lifestyle Female
- Fashion Wanita
- Beauty")</f>
        <v>- Lifestyle Female
- Fashion Wanita
- Beauty</v>
      </c>
      <c r="J5" s="20">
        <f>IFERROR(__xludf.DUMMYFUNCTION("""COMPUTED_VALUE"""),400000.0)</f>
        <v>400000</v>
      </c>
      <c r="K5" s="20">
        <f>IFERROR(__xludf.DUMMYFUNCTION("""COMPUTED_VALUE"""),500000.0)</f>
        <v>500000</v>
      </c>
      <c r="L5" s="20">
        <f>IFERROR(__xludf.DUMMYFUNCTION("""COMPUTED_VALUE"""),650000.0)</f>
        <v>650000</v>
      </c>
      <c r="M5" s="20" t="str">
        <f>IFERROR(__xludf.DUMMYFUNCTION("""COMPUTED_VALUE"""),"FREE")</f>
        <v>FREE</v>
      </c>
      <c r="N5" s="20">
        <f>IFERROR(__xludf.DUMMYFUNCTION("""COMPUTED_VALUE"""),850000.0)</f>
        <v>850000</v>
      </c>
      <c r="O5" s="20">
        <f>IFERROR(__xludf.DUMMYFUNCTION("""COMPUTED_VALUE"""),950000.0)</f>
        <v>950000</v>
      </c>
      <c r="P5" s="20">
        <f>IFERROR(__xludf.DUMMYFUNCTION("""COMPUTED_VALUE"""),1000000.0)</f>
        <v>1000000</v>
      </c>
      <c r="Q5" s="20" t="str">
        <f>IFERROR(__xludf.DUMMYFUNCTION("""COMPUTED_VALUE"""),"FREE")</f>
        <v>FREE</v>
      </c>
      <c r="R5" s="20">
        <f>IFERROR(__xludf.DUMMYFUNCTION("""COMPUTED_VALUE"""),750000.0)</f>
        <v>750000</v>
      </c>
      <c r="S5" s="20">
        <f>IFERROR(__xludf.DUMMYFUNCTION("""COMPUTED_VALUE"""),1500000.0)</f>
        <v>1500000</v>
      </c>
      <c r="T5" s="17"/>
      <c r="U5" s="20" t="str">
        <f>IFERROR(__xludf.DUMMYFUNCTION("""COMPUTED_VALUE"""),"FREE")</f>
        <v>FREE</v>
      </c>
      <c r="V5" s="17"/>
      <c r="W5" s="20" t="str">
        <f>IFERROR(__xludf.DUMMYFUNCTION("""COMPUTED_VALUE"""),"FREE")</f>
        <v>FREE</v>
      </c>
      <c r="X5" s="20" t="str">
        <f>IFERROR(__xludf.DUMMYFUNCTION("""COMPUTED_VALUE"""),"Rp1.500.000 - Rp2.500.000")</f>
        <v>Rp1.500.000 - Rp2.500.000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IFERROR(__xludf.DUMMYFUNCTION("""COMPUTED_VALUE"""),"alminetaaz")</f>
        <v>alminetaaz</v>
      </c>
      <c r="C6" s="23">
        <f>IFERROR(__xludf.DUMMYFUNCTION("""COMPUTED_VALUE"""),382000.0)</f>
        <v>382000</v>
      </c>
      <c r="D6" s="17" t="str">
        <f>IFERROR(__xludf.DUMMYFUNCTION("""COMPUTED_VALUE"""),"Mid")</f>
        <v>Mid</v>
      </c>
      <c r="E6" s="18" t="str">
        <f>IFERROR(__xludf.DUMMYFUNCTION("""COMPUTED_VALUE"""),"almineta")</f>
        <v>almineta</v>
      </c>
      <c r="F6" s="19">
        <f>IFERROR(__xludf.DUMMYFUNCTION("""COMPUTED_VALUE"""),2800000.0)</f>
        <v>2800000</v>
      </c>
      <c r="G6" s="17" t="str">
        <f>IFERROR(__xludf.DUMMYFUNCTION("""COMPUTED_VALUE"""),"Mega")</f>
        <v>Mega</v>
      </c>
      <c r="H6" s="17" t="str">
        <f>IFERROR(__xludf.DUMMYFUNCTION("""COMPUTED_VALUE"""),"Jakarta")</f>
        <v>Jakarta</v>
      </c>
      <c r="I6" s="17" t="str">
        <f>IFERROR(__xludf.DUMMYFUNCTION("""COMPUTED_VALUE"""),"- Fashion Wanita
- Lifestyle Female
- Pasutri
- Beauty")</f>
        <v>- Fashion Wanita
- Lifestyle Female
- Pasutri
- Beauty</v>
      </c>
      <c r="J6" s="20">
        <f>IFERROR(__xludf.DUMMYFUNCTION("""COMPUTED_VALUE"""),1500000.0)</f>
        <v>1500000</v>
      </c>
      <c r="K6" s="20">
        <f>IFERROR(__xludf.DUMMYFUNCTION("""COMPUTED_VALUE"""),5500000.0)</f>
        <v>5500000</v>
      </c>
      <c r="L6" s="20">
        <f>IFERROR(__xludf.DUMMYFUNCTION("""COMPUTED_VALUE"""),7000000.0)</f>
        <v>7000000</v>
      </c>
      <c r="M6" s="20" t="str">
        <f>IFERROR(__xludf.DUMMYFUNCTION("""COMPUTED_VALUE"""),"FREE")</f>
        <v>FREE</v>
      </c>
      <c r="N6" s="20">
        <f>IFERROR(__xludf.DUMMYFUNCTION("""COMPUTED_VALUE"""),4500000.0)</f>
        <v>4500000</v>
      </c>
      <c r="O6" s="20" t="str">
        <f>IFERROR(__xludf.DUMMYFUNCTION("""COMPUTED_VALUE"""),"Rp700,000/slide")</f>
        <v>Rp700,000/slide</v>
      </c>
      <c r="P6" s="20">
        <f>IFERROR(__xludf.DUMMYFUNCTION("""COMPUTED_VALUE"""),1.2E7)</f>
        <v>12000000</v>
      </c>
      <c r="Q6" s="20">
        <f>IFERROR(__xludf.DUMMYFUNCTION("""COMPUTED_VALUE"""),1500000.0)</f>
        <v>1500000</v>
      </c>
      <c r="R6" s="20">
        <f>IFERROR(__xludf.DUMMYFUNCTION("""COMPUTED_VALUE"""),2.2E7)</f>
        <v>22000000</v>
      </c>
      <c r="S6" s="20">
        <f>IFERROR(__xludf.DUMMYFUNCTION("""COMPUTED_VALUE"""),1.0E7)</f>
        <v>10000000</v>
      </c>
      <c r="T6" s="20">
        <f>IFERROR(__xludf.DUMMYFUNCTION("""COMPUTED_VALUE"""),1.0E7)</f>
        <v>10000000</v>
      </c>
      <c r="U6" s="20">
        <f>IFERROR(__xludf.DUMMYFUNCTION("""COMPUTED_VALUE"""),3.5E7)</f>
        <v>35000000</v>
      </c>
      <c r="V6" s="21">
        <f>IFERROR(__xludf.DUMMYFUNCTION("""COMPUTED_VALUE"""),0.5)</f>
        <v>0.5</v>
      </c>
      <c r="W6" s="20">
        <f>IFERROR(__xludf.DUMMYFUNCTION("""COMPUTED_VALUE"""),1500000.0)</f>
        <v>1500000</v>
      </c>
      <c r="X6" s="20">
        <f>IFERROR(__xludf.DUMMYFUNCTION("""COMPUTED_VALUE"""),3000000.0)</f>
        <v>3000000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IFERROR(__xludf.DUMMYFUNCTION("""COMPUTED_VALUE"""),"hellodhanii")</f>
        <v>hellodhanii</v>
      </c>
      <c r="C7" s="23">
        <f>IFERROR(__xludf.DUMMYFUNCTION("""COMPUTED_VALUE"""),299000.0)</f>
        <v>299000</v>
      </c>
      <c r="D7" s="17" t="str">
        <f>IFERROR(__xludf.DUMMYFUNCTION("""COMPUTED_VALUE"""),"Mid")</f>
        <v>Mid</v>
      </c>
      <c r="E7" s="24" t="str">
        <f>IFERROR(__xludf.DUMMYFUNCTION("""COMPUTED_VALUE"""),"hellodhani")</f>
        <v>hellodhani</v>
      </c>
      <c r="F7" s="19">
        <f>IFERROR(__xludf.DUMMYFUNCTION("""COMPUTED_VALUE"""),2300000.0)</f>
        <v>2300000</v>
      </c>
      <c r="G7" s="17" t="str">
        <f>IFERROR(__xludf.DUMMYFUNCTION("""COMPUTED_VALUE"""),"Mega")</f>
        <v>Mega</v>
      </c>
      <c r="H7" s="20" t="str">
        <f>IFERROR(__xludf.DUMMYFUNCTION("""COMPUTED_VALUE"""),"Jakarta")</f>
        <v>Jakarta</v>
      </c>
      <c r="I7" s="17" t="str">
        <f>IFERROR(__xludf.DUMMYFUNCTION("""COMPUTED_VALUE"""),"- Beauty
- Lifestyle Female
- Fashion Wanita")</f>
        <v>- Beauty
- Lifestyle Female
- Fashion Wanita</v>
      </c>
      <c r="J7" s="20">
        <f>IFERROR(__xludf.DUMMYFUNCTION("""COMPUTED_VALUE"""),1000000.0)</f>
        <v>1000000</v>
      </c>
      <c r="K7" s="20">
        <f>IFERROR(__xludf.DUMMYFUNCTION("""COMPUTED_VALUE"""),3000000.0)</f>
        <v>3000000</v>
      </c>
      <c r="L7" s="20">
        <f>IFERROR(__xludf.DUMMYFUNCTION("""COMPUTED_VALUE"""),4000000.0)</f>
        <v>4000000</v>
      </c>
      <c r="M7" s="20" t="str">
        <f>IFERROR(__xludf.DUMMYFUNCTION("""COMPUTED_VALUE"""),"FREE")</f>
        <v>FREE</v>
      </c>
      <c r="N7" s="20">
        <f>IFERROR(__xludf.DUMMYFUNCTION("""COMPUTED_VALUE"""),3500000.0)</f>
        <v>3500000</v>
      </c>
      <c r="O7" s="20" t="str">
        <f>IFERROR(__xludf.DUMMYFUNCTION("""COMPUTED_VALUE"""),"FREE")</f>
        <v>FREE</v>
      </c>
      <c r="P7" s="20">
        <f>IFERROR(__xludf.DUMMYFUNCTION("""COMPUTED_VALUE"""),9000000.0)</f>
        <v>9000000</v>
      </c>
      <c r="Q7" s="20" t="str">
        <f>IFERROR(__xludf.DUMMYFUNCTION("""COMPUTED_VALUE"""),"FREE")</f>
        <v>FREE</v>
      </c>
      <c r="R7" s="20">
        <f>IFERROR(__xludf.DUMMYFUNCTION("""COMPUTED_VALUE"""),7000000.0)</f>
        <v>7000000</v>
      </c>
      <c r="S7" s="20">
        <f>IFERROR(__xludf.DUMMYFUNCTION("""COMPUTED_VALUE"""),4500000.0)</f>
        <v>4500000</v>
      </c>
      <c r="T7" s="20">
        <f>IFERROR(__xludf.DUMMYFUNCTION("""COMPUTED_VALUE"""),4000000.0)</f>
        <v>4000000</v>
      </c>
      <c r="U7" s="20" t="str">
        <f>IFERROR(__xludf.DUMMYFUNCTION("""COMPUTED_VALUE"""),"100% SOW")</f>
        <v>100% SOW</v>
      </c>
      <c r="V7" s="20" t="str">
        <f>IFERROR(__xludf.DUMMYFUNCTION("""COMPUTED_VALUE"""),"FREE")</f>
        <v>FREE</v>
      </c>
      <c r="W7" s="20" t="str">
        <f>IFERROR(__xludf.DUMMYFUNCTION("""COMPUTED_VALUE"""),"FREE")</f>
        <v>FREE</v>
      </c>
      <c r="X7" s="20">
        <f>IFERROR(__xludf.DUMMYFUNCTION("""COMPUTED_VALUE"""),1000000.0)</f>
        <v>1000000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IFERROR(__xludf.DUMMYFUNCTION("""COMPUTED_VALUE"""),"nennyzoe")</f>
        <v>nennyzoe</v>
      </c>
      <c r="C8" s="23">
        <f>IFERROR(__xludf.DUMMYFUNCTION("""COMPUTED_VALUE"""),270000.0)</f>
        <v>270000</v>
      </c>
      <c r="D8" s="17" t="str">
        <f>IFERROR(__xludf.DUMMYFUNCTION("""COMPUTED_VALUE"""),"Mid")</f>
        <v>Mid</v>
      </c>
      <c r="E8" s="18" t="str">
        <f>IFERROR(__xludf.DUMMYFUNCTION("""COMPUTED_VALUE"""),"nennyzoe")</f>
        <v>nennyzoe</v>
      </c>
      <c r="F8" s="19">
        <f>IFERROR(__xludf.DUMMYFUNCTION("""COMPUTED_VALUE"""),1100000.0)</f>
        <v>1100000</v>
      </c>
      <c r="G8" s="17" t="str">
        <f>IFERROR(__xludf.DUMMYFUNCTION("""COMPUTED_VALUE"""),"Mega")</f>
        <v>Mega</v>
      </c>
      <c r="H8" s="17" t="str">
        <f>IFERROR(__xludf.DUMMYFUNCTION("""COMPUTED_VALUE"""),"Bandung")</f>
        <v>Bandung</v>
      </c>
      <c r="I8" s="17" t="str">
        <f>IFERROR(__xludf.DUMMYFUNCTION("""COMPUTED_VALUE"""),"- Fashion Wanita
- Lifestyle Female
- Beauty
- Family")</f>
        <v>- Fashion Wanita
- Lifestyle Female
- Beauty
- Family</v>
      </c>
      <c r="J8" s="20">
        <f>IFERROR(__xludf.DUMMYFUNCTION("""COMPUTED_VALUE"""),400000.0)</f>
        <v>400000</v>
      </c>
      <c r="K8" s="20">
        <f>IFERROR(__xludf.DUMMYFUNCTION("""COMPUTED_VALUE"""),2000000.0)</f>
        <v>2000000</v>
      </c>
      <c r="L8" s="20">
        <f>IFERROR(__xludf.DUMMYFUNCTION("""COMPUTED_VALUE"""),5000000.0)</f>
        <v>5000000</v>
      </c>
      <c r="M8" s="20" t="str">
        <f>IFERROR(__xludf.DUMMYFUNCTION("""COMPUTED_VALUE"""),"FREE")</f>
        <v>FREE</v>
      </c>
      <c r="N8" s="20">
        <f>IFERROR(__xludf.DUMMYFUNCTION("""COMPUTED_VALUE"""),3500000.0)</f>
        <v>3500000</v>
      </c>
      <c r="O8" s="20">
        <f>IFERROR(__xludf.DUMMYFUNCTION("""COMPUTED_VALUE"""),4000000.0)</f>
        <v>4000000</v>
      </c>
      <c r="P8" s="20">
        <f>IFERROR(__xludf.DUMMYFUNCTION("""COMPUTED_VALUE"""),7500000.0)</f>
        <v>7500000</v>
      </c>
      <c r="Q8" s="20" t="str">
        <f>IFERROR(__xludf.DUMMYFUNCTION("""COMPUTED_VALUE"""),"FREE")</f>
        <v>FREE</v>
      </c>
      <c r="R8" s="20">
        <f>IFERROR(__xludf.DUMMYFUNCTION("""COMPUTED_VALUE"""),1.0E7)</f>
        <v>10000000</v>
      </c>
      <c r="S8" s="20">
        <f>IFERROR(__xludf.DUMMYFUNCTION("""COMPUTED_VALUE"""),1.5E7)</f>
        <v>15000000</v>
      </c>
      <c r="T8" s="20">
        <f>IFERROR(__xludf.DUMMYFUNCTION("""COMPUTED_VALUE"""),8000000.0)</f>
        <v>8000000</v>
      </c>
      <c r="U8" s="20">
        <f>IFERROR(__xludf.DUMMYFUNCTION("""COMPUTED_VALUE"""),1.5E7)</f>
        <v>15000000</v>
      </c>
      <c r="V8" s="21">
        <f>IFERROR(__xludf.DUMMYFUNCTION("""COMPUTED_VALUE"""),0.5)</f>
        <v>0.5</v>
      </c>
      <c r="W8" s="20">
        <f>IFERROR(__xludf.DUMMYFUNCTION("""COMPUTED_VALUE"""),1000000.0)</f>
        <v>1000000</v>
      </c>
      <c r="X8" s="20">
        <f>IFERROR(__xludf.DUMMYFUNCTION("""COMPUTED_VALUE"""),2000000.0)</f>
        <v>2000000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IFERROR(__xludf.DUMMYFUNCTION("""COMPUTED_VALUE"""),"bbyjiangel_")</f>
        <v>bbyjiangel_</v>
      </c>
      <c r="C9" s="23">
        <f>IFERROR(__xludf.DUMMYFUNCTION("""COMPUTED_VALUE"""),266000.0)</f>
        <v>266000</v>
      </c>
      <c r="D9" s="17" t="str">
        <f>IFERROR(__xludf.DUMMYFUNCTION("""COMPUTED_VALUE"""),"Mid")</f>
        <v>Mid</v>
      </c>
      <c r="E9" s="18" t="str">
        <f>IFERROR(__xludf.DUMMYFUNCTION("""COMPUTED_VALUE"""),"jiyaakila")</f>
        <v>jiyaakila</v>
      </c>
      <c r="F9" s="23">
        <f>IFERROR(__xludf.DUMMYFUNCTION("""COMPUTED_VALUE"""),25500.0)</f>
        <v>25500</v>
      </c>
      <c r="G9" s="17" t="str">
        <f>IFERROR(__xludf.DUMMYFUNCTION("""COMPUTED_VALUE"""),"Micro")</f>
        <v>Micro</v>
      </c>
      <c r="H9" s="17" t="str">
        <f>IFERROR(__xludf.DUMMYFUNCTION("""COMPUTED_VALUE"""),"Padang")</f>
        <v>Padang</v>
      </c>
      <c r="I9" s="17" t="str">
        <f>IFERROR(__xludf.DUMMYFUNCTION("""COMPUTED_VALUE"""),"- Fashion Wanita
- Beauty")</f>
        <v>- Fashion Wanita
- Beauty</v>
      </c>
      <c r="J9" s="20">
        <f>IFERROR(__xludf.DUMMYFUNCTION("""COMPUTED_VALUE"""),200000.0)</f>
        <v>200000</v>
      </c>
      <c r="K9" s="20">
        <f>IFERROR(__xludf.DUMMYFUNCTION("""COMPUTED_VALUE"""),1000000.0)</f>
        <v>1000000</v>
      </c>
      <c r="L9" s="17"/>
      <c r="M9" s="20" t="str">
        <f>IFERROR(__xludf.DUMMYFUNCTION("""COMPUTED_VALUE"""),"FREE")</f>
        <v>FREE</v>
      </c>
      <c r="N9" s="20">
        <f>IFERROR(__xludf.DUMMYFUNCTION("""COMPUTED_VALUE"""),1500000.0)</f>
        <v>1500000</v>
      </c>
      <c r="O9" s="20">
        <f>IFERROR(__xludf.DUMMYFUNCTION("""COMPUTED_VALUE"""),2000000.0)</f>
        <v>2000000</v>
      </c>
      <c r="P9" s="20">
        <f>IFERROR(__xludf.DUMMYFUNCTION("""COMPUTED_VALUE"""),3000000.0)</f>
        <v>3000000</v>
      </c>
      <c r="Q9" s="20" t="str">
        <f>IFERROR(__xludf.DUMMYFUNCTION("""COMPUTED_VALUE"""),"FREE")</f>
        <v>FREE</v>
      </c>
      <c r="R9" s="20">
        <f>IFERROR(__xludf.DUMMYFUNCTION("""COMPUTED_VALUE"""),500000.0)</f>
        <v>500000</v>
      </c>
      <c r="S9" s="17"/>
      <c r="T9" s="17"/>
      <c r="U9" s="17"/>
      <c r="V9" s="17"/>
      <c r="W9" s="20" t="str">
        <f>IFERROR(__xludf.DUMMYFUNCTION("""COMPUTED_VALUE"""),"FREE")</f>
        <v>FREE</v>
      </c>
      <c r="X9" s="17"/>
      <c r="Y9" s="17"/>
    </row>
    <row r="10">
      <c r="A10" s="17">
        <f>IFERROR(__xludf.DUMMYFUNCTION("""COMPUTED_VALUE"""),7.0)</f>
        <v>7</v>
      </c>
      <c r="B10" s="18" t="str">
        <f>IFERROR(__xludf.DUMMYFUNCTION("""COMPUTED_VALUE"""),"nabilabyaaa")</f>
        <v>nabilabyaaa</v>
      </c>
      <c r="C10" s="23">
        <f>IFERROR(__xludf.DUMMYFUNCTION("""COMPUTED_VALUE"""),210000.0)</f>
        <v>210000</v>
      </c>
      <c r="D10" s="17" t="str">
        <f>IFERROR(__xludf.DUMMYFUNCTION("""COMPUTED_VALUE"""),"Mid")</f>
        <v>Mid</v>
      </c>
      <c r="E10" s="18" t="str">
        <f>IFERROR(__xludf.DUMMYFUNCTION("""COMPUTED_VALUE"""),"nabilabyaaa")</f>
        <v>nabilabyaaa</v>
      </c>
      <c r="F10" s="19">
        <f>IFERROR(__xludf.DUMMYFUNCTION("""COMPUTED_VALUE"""),198600.0)</f>
        <v>198600</v>
      </c>
      <c r="G10" s="17" t="str">
        <f>IFERROR(__xludf.DUMMYFUNCTION("""COMPUTED_VALUE"""),"Mid")</f>
        <v>Mid</v>
      </c>
      <c r="H10" s="17" t="str">
        <f>IFERROR(__xludf.DUMMYFUNCTION("""COMPUTED_VALUE"""),"Malang")</f>
        <v>Malang</v>
      </c>
      <c r="I10" s="17" t="str">
        <f>IFERROR(__xludf.DUMMYFUNCTION("""COMPUTED_VALUE"""),"- Fashion Wanita
- Beauty")</f>
        <v>- Fashion Wanita
- Beauty</v>
      </c>
      <c r="J10" s="20">
        <f>IFERROR(__xludf.DUMMYFUNCTION("""COMPUTED_VALUE"""),400000.0)</f>
        <v>400000</v>
      </c>
      <c r="K10" s="20">
        <f>IFERROR(__xludf.DUMMYFUNCTION("""COMPUTED_VALUE"""),600000.0)</f>
        <v>600000</v>
      </c>
      <c r="L10" s="20">
        <f>IFERROR(__xludf.DUMMYFUNCTION("""COMPUTED_VALUE"""),800000.0)</f>
        <v>800000</v>
      </c>
      <c r="M10" s="20" t="str">
        <f>IFERROR(__xludf.DUMMYFUNCTION("""COMPUTED_VALUE"""),"FREE")</f>
        <v>FREE</v>
      </c>
      <c r="N10" s="20">
        <f>IFERROR(__xludf.DUMMYFUNCTION("""COMPUTED_VALUE"""),1300000.0)</f>
        <v>1300000</v>
      </c>
      <c r="O10" s="20" t="str">
        <f>IFERROR(__xludf.DUMMYFUNCTION("""COMPUTED_VALUE"""),"FREE")</f>
        <v>FREE</v>
      </c>
      <c r="P10" s="20" t="str">
        <f>IFERROR(__xludf.DUMMYFUNCTION("""COMPUTED_VALUE"""),"Indoor: Rp1.500.000
Outdoor: Rp1.700.000")</f>
        <v>Indoor: Rp1.500.000
Outdoor: Rp1.700.000</v>
      </c>
      <c r="Q10" s="20">
        <f>IFERROR(__xludf.DUMMYFUNCTION("""COMPUTED_VALUE"""),100000.0)</f>
        <v>100000</v>
      </c>
      <c r="R10" s="20">
        <f>IFERROR(__xludf.DUMMYFUNCTION("""COMPUTED_VALUE"""),1500000.0)</f>
        <v>1500000</v>
      </c>
      <c r="S10" s="20">
        <f>IFERROR(__xludf.DUMMYFUNCTION("""COMPUTED_VALUE"""),2000000.0)</f>
        <v>2000000</v>
      </c>
      <c r="T10" s="17"/>
      <c r="U10" s="20">
        <f>IFERROR(__xludf.DUMMYFUNCTION("""COMPUTED_VALUE"""),1000000.0)</f>
        <v>1000000</v>
      </c>
      <c r="V10" s="20">
        <f>IFERROR(__xludf.DUMMYFUNCTION("""COMPUTED_VALUE"""),300000.0)</f>
        <v>300000</v>
      </c>
      <c r="W10" s="20">
        <f>IFERROR(__xludf.DUMMYFUNCTION("""COMPUTED_VALUE"""),300000.0)</f>
        <v>300000</v>
      </c>
      <c r="X10" s="20">
        <f>IFERROR(__xludf.DUMMYFUNCTION("""COMPUTED_VALUE"""),1000000.0)</f>
        <v>1000000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IFERROR(__xludf.DUMMYFUNCTION("""COMPUTED_VALUE"""),"viaazulviani")</f>
        <v>viaazulviani</v>
      </c>
      <c r="C11" s="23">
        <f>IFERROR(__xludf.DUMMYFUNCTION("""COMPUTED_VALUE"""),205000.0)</f>
        <v>205000</v>
      </c>
      <c r="D11" s="17" t="str">
        <f>IFERROR(__xludf.DUMMYFUNCTION("""COMPUTED_VALUE"""),"Mid")</f>
        <v>Mid</v>
      </c>
      <c r="E11" s="18" t="str">
        <f>IFERROR(__xludf.DUMMYFUNCTION("""COMPUTED_VALUE"""),"viaazulviani")</f>
        <v>viaazulviani</v>
      </c>
      <c r="F11" s="23">
        <f>IFERROR(__xludf.DUMMYFUNCTION("""COMPUTED_VALUE"""),127000.0)</f>
        <v>127000</v>
      </c>
      <c r="G11" s="17" t="str">
        <f>IFERROR(__xludf.DUMMYFUNCTION("""COMPUTED_VALUE"""),"Mid")</f>
        <v>Mid</v>
      </c>
      <c r="H11" s="17" t="str">
        <f>IFERROR(__xludf.DUMMYFUNCTION("""COMPUTED_VALUE"""),"Medan")</f>
        <v>Medan</v>
      </c>
      <c r="I11" s="17" t="str">
        <f>IFERROR(__xludf.DUMMYFUNCTION("""COMPUTED_VALUE"""),"- Fashion Wanita 
- Lifestyle Female
- Beauty
- Mom &amp; Kids")</f>
        <v>- Fashion Wanita 
- Lifestyle Female
- Beauty
- Mom &amp; Kids</v>
      </c>
      <c r="J11" s="20">
        <f>IFERROR(__xludf.DUMMYFUNCTION("""COMPUTED_VALUE"""),500000.0)</f>
        <v>500000</v>
      </c>
      <c r="K11" s="20">
        <f>IFERROR(__xludf.DUMMYFUNCTION("""COMPUTED_VALUE"""),1500000.0)</f>
        <v>1500000</v>
      </c>
      <c r="L11" s="20">
        <f>IFERROR(__xludf.DUMMYFUNCTION("""COMPUTED_VALUE"""),3500000.0)</f>
        <v>3500000</v>
      </c>
      <c r="M11" s="20" t="str">
        <f>IFERROR(__xludf.DUMMYFUNCTION("""COMPUTED_VALUE"""),"FREE")</f>
        <v>FREE</v>
      </c>
      <c r="N11" s="20">
        <f>IFERROR(__xludf.DUMMYFUNCTION("""COMPUTED_VALUE"""),3500000.0)</f>
        <v>3500000</v>
      </c>
      <c r="O11" s="20">
        <f>IFERROR(__xludf.DUMMYFUNCTION("""COMPUTED_VALUE"""),4500000.0)</f>
        <v>4500000</v>
      </c>
      <c r="P11" s="20">
        <f>IFERROR(__xludf.DUMMYFUNCTION("""COMPUTED_VALUE"""),6000000.0)</f>
        <v>6000000</v>
      </c>
      <c r="Q11" s="20" t="str">
        <f>IFERROR(__xludf.DUMMYFUNCTION("""COMPUTED_VALUE"""),"FREE")</f>
        <v>FREE</v>
      </c>
      <c r="R11" s="20">
        <f>IFERROR(__xludf.DUMMYFUNCTION("""COMPUTED_VALUE"""),2500000.0)</f>
        <v>2500000</v>
      </c>
      <c r="S11" s="20">
        <f>IFERROR(__xludf.DUMMYFUNCTION("""COMPUTED_VALUE"""),6000000.0)</f>
        <v>6000000</v>
      </c>
      <c r="T11" s="20">
        <f>IFERROR(__xludf.DUMMYFUNCTION("""COMPUTED_VALUE"""),4000000.0)</f>
        <v>4000000</v>
      </c>
      <c r="U11" s="21">
        <f>IFERROR(__xludf.DUMMYFUNCTION("""COMPUTED_VALUE"""),0.5)</f>
        <v>0.5</v>
      </c>
      <c r="V11" s="20">
        <f>IFERROR(__xludf.DUMMYFUNCTION("""COMPUTED_VALUE"""),1000000.0)</f>
        <v>1000000</v>
      </c>
      <c r="W11" s="20" t="str">
        <f>IFERROR(__xludf.DUMMYFUNCTION("""COMPUTED_VALUE"""),"FREE")</f>
        <v>FREE</v>
      </c>
      <c r="X11" s="20">
        <f>IFERROR(__xludf.DUMMYFUNCTION("""COMPUTED_VALUE"""),8000000.0)</f>
        <v>8000000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IFERROR(__xludf.DUMMYFUNCTION("""COMPUTED_VALUE"""),"cyntiaar")</f>
        <v>cyntiaar</v>
      </c>
      <c r="C12" s="23">
        <f>IFERROR(__xludf.DUMMYFUNCTION("""COMPUTED_VALUE"""),196000.0)</f>
        <v>196000</v>
      </c>
      <c r="D12" s="17" t="str">
        <f>IFERROR(__xludf.DUMMYFUNCTION("""COMPUTED_VALUE"""),"Mid")</f>
        <v>Mid</v>
      </c>
      <c r="E12" s="18" t="str">
        <f>IFERROR(__xludf.DUMMYFUNCTION("""COMPUTED_VALUE"""),"cyntiaar_")</f>
        <v>cyntiaar_</v>
      </c>
      <c r="F12" s="19">
        <f>IFERROR(__xludf.DUMMYFUNCTION("""COMPUTED_VALUE"""),1700000.0)</f>
        <v>1700000</v>
      </c>
      <c r="G12" s="17" t="str">
        <f>IFERROR(__xludf.DUMMYFUNCTION("""COMPUTED_VALUE"""),"Mega")</f>
        <v>Mega</v>
      </c>
      <c r="H12" s="17" t="str">
        <f>IFERROR(__xludf.DUMMYFUNCTION("""COMPUTED_VALUE"""),"Bandung")</f>
        <v>Bandung</v>
      </c>
      <c r="I12" s="17" t="str">
        <f>IFERROR(__xludf.DUMMYFUNCTION("""COMPUTED_VALUE"""),"- Beauty
- Lifestyle Female
- Pasutri")</f>
        <v>- Beauty
- Lifestyle Female
- Pasutri</v>
      </c>
      <c r="J12" s="20">
        <f>IFERROR(__xludf.DUMMYFUNCTION("""COMPUTED_VALUE"""),500000.0)</f>
        <v>500000</v>
      </c>
      <c r="K12" s="20">
        <f>IFERROR(__xludf.DUMMYFUNCTION("""COMPUTED_VALUE"""),1500000.0)</f>
        <v>1500000</v>
      </c>
      <c r="L12" s="20">
        <f>IFERROR(__xludf.DUMMYFUNCTION("""COMPUTED_VALUE"""),3000000.0)</f>
        <v>3000000</v>
      </c>
      <c r="M12" s="20" t="str">
        <f>IFERROR(__xludf.DUMMYFUNCTION("""COMPUTED_VALUE"""),"FREE")</f>
        <v>FREE</v>
      </c>
      <c r="N12" s="20">
        <f>IFERROR(__xludf.DUMMYFUNCTION("""COMPUTED_VALUE"""),5000000.0)</f>
        <v>5000000</v>
      </c>
      <c r="O12" s="17"/>
      <c r="P12" s="20">
        <f>IFERROR(__xludf.DUMMYFUNCTION("""COMPUTED_VALUE"""),1.1E7)</f>
        <v>11000000</v>
      </c>
      <c r="Q12" s="20" t="str">
        <f>IFERROR(__xludf.DUMMYFUNCTION("""COMPUTED_VALUE"""),"FREE")</f>
        <v>FREE</v>
      </c>
      <c r="R12" s="20">
        <f>IFERROR(__xludf.DUMMYFUNCTION("""COMPUTED_VALUE"""),1.5E7)</f>
        <v>15000000</v>
      </c>
      <c r="S12" s="20" t="str">
        <f>IFERROR(__xludf.DUMMYFUNCTION("""COMPUTED_VALUE"""),"Add 6.500.000")</f>
        <v>Add 6.500.000</v>
      </c>
      <c r="T12" s="20" t="str">
        <f>IFERROR(__xludf.DUMMYFUNCTION("""COMPUTED_VALUE"""),"ask")</f>
        <v>ask</v>
      </c>
      <c r="U12" s="17"/>
      <c r="V12" s="17"/>
      <c r="W12" s="20" t="str">
        <f>IFERROR(__xludf.DUMMYFUNCTION("""COMPUTED_VALUE"""),"FREE")</f>
        <v>FREE</v>
      </c>
      <c r="X12" s="20" t="str">
        <f>IFERROR(__xludf.DUMMYFUNCTION("""COMPUTED_VALUE"""),"Add 2.500.000")</f>
        <v>Add 2.500.000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IFERROR(__xludf.DUMMYFUNCTION("""COMPUTED_VALUE"""),"S.sraaa")</f>
        <v>S.sraaa</v>
      </c>
      <c r="C13" s="23">
        <f>IFERROR(__xludf.DUMMYFUNCTION("""COMPUTED_VALUE"""),153000.0)</f>
        <v>153000</v>
      </c>
      <c r="D13" s="17" t="str">
        <f>IFERROR(__xludf.DUMMYFUNCTION("""COMPUTED_VALUE"""),"Mid")</f>
        <v>Mid</v>
      </c>
      <c r="E13" s="18" t="str">
        <f>IFERROR(__xludf.DUMMYFUNCTION("""COMPUTED_VALUE"""),"Sssiraa")</f>
        <v>Sssiraa</v>
      </c>
      <c r="F13" s="23">
        <f>IFERROR(__xludf.DUMMYFUNCTION("""COMPUTED_VALUE"""),32900.0)</f>
        <v>32900</v>
      </c>
      <c r="G13" s="17" t="str">
        <f>IFERROR(__xludf.DUMMYFUNCTION("""COMPUTED_VALUE"""),"Micro")</f>
        <v>Micro</v>
      </c>
      <c r="H13" s="17" t="str">
        <f>IFERROR(__xludf.DUMMYFUNCTION("""COMPUTED_VALUE"""),"Bekasi")</f>
        <v>Bekasi</v>
      </c>
      <c r="I13" s="17" t="str">
        <f>IFERROR(__xludf.DUMMYFUNCTION("""COMPUTED_VALUE"""),"- Fashion Wanita
- Beauty")</f>
        <v>- Fashion Wanita
- Beauty</v>
      </c>
      <c r="J13" s="20">
        <f>IFERROR(__xludf.DUMMYFUNCTION("""COMPUTED_VALUE"""),300000.0)</f>
        <v>300000</v>
      </c>
      <c r="K13" s="20">
        <f>IFERROR(__xludf.DUMMYFUNCTION("""COMPUTED_VALUE"""),800000.0)</f>
        <v>800000</v>
      </c>
      <c r="L13" s="20">
        <f>IFERROR(__xludf.DUMMYFUNCTION("""COMPUTED_VALUE"""),1000000.0)</f>
        <v>1000000</v>
      </c>
      <c r="M13" s="20" t="str">
        <f>IFERROR(__xludf.DUMMYFUNCTION("""COMPUTED_VALUE"""),"FREE")</f>
        <v>FREE</v>
      </c>
      <c r="N13" s="20">
        <f>IFERROR(__xludf.DUMMYFUNCTION("""COMPUTED_VALUE"""),1000000.0)</f>
        <v>1000000</v>
      </c>
      <c r="O13" s="20">
        <f>IFERROR(__xludf.DUMMYFUNCTION("""COMPUTED_VALUE"""),1100000.0)</f>
        <v>1100000</v>
      </c>
      <c r="P13" s="20">
        <f>IFERROR(__xludf.DUMMYFUNCTION("""COMPUTED_VALUE"""),1500000.0)</f>
        <v>1500000</v>
      </c>
      <c r="Q13" s="20" t="str">
        <f>IFERROR(__xludf.DUMMYFUNCTION("""COMPUTED_VALUE"""),"FREE")</f>
        <v>FREE</v>
      </c>
      <c r="R13" s="20">
        <f>IFERROR(__xludf.DUMMYFUNCTION("""COMPUTED_VALUE"""),600000.0)</f>
        <v>600000</v>
      </c>
      <c r="S13" s="20">
        <f>IFERROR(__xludf.DUMMYFUNCTION("""COMPUTED_VALUE"""),1700000.0)</f>
        <v>1700000</v>
      </c>
      <c r="T13" s="17"/>
      <c r="U13" s="20">
        <f>IFERROR(__xludf.DUMMYFUNCTION("""COMPUTED_VALUE"""),1000000.0)</f>
        <v>1000000</v>
      </c>
      <c r="V13" s="20">
        <f>IFERROR(__xludf.DUMMYFUNCTION("""COMPUTED_VALUE"""),350000.0)</f>
        <v>350000</v>
      </c>
      <c r="W13" s="20" t="str">
        <f>IFERROR(__xludf.DUMMYFUNCTION("""COMPUTED_VALUE"""),"FREE")</f>
        <v>FREE</v>
      </c>
      <c r="X13" s="20">
        <f>IFERROR(__xludf.DUMMYFUNCTION("""COMPUTED_VALUE"""),4500000.0)</f>
        <v>4500000</v>
      </c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IFERROR(__xludf.DUMMYFUNCTION("""COMPUTED_VALUE"""),"ulyaslsss__")</f>
        <v>ulyaslsss__</v>
      </c>
      <c r="C14" s="23">
        <f>IFERROR(__xludf.DUMMYFUNCTION("""COMPUTED_VALUE"""),114000.0)</f>
        <v>114000</v>
      </c>
      <c r="D14" s="17" t="str">
        <f>IFERROR(__xludf.DUMMYFUNCTION("""COMPUTED_VALUE"""),"Mid")</f>
        <v>Mid</v>
      </c>
      <c r="E14" s="18" t="str">
        <f>IFERROR(__xludf.DUMMYFUNCTION("""COMPUTED_VALUE"""),"ulyasalsabilaa")</f>
        <v>ulyasalsabilaa</v>
      </c>
      <c r="F14" s="23">
        <f>IFERROR(__xludf.DUMMYFUNCTION("""COMPUTED_VALUE"""),14500.0)</f>
        <v>14500</v>
      </c>
      <c r="G14" s="17" t="str">
        <f>IFERROR(__xludf.DUMMYFUNCTION("""COMPUTED_VALUE"""),"Micro")</f>
        <v>Micro</v>
      </c>
      <c r="H14" s="17" t="str">
        <f>IFERROR(__xludf.DUMMYFUNCTION("""COMPUTED_VALUE"""),"Bandung")</f>
        <v>Bandung</v>
      </c>
      <c r="I14" s="17" t="str">
        <f>IFERROR(__xludf.DUMMYFUNCTION("""COMPUTED_VALUE"""),"- Fashion Wanita
- Lifestyle Female
- Beauty")</f>
        <v>- Fashion Wanita
- Lifestyle Female
- Beauty</v>
      </c>
      <c r="J14" s="20">
        <f>IFERROR(__xludf.DUMMYFUNCTION("""COMPUTED_VALUE"""),100000.0)</f>
        <v>100000</v>
      </c>
      <c r="K14" s="20">
        <f>IFERROR(__xludf.DUMMYFUNCTION("""COMPUTED_VALUE"""),200000.0)</f>
        <v>200000</v>
      </c>
      <c r="L14" s="20">
        <f>IFERROR(__xludf.DUMMYFUNCTION("""COMPUTED_VALUE"""),250000.0)</f>
        <v>250000</v>
      </c>
      <c r="M14" s="20">
        <f>IFERROR(__xludf.DUMMYFUNCTION("""COMPUTED_VALUE"""),100000.0)</f>
        <v>100000</v>
      </c>
      <c r="N14" s="20">
        <f>IFERROR(__xludf.DUMMYFUNCTION("""COMPUTED_VALUE"""),300000.0)</f>
        <v>300000</v>
      </c>
      <c r="O14" s="20">
        <f>IFERROR(__xludf.DUMMYFUNCTION("""COMPUTED_VALUE"""),500000.0)</f>
        <v>500000</v>
      </c>
      <c r="P14" s="20">
        <f>IFERROR(__xludf.DUMMYFUNCTION("""COMPUTED_VALUE"""),700000.0)</f>
        <v>700000</v>
      </c>
      <c r="Q14" s="20" t="str">
        <f>IFERROR(__xludf.DUMMYFUNCTION("""COMPUTED_VALUE"""),"FREE")</f>
        <v>FREE</v>
      </c>
      <c r="R14" s="20">
        <f>IFERROR(__xludf.DUMMYFUNCTION("""COMPUTED_VALUE"""),400000.0)</f>
        <v>400000</v>
      </c>
      <c r="S14" s="20">
        <f>IFERROR(__xludf.DUMMYFUNCTION("""COMPUTED_VALUE"""),700000.0)</f>
        <v>700000</v>
      </c>
      <c r="T14" s="20">
        <f>IFERROR(__xludf.DUMMYFUNCTION("""COMPUTED_VALUE"""),500000.0)</f>
        <v>500000</v>
      </c>
      <c r="U14" s="20">
        <f>IFERROR(__xludf.DUMMYFUNCTION("""COMPUTED_VALUE"""),200000.0)</f>
        <v>200000</v>
      </c>
      <c r="V14" s="20" t="str">
        <f>IFERROR(__xludf.DUMMYFUNCTION("""COMPUTED_VALUE"""),"FREE")</f>
        <v>FREE</v>
      </c>
      <c r="W14" s="20" t="str">
        <f>IFERROR(__xludf.DUMMYFUNCTION("""COMPUTED_VALUE"""),"FREE")</f>
        <v>FREE</v>
      </c>
      <c r="X14" s="17"/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IFERROR(__xludf.DUMMYFUNCTION("""COMPUTED_VALUE"""),"mutiarasgt")</f>
        <v>mutiarasgt</v>
      </c>
      <c r="C15" s="23">
        <f>IFERROR(__xludf.DUMMYFUNCTION("""COMPUTED_VALUE"""),107000.0)</f>
        <v>107000</v>
      </c>
      <c r="D15" s="17" t="str">
        <f>IFERROR(__xludf.DUMMYFUNCTION("""COMPUTED_VALUE"""),"Mid")</f>
        <v>Mid</v>
      </c>
      <c r="E15" s="18" t="str">
        <f>IFERROR(__xludf.DUMMYFUNCTION("""COMPUTED_VALUE"""),"mutiarsh")</f>
        <v>mutiarsh</v>
      </c>
      <c r="F15" s="23">
        <f>IFERROR(__xludf.DUMMYFUNCTION("""COMPUTED_VALUE"""),6735.0)</f>
        <v>6735</v>
      </c>
      <c r="G15" s="17" t="str">
        <f>IFERROR(__xludf.DUMMYFUNCTION("""COMPUTED_VALUE"""),"Nano")</f>
        <v>Nano</v>
      </c>
      <c r="H15" s="17" t="str">
        <f>IFERROR(__xludf.DUMMYFUNCTION("""COMPUTED_VALUE"""),"Bekasi")</f>
        <v>Bekasi</v>
      </c>
      <c r="I15" s="17" t="str">
        <f>IFERROR(__xludf.DUMMYFUNCTION("""COMPUTED_VALUE"""),"- Fashion Wanita
- Lifestyle Female
- Beauty")</f>
        <v>- Fashion Wanita
- Lifestyle Female
- Beauty</v>
      </c>
      <c r="J15" s="20">
        <f>IFERROR(__xludf.DUMMYFUNCTION("""COMPUTED_VALUE"""),200000.0)</f>
        <v>200000</v>
      </c>
      <c r="K15" s="20">
        <f>IFERROR(__xludf.DUMMYFUNCTION("""COMPUTED_VALUE"""),300000.0)</f>
        <v>300000</v>
      </c>
      <c r="L15" s="20">
        <f>IFERROR(__xludf.DUMMYFUNCTION("""COMPUTED_VALUE"""),300000.0)</f>
        <v>300000</v>
      </c>
      <c r="M15" s="20" t="str">
        <f>IFERROR(__xludf.DUMMYFUNCTION("""COMPUTED_VALUE"""),"FREE")</f>
        <v>FREE</v>
      </c>
      <c r="N15" s="20">
        <f>IFERROR(__xludf.DUMMYFUNCTION("""COMPUTED_VALUE"""),400000.0)</f>
        <v>400000</v>
      </c>
      <c r="O15" s="20">
        <f>IFERROR(__xludf.DUMMYFUNCTION("""COMPUTED_VALUE"""),450000.0)</f>
        <v>450000</v>
      </c>
      <c r="P15" s="20">
        <f>IFERROR(__xludf.DUMMYFUNCTION("""COMPUTED_VALUE"""),700000.0)</f>
        <v>700000</v>
      </c>
      <c r="Q15" s="20" t="str">
        <f>IFERROR(__xludf.DUMMYFUNCTION("""COMPUTED_VALUE"""),"FREE")</f>
        <v>FREE</v>
      </c>
      <c r="R15" s="20">
        <f>IFERROR(__xludf.DUMMYFUNCTION("""COMPUTED_VALUE"""),500000.0)</f>
        <v>500000</v>
      </c>
      <c r="S15" s="20">
        <f>IFERROR(__xludf.DUMMYFUNCTION("""COMPUTED_VALUE"""),900000.0)</f>
        <v>900000</v>
      </c>
      <c r="T15" s="17"/>
      <c r="U15" s="20" t="str">
        <f>IFERROR(__xludf.DUMMYFUNCTION("""COMPUTED_VALUE"""),"FREE")</f>
        <v>FREE</v>
      </c>
      <c r="V15" s="20" t="str">
        <f>IFERROR(__xludf.DUMMYFUNCTION("""COMPUTED_VALUE"""),"FREE")</f>
        <v>FREE</v>
      </c>
      <c r="W15" s="20" t="str">
        <f>IFERROR(__xludf.DUMMYFUNCTION("""COMPUTED_VALUE"""),"FREE")</f>
        <v>FREE</v>
      </c>
      <c r="X15" s="20">
        <f>IFERROR(__xludf.DUMMYFUNCTION("""COMPUTED_VALUE"""),2000000.0)</f>
        <v>2000000</v>
      </c>
      <c r="Y15" s="17"/>
    </row>
    <row r="16">
      <c r="A16" s="17">
        <f>IFERROR(__xludf.DUMMYFUNCTION("""COMPUTED_VALUE"""),13.0)</f>
        <v>13</v>
      </c>
      <c r="B16" s="17" t="str">
        <f>IFERROR(__xludf.DUMMYFUNCTION("""COMPUTED_VALUE"""),"TikTok Only")</f>
        <v>TikTok Only</v>
      </c>
      <c r="C16" s="17"/>
      <c r="D16" s="17"/>
      <c r="E16" s="18" t="str">
        <f>IFERROR(__xludf.DUMMYFUNCTION("""COMPUTED_VALUE"""),"almineta2")</f>
        <v>almineta2</v>
      </c>
      <c r="F16" s="19">
        <f>IFERROR(__xludf.DUMMYFUNCTION("""COMPUTED_VALUE"""),1600000.0)</f>
        <v>1600000</v>
      </c>
      <c r="G16" s="17" t="str">
        <f>IFERROR(__xludf.DUMMYFUNCTION("""COMPUTED_VALUE"""),"Mega")</f>
        <v>Mega</v>
      </c>
      <c r="H16" s="17" t="str">
        <f>IFERROR(__xludf.DUMMYFUNCTION("""COMPUTED_VALUE"""),"Bandung")</f>
        <v>Bandung</v>
      </c>
      <c r="I16" s="17" t="str">
        <f>IFERROR(__xludf.DUMMYFUNCTION("""COMPUTED_VALUE"""),"-Lifestyle Female
- Fashion Wanita
- Beauty")</f>
        <v>-Lifestyle Female
- Fashion Wanita
- Beauty</v>
      </c>
      <c r="J16" s="17"/>
      <c r="K16" s="17"/>
      <c r="L16" s="17"/>
      <c r="M16" s="17"/>
      <c r="N16" s="17"/>
      <c r="O16" s="17"/>
      <c r="P16" s="17"/>
      <c r="Q16" s="17"/>
      <c r="R16" s="20">
        <f>IFERROR(__xludf.DUMMYFUNCTION("""COMPUTED_VALUE"""),1.6E7)</f>
        <v>16000000</v>
      </c>
      <c r="S16" s="17" t="str">
        <f>IFERROR(__xludf.DUMMYFUNCTION("""COMPUTED_VALUE"""),"Rp8,500,000")</f>
        <v>Rp8,500,000</v>
      </c>
      <c r="T16" s="17"/>
      <c r="U16" s="17"/>
      <c r="V16" s="17"/>
      <c r="W16" s="17"/>
      <c r="X16" s="17"/>
      <c r="Y16" s="17"/>
    </row>
    <row r="17">
      <c r="A17" s="17">
        <f>IFERROR(__xludf.DUMMYFUNCTION("""COMPUTED_VALUE"""),14.0)</f>
        <v>14</v>
      </c>
      <c r="B17" s="18" t="str">
        <f>IFERROR(__xludf.DUMMYFUNCTION("""COMPUTED_VALUE"""),"@fatyabiya")</f>
        <v>@fatyabiya</v>
      </c>
      <c r="C17" s="23">
        <f>IFERROR(__xludf.DUMMYFUNCTION("""COMPUTED_VALUE"""),351000.0)</f>
        <v>351000</v>
      </c>
      <c r="D17" s="17" t="str">
        <f>IFERROR(__xludf.DUMMYFUNCTION("""COMPUTED_VALUE"""),"Mid")</f>
        <v>Mid</v>
      </c>
      <c r="E17" s="18" t="str">
        <f>IFERROR(__xludf.DUMMYFUNCTION("""COMPUTED_VALUE"""),"@fatyabiyaaa")</f>
        <v>@fatyabiyaaa</v>
      </c>
      <c r="F17" s="23">
        <f>IFERROR(__xludf.DUMMYFUNCTION("""COMPUTED_VALUE"""),256000.0)</f>
        <v>256000</v>
      </c>
      <c r="G17" s="17" t="str">
        <f>IFERROR(__xludf.DUMMYFUNCTION("""COMPUTED_VALUE"""),"Mid")</f>
        <v>Mid</v>
      </c>
      <c r="H17" s="17" t="str">
        <f>IFERROR(__xludf.DUMMYFUNCTION("""COMPUTED_VALUE"""),"Jakarta")</f>
        <v>Jakarta</v>
      </c>
      <c r="I17" s="17" t="str">
        <f>IFERROR(__xludf.DUMMYFUNCTION("""COMPUTED_VALUE""")," - Beauty")</f>
        <v> - Beauty</v>
      </c>
      <c r="J17" s="17"/>
      <c r="K17" s="20">
        <f>IFERROR(__xludf.DUMMYFUNCTION("""COMPUTED_VALUE"""),8000000.0)</f>
        <v>8000000</v>
      </c>
      <c r="L17" s="20">
        <f>IFERROR(__xludf.DUMMYFUNCTION("""COMPUTED_VALUE"""),1.5E7)</f>
        <v>15000000</v>
      </c>
      <c r="M17" s="20" t="str">
        <f>IFERROR(__xludf.DUMMYFUNCTION("""COMPUTED_VALUE"""),"FREE")</f>
        <v>FREE</v>
      </c>
      <c r="N17" s="20">
        <f>IFERROR(__xludf.DUMMYFUNCTION("""COMPUTED_VALUE"""),2.0E7)</f>
        <v>20000000</v>
      </c>
      <c r="O17" s="17"/>
      <c r="P17" s="20">
        <f>IFERROR(__xludf.DUMMYFUNCTION("""COMPUTED_VALUE"""),2.5E7)</f>
        <v>25000000</v>
      </c>
      <c r="Q17" s="17"/>
      <c r="R17" s="20">
        <f>IFERROR(__xludf.DUMMYFUNCTION("""COMPUTED_VALUE"""),2.0E7)</f>
        <v>20000000</v>
      </c>
      <c r="S17" s="20">
        <f>IFERROR(__xludf.DUMMYFUNCTION("""COMPUTED_VALUE"""),3.5E7)</f>
        <v>35000000</v>
      </c>
      <c r="T17" s="17"/>
      <c r="U17" s="20" t="str">
        <f>IFERROR(__xludf.DUMMYFUNCTION("""COMPUTED_VALUE"""),"100%-150%")</f>
        <v>100%-150%</v>
      </c>
      <c r="V17" s="21">
        <f>IFERROR(__xludf.DUMMYFUNCTION("""COMPUTED_VALUE"""),0.5)</f>
        <v>0.5</v>
      </c>
      <c r="W17" s="17"/>
      <c r="X17" s="17"/>
      <c r="Y17" s="17"/>
    </row>
    <row r="18">
      <c r="A18" s="17">
        <f>IFERROR(__xludf.DUMMYFUNCTION("""COMPUTED_VALUE"""),15.0)</f>
        <v>15</v>
      </c>
      <c r="B18" s="18" t="str">
        <f>IFERROR(__xludf.DUMMYFUNCTION("""COMPUTED_VALUE"""),"@emyaghnia")</f>
        <v>@emyaghnia</v>
      </c>
      <c r="C18" s="19">
        <f>IFERROR(__xludf.DUMMYFUNCTION("""COMPUTED_VALUE"""),2500000.0)</f>
        <v>2500000</v>
      </c>
      <c r="D18" s="17" t="str">
        <f>IFERROR(__xludf.DUMMYFUNCTION("""COMPUTED_VALUE"""),"Mega")</f>
        <v>Mega</v>
      </c>
      <c r="E18" s="18" t="str">
        <f>IFERROR(__xludf.DUMMYFUNCTION("""COMPUTED_VALUE"""),"@emyaghnia")</f>
        <v>@emyaghnia</v>
      </c>
      <c r="F18" s="19">
        <f>IFERROR(__xludf.DUMMYFUNCTION("""COMPUTED_VALUE"""),2300000.0)</f>
        <v>2300000</v>
      </c>
      <c r="G18" s="17" t="str">
        <f>IFERROR(__xludf.DUMMYFUNCTION("""COMPUTED_VALUE"""),"Mega")</f>
        <v>Mega</v>
      </c>
      <c r="H18" s="17" t="str">
        <f>IFERROR(__xludf.DUMMYFUNCTION("""COMPUTED_VALUE"""),"Bandung")</f>
        <v>Bandung</v>
      </c>
      <c r="I18" s="17" t="str">
        <f>IFERROR(__xludf.DUMMYFUNCTION("""COMPUTED_VALUE"""),"- Lifestyle Female
- Beauty")</f>
        <v>- Lifestyle Female
- Beauty</v>
      </c>
      <c r="J18" s="17"/>
      <c r="K18" s="20">
        <f>IFERROR(__xludf.DUMMYFUNCTION("""COMPUTED_VALUE"""),7000000.0)</f>
        <v>7000000</v>
      </c>
      <c r="L18" s="20">
        <f>IFERROR(__xludf.DUMMYFUNCTION("""COMPUTED_VALUE"""),2.0E7)</f>
        <v>20000000</v>
      </c>
      <c r="M18" s="20" t="str">
        <f>IFERROR(__xludf.DUMMYFUNCTION("""COMPUTED_VALUE"""),"FREE")</f>
        <v>FREE</v>
      </c>
      <c r="N18" s="20">
        <f>IFERROR(__xludf.DUMMYFUNCTION("""COMPUTED_VALUE"""),2.7E7)</f>
        <v>27000000</v>
      </c>
      <c r="O18" s="20">
        <f>IFERROR(__xludf.DUMMYFUNCTION("""COMPUTED_VALUE"""),3.0E7)</f>
        <v>30000000</v>
      </c>
      <c r="P18" s="20">
        <f>IFERROR(__xludf.DUMMYFUNCTION("""COMPUTED_VALUE"""),3.65E7)</f>
        <v>36500000</v>
      </c>
      <c r="Q18" s="20">
        <f>IFERROR(__xludf.DUMMYFUNCTION("""COMPUTED_VALUE"""),5000000.0)</f>
        <v>5000000</v>
      </c>
      <c r="R18" s="20">
        <f>IFERROR(__xludf.DUMMYFUNCTION("""COMPUTED_VALUE"""),3.8E7)</f>
        <v>38000000</v>
      </c>
      <c r="S18" s="20">
        <f>IFERROR(__xludf.DUMMYFUNCTION("""COMPUTED_VALUE"""),4.8E7)</f>
        <v>48000000</v>
      </c>
      <c r="T18" s="20">
        <f>IFERROR(__xludf.DUMMYFUNCTION("""COMPUTED_VALUE"""),5.3E7)</f>
        <v>53000000</v>
      </c>
      <c r="U18" s="21">
        <f>IFERROR(__xludf.DUMMYFUNCTION("""COMPUTED_VALUE"""),1.0)</f>
        <v>1</v>
      </c>
      <c r="V18" s="20">
        <f>IFERROR(__xludf.DUMMYFUNCTION("""COMPUTED_VALUE"""),1.5E7)</f>
        <v>15000000</v>
      </c>
      <c r="W18" s="20">
        <f>IFERROR(__xludf.DUMMYFUNCTION("""COMPUTED_VALUE"""),5000000.0)</f>
        <v>5000000</v>
      </c>
      <c r="X18" s="20">
        <f>IFERROR(__xludf.DUMMYFUNCTION("""COMPUTED_VALUE"""),4.5E7)</f>
        <v>45000000</v>
      </c>
      <c r="Y18" s="17"/>
    </row>
    <row r="19">
      <c r="A19" s="17">
        <f>IFERROR(__xludf.DUMMYFUNCTION("""COMPUTED_VALUE"""),16.0)</f>
        <v>16</v>
      </c>
      <c r="B19" s="18" t="str">
        <f>IFERROR(__xludf.DUMMYFUNCTION("""COMPUTED_VALUE"""),"@santaniatiofelo")</f>
        <v>@santaniatiofelo</v>
      </c>
      <c r="C19" s="23">
        <f>IFERROR(__xludf.DUMMYFUNCTION("""COMPUTED_VALUE"""),1789.0)</f>
        <v>1789</v>
      </c>
      <c r="D19" s="17" t="str">
        <f>IFERROR(__xludf.DUMMYFUNCTION("""COMPUTED_VALUE"""),"Nano")</f>
        <v>Nano</v>
      </c>
      <c r="E19" s="18" t="str">
        <f>IFERROR(__xludf.DUMMYFUNCTION("""COMPUTED_VALUE"""),"@sanntania")</f>
        <v>@sanntania</v>
      </c>
      <c r="F19" s="23">
        <f>IFERROR(__xludf.DUMMYFUNCTION("""COMPUTED_VALUE"""),67500.0)</f>
        <v>67500</v>
      </c>
      <c r="G19" s="17" t="str">
        <f>IFERROR(__xludf.DUMMYFUNCTION("""COMPUTED_VALUE"""),"Micro")</f>
        <v>Micro</v>
      </c>
      <c r="H19" s="17" t="str">
        <f>IFERROR(__xludf.DUMMYFUNCTION("""COMPUTED_VALUE"""),"Jakarta")</f>
        <v>Jakarta</v>
      </c>
      <c r="I19" s="17" t="str">
        <f>IFERROR(__xludf.DUMMYFUNCTION("""COMPUTED_VALUE"""),"Beauty")</f>
        <v>Beauty</v>
      </c>
      <c r="J19" s="17"/>
      <c r="K19" s="17"/>
      <c r="L19" s="17"/>
      <c r="M19" s="17"/>
      <c r="N19" s="17"/>
      <c r="O19" s="17"/>
      <c r="P19" s="17"/>
      <c r="Q19" s="17"/>
      <c r="R19" s="20">
        <f>IFERROR(__xludf.DUMMYFUNCTION("""COMPUTED_VALUE"""),1800000.0)</f>
        <v>1800000</v>
      </c>
      <c r="S19" s="17"/>
      <c r="T19" s="17"/>
      <c r="U19" s="20">
        <f>IFERROR(__xludf.DUMMYFUNCTION("""COMPUTED_VALUE"""),1000000.0)</f>
        <v>1000000</v>
      </c>
      <c r="V19" s="20" t="str">
        <f>IFERROR(__xludf.DUMMYFUNCTION("""COMPUTED_VALUE"""),"FREE 60 Days")</f>
        <v>FREE 60 Days</v>
      </c>
      <c r="W19" s="20">
        <f>IFERROR(__xludf.DUMMYFUNCTION("""COMPUTED_VALUE"""),300000.0)</f>
        <v>300000</v>
      </c>
      <c r="X19" s="17"/>
      <c r="Y19" s="17"/>
    </row>
    <row r="20">
      <c r="A20" s="17">
        <f>IFERROR(__xludf.DUMMYFUNCTION("""COMPUTED_VALUE"""),17.0)</f>
        <v>17</v>
      </c>
      <c r="B20" s="18" t="str">
        <f>IFERROR(__xludf.DUMMYFUNCTION("""COMPUTED_VALUE"""),"@stefanytalita")</f>
        <v>@stefanytalita</v>
      </c>
      <c r="C20" s="23">
        <f>IFERROR(__xludf.DUMMYFUNCTION("""COMPUTED_VALUE"""),379000.0)</f>
        <v>379000</v>
      </c>
      <c r="D20" s="17" t="str">
        <f>IFERROR(__xludf.DUMMYFUNCTION("""COMPUTED_VALUE"""),"Mid")</f>
        <v>Mid</v>
      </c>
      <c r="E20" s="18" t="str">
        <f>IFERROR(__xludf.DUMMYFUNCTION("""COMPUTED_VALUE"""),"@stefanytalita")</f>
        <v>@stefanytalita</v>
      </c>
      <c r="F20" s="23">
        <f>IFERROR(__xludf.DUMMYFUNCTION("""COMPUTED_VALUE"""),60200.0)</f>
        <v>60200</v>
      </c>
      <c r="G20" s="17" t="str">
        <f>IFERROR(__xludf.DUMMYFUNCTION("""COMPUTED_VALUE"""),"Micro")</f>
        <v>Micro</v>
      </c>
      <c r="H20" s="17" t="str">
        <f>IFERROR(__xludf.DUMMYFUNCTION("""COMPUTED_VALUE"""),"Cibubur")</f>
        <v>Cibubur</v>
      </c>
      <c r="I20" s="17" t="str">
        <f>IFERROR(__xludf.DUMMYFUNCTION("""COMPUTED_VALUE"""),"Beauty")</f>
        <v>Beauty</v>
      </c>
      <c r="J20" s="17"/>
      <c r="K20" s="20">
        <f>IFERROR(__xludf.DUMMYFUNCTION("""COMPUTED_VALUE"""),4000000.0)</f>
        <v>4000000</v>
      </c>
      <c r="L20" s="20">
        <f>IFERROR(__xludf.DUMMYFUNCTION("""COMPUTED_VALUE"""),9500000.0)</f>
        <v>9500000</v>
      </c>
      <c r="M20" s="20">
        <f>IFERROR(__xludf.DUMMYFUNCTION("""COMPUTED_VALUE"""),1000000.0)</f>
        <v>1000000</v>
      </c>
      <c r="N20" s="20">
        <f>IFERROR(__xludf.DUMMYFUNCTION("""COMPUTED_VALUE"""),9000000.0)</f>
        <v>9000000</v>
      </c>
      <c r="O20" s="20">
        <f>IFERROR(__xludf.DUMMYFUNCTION("""COMPUTED_VALUE"""),1.0E7)</f>
        <v>10000000</v>
      </c>
      <c r="P20" s="20">
        <f>IFERROR(__xludf.DUMMYFUNCTION("""COMPUTED_VALUE"""),2.0E7)</f>
        <v>20000000</v>
      </c>
      <c r="Q20" s="21">
        <f>IFERROR(__xludf.DUMMYFUNCTION("""COMPUTED_VALUE"""),0.75)</f>
        <v>0.75</v>
      </c>
      <c r="R20" s="20">
        <f>IFERROR(__xludf.DUMMYFUNCTION("""COMPUTED_VALUE"""),1.5E7)</f>
        <v>15000000</v>
      </c>
      <c r="S20" s="17"/>
      <c r="T20" s="20">
        <f>IFERROR(__xludf.DUMMYFUNCTION("""COMPUTED_VALUE"""),9000000.0)</f>
        <v>9000000</v>
      </c>
      <c r="U20" s="21">
        <f>IFERROR(__xludf.DUMMYFUNCTION("""COMPUTED_VALUE"""),2.0)</f>
        <v>2</v>
      </c>
      <c r="V20" s="20" t="str">
        <f>IFERROR(__xludf.DUMMYFUNCTION("""COMPUTED_VALUE"""),"Rp3,000,000 / month")</f>
        <v>Rp3,000,000 / month</v>
      </c>
      <c r="W20" s="17"/>
      <c r="X20" s="17"/>
      <c r="Y20" s="17"/>
    </row>
    <row r="21">
      <c r="A21" s="17">
        <f>IFERROR(__xludf.DUMMYFUNCTION("""COMPUTED_VALUE"""),18.0)</f>
        <v>18</v>
      </c>
      <c r="B21" s="18" t="str">
        <f>IFERROR(__xludf.DUMMYFUNCTION("""COMPUTED_VALUE"""),"@dianarsds")</f>
        <v>@dianarsds</v>
      </c>
      <c r="C21" s="23">
        <f>IFERROR(__xludf.DUMMYFUNCTION("""COMPUTED_VALUE"""),76400.0)</f>
        <v>76400</v>
      </c>
      <c r="D21" s="17" t="str">
        <f>IFERROR(__xludf.DUMMYFUNCTION("""COMPUTED_VALUE"""),"Micro")</f>
        <v>Micro</v>
      </c>
      <c r="E21" s="18" t="str">
        <f>IFERROR(__xludf.DUMMYFUNCTION("""COMPUTED_VALUE"""),"@salmonbellys")</f>
        <v>@salmonbellys</v>
      </c>
      <c r="F21" s="23">
        <f>IFERROR(__xludf.DUMMYFUNCTION("""COMPUTED_VALUE"""),585700.0)</f>
        <v>585700</v>
      </c>
      <c r="G21" s="17" t="str">
        <f>IFERROR(__xludf.DUMMYFUNCTION("""COMPUTED_VALUE"""),"Macro")</f>
        <v>Macro</v>
      </c>
      <c r="H21" s="17" t="str">
        <f>IFERROR(__xludf.DUMMYFUNCTION("""COMPUTED_VALUE"""),"Tangerang")</f>
        <v>Tangerang</v>
      </c>
      <c r="I21" s="17" t="str">
        <f>IFERROR(__xludf.DUMMYFUNCTION("""COMPUTED_VALUE"""),"Beauty")</f>
        <v>Beauty</v>
      </c>
      <c r="J21" s="17"/>
      <c r="K21" s="17"/>
      <c r="L21" s="20">
        <f>IFERROR(__xludf.DUMMYFUNCTION("""COMPUTED_VALUE"""),5000000.0)</f>
        <v>5000000</v>
      </c>
      <c r="M21" s="20">
        <f>IFERROR(__xludf.DUMMYFUNCTION("""COMPUTED_VALUE"""),500000.0)</f>
        <v>500000</v>
      </c>
      <c r="N21" s="20">
        <f>IFERROR(__xludf.DUMMYFUNCTION("""COMPUTED_VALUE"""),8000000.0)</f>
        <v>8000000</v>
      </c>
      <c r="O21" s="17"/>
      <c r="P21" s="17"/>
      <c r="Q21" s="17"/>
      <c r="R21" s="20" t="str">
        <f>IFERROR(__xludf.DUMMYFUNCTION("""COMPUTED_VALUE"""),"Rp15,500,000 (Free boost code 14D)")</f>
        <v>Rp15,500,000 (Free boost code 14D)</v>
      </c>
      <c r="S21" s="17"/>
      <c r="T21" s="20">
        <f>IFERROR(__xludf.DUMMYFUNCTION("""COMPUTED_VALUE"""),1.0E7)</f>
        <v>10000000</v>
      </c>
      <c r="U21" s="20">
        <f>IFERROR(__xludf.DUMMYFUNCTION("""COMPUTED_VALUE"""),1.4E7)</f>
        <v>14000000</v>
      </c>
      <c r="V21" s="20" t="str">
        <f>IFERROR(__xludf.DUMMYFUNCTION("""COMPUTED_VALUE"""),"7D: Rp2,500,000
30D: Rp5,000,000")</f>
        <v>7D: Rp2,500,000
30D: Rp5,000,000</v>
      </c>
      <c r="W21" s="20">
        <f>IFERROR(__xludf.DUMMYFUNCTION("""COMPUTED_VALUE"""),5000000.0)</f>
        <v>5000000</v>
      </c>
      <c r="X21" s="20">
        <f>IFERROR(__xludf.DUMMYFUNCTION("""COMPUTED_VALUE"""),7500000.0)</f>
        <v>7500000</v>
      </c>
      <c r="Y21" s="17"/>
    </row>
    <row r="22">
      <c r="A22" s="17">
        <f>IFERROR(__xludf.DUMMYFUNCTION("""COMPUTED_VALUE"""),19.0)</f>
        <v>19</v>
      </c>
      <c r="B22" s="18" t="str">
        <f>IFERROR(__xludf.DUMMYFUNCTION("""COMPUTED_VALUE"""),"@molita_lin")</f>
        <v>@molita_lin</v>
      </c>
      <c r="C22" s="23">
        <f>IFERROR(__xludf.DUMMYFUNCTION("""COMPUTED_VALUE"""),421000.0)</f>
        <v>421000</v>
      </c>
      <c r="D22" s="17" t="str">
        <f>IFERROR(__xludf.DUMMYFUNCTION("""COMPUTED_VALUE"""),"Mid")</f>
        <v>Mid</v>
      </c>
      <c r="E22" s="18" t="str">
        <f>IFERROR(__xludf.DUMMYFUNCTION("""COMPUTED_VALUE"""),"@molita.lin")</f>
        <v>@molita.lin</v>
      </c>
      <c r="F22" s="23">
        <f>IFERROR(__xludf.DUMMYFUNCTION("""COMPUTED_VALUE"""),83800.0)</f>
        <v>83800</v>
      </c>
      <c r="G22" s="17" t="str">
        <f>IFERROR(__xludf.DUMMYFUNCTION("""COMPUTED_VALUE"""),"Micro")</f>
        <v>Micro</v>
      </c>
      <c r="H22" s="17" t="str">
        <f>IFERROR(__xludf.DUMMYFUNCTION("""COMPUTED_VALUE"""),"Bali")</f>
        <v>Bali</v>
      </c>
      <c r="I22" s="17" t="str">
        <f>IFERROR(__xludf.DUMMYFUNCTION("""COMPUTED_VALUE"""),"- Beauty
- Lifestlye Female
- Pasutri")</f>
        <v>- Beauty
- Lifestlye Female
- Pasutri</v>
      </c>
      <c r="J22" s="17"/>
      <c r="K22" s="20">
        <f>IFERROR(__xludf.DUMMYFUNCTION("""COMPUTED_VALUE"""),1.0E7)</f>
        <v>10000000</v>
      </c>
      <c r="L22" s="20">
        <f>IFERROR(__xludf.DUMMYFUNCTION("""COMPUTED_VALUE"""),1.5E7)</f>
        <v>15000000</v>
      </c>
      <c r="M22" s="20">
        <f>IFERROR(__xludf.DUMMYFUNCTION("""COMPUTED_VALUE"""),2000000.0)</f>
        <v>2000000</v>
      </c>
      <c r="N22" s="20">
        <f>IFERROR(__xludf.DUMMYFUNCTION("""COMPUTED_VALUE"""),1.9E7)</f>
        <v>19000000</v>
      </c>
      <c r="O22" s="20">
        <f>IFERROR(__xludf.DUMMYFUNCTION("""COMPUTED_VALUE"""),2.1E7)</f>
        <v>21000000</v>
      </c>
      <c r="P22" s="20">
        <f>IFERROR(__xludf.DUMMYFUNCTION("""COMPUTED_VALUE"""),7.0E7)</f>
        <v>70000000</v>
      </c>
      <c r="Q22" s="17" t="str">
        <f>IFERROR(__xludf.DUMMYFUNCTION("""COMPUTED_VALUE"""),"+Rp2,000,000")</f>
        <v>+Rp2,000,000</v>
      </c>
      <c r="R22" s="20">
        <f>IFERROR(__xludf.DUMMYFUNCTION("""COMPUTED_VALUE"""),3.5E7)</f>
        <v>35000000</v>
      </c>
      <c r="S22" s="20">
        <f>IFERROR(__xludf.DUMMYFUNCTION("""COMPUTED_VALUE"""),5.5E7)</f>
        <v>55000000</v>
      </c>
      <c r="T22" s="17"/>
      <c r="U22" s="17"/>
      <c r="V22" s="17"/>
      <c r="W22" s="17"/>
      <c r="X22" s="17"/>
      <c r="Y22" s="17"/>
    </row>
    <row r="23">
      <c r="A23" s="17">
        <f>IFERROR(__xludf.DUMMYFUNCTION("""COMPUTED_VALUE"""),20.0)</f>
        <v>20</v>
      </c>
      <c r="B23" s="18" t="str">
        <f>IFERROR(__xludf.DUMMYFUNCTION("""COMPUTED_VALUE"""),"@gelangelicca")</f>
        <v>@gelangelicca</v>
      </c>
      <c r="C23" s="23">
        <f>IFERROR(__xludf.DUMMYFUNCTION("""COMPUTED_VALUE"""),292000.0)</f>
        <v>292000</v>
      </c>
      <c r="D23" s="17" t="str">
        <f>IFERROR(__xludf.DUMMYFUNCTION("""COMPUTED_VALUE"""),"Mid")</f>
        <v>Mid</v>
      </c>
      <c r="E23" s="18" t="str">
        <f>IFERROR(__xludf.DUMMYFUNCTION("""COMPUTED_VALUE"""),"@gelangelicca")</f>
        <v>@gelangelicca</v>
      </c>
      <c r="F23" s="23">
        <f>IFERROR(__xludf.DUMMYFUNCTION("""COMPUTED_VALUE"""),19300.0)</f>
        <v>19300</v>
      </c>
      <c r="G23" s="17" t="str">
        <f>IFERROR(__xludf.DUMMYFUNCTION("""COMPUTED_VALUE"""),"Micro")</f>
        <v>Micro</v>
      </c>
      <c r="H23" s="17" t="str">
        <f>IFERROR(__xludf.DUMMYFUNCTION("""COMPUTED_VALUE"""),"Tangerang Selatan")</f>
        <v>Tangerang Selatan</v>
      </c>
      <c r="I23" s="17" t="str">
        <f>IFERROR(__xludf.DUMMYFUNCTION("""COMPUTED_VALUE"""),"Beauty ")</f>
        <v>Beauty </v>
      </c>
      <c r="J23" s="17"/>
      <c r="K23" s="20">
        <f>IFERROR(__xludf.DUMMYFUNCTION("""COMPUTED_VALUE"""),6000000.0)</f>
        <v>6000000</v>
      </c>
      <c r="L23" s="20">
        <f>IFERROR(__xludf.DUMMYFUNCTION("""COMPUTED_VALUE"""),1.8E7)</f>
        <v>18000000</v>
      </c>
      <c r="M23" s="20">
        <f>IFERROR(__xludf.DUMMYFUNCTION("""COMPUTED_VALUE"""),8250000.0)</f>
        <v>8250000</v>
      </c>
      <c r="N23" s="20">
        <f>IFERROR(__xludf.DUMMYFUNCTION("""COMPUTED_VALUE"""),1.5E7)</f>
        <v>15000000</v>
      </c>
      <c r="O23" s="20">
        <f>IFERROR(__xludf.DUMMYFUNCTION("""COMPUTED_VALUE"""),1.8E7)</f>
        <v>18000000</v>
      </c>
      <c r="P23" s="20">
        <f>IFERROR(__xludf.DUMMYFUNCTION("""COMPUTED_VALUE"""),2.5E7)</f>
        <v>25000000</v>
      </c>
      <c r="Q23" s="17" t="str">
        <f>IFERROR(__xludf.DUMMYFUNCTION("""COMPUTED_VALUE"""),"+Rp2,000,000")</f>
        <v>+Rp2,000,000</v>
      </c>
      <c r="R23" s="17"/>
      <c r="S23" s="20">
        <f>IFERROR(__xludf.DUMMYFUNCTION("""COMPUTED_VALUE"""),2.65E7)</f>
        <v>26500000</v>
      </c>
      <c r="T23" s="20">
        <f>IFERROR(__xludf.DUMMYFUNCTION("""COMPUTED_VALUE"""),2.0E7)</f>
        <v>20000000</v>
      </c>
      <c r="U23" s="17"/>
      <c r="V23" s="17"/>
      <c r="W23" s="17"/>
      <c r="X23" s="17"/>
      <c r="Y23" s="17"/>
    </row>
    <row r="24">
      <c r="A24" s="17">
        <f>IFERROR(__xludf.DUMMYFUNCTION("""COMPUTED_VALUE"""),21.0)</f>
        <v>21</v>
      </c>
      <c r="B24" s="18" t="str">
        <f>IFERROR(__xludf.DUMMYFUNCTION("""COMPUTED_VALUE"""),"@gabybsaputra")</f>
        <v>@gabybsaputra</v>
      </c>
      <c r="C24" s="23">
        <f>IFERROR(__xludf.DUMMYFUNCTION("""COMPUTED_VALUE"""),129000.0)</f>
        <v>129000</v>
      </c>
      <c r="D24" s="17" t="str">
        <f>IFERROR(__xludf.DUMMYFUNCTION("""COMPUTED_VALUE"""),"Mid")</f>
        <v>Mid</v>
      </c>
      <c r="E24" s="18" t="str">
        <f>IFERROR(__xludf.DUMMYFUNCTION("""COMPUTED_VALUE"""),"@gabybsaputraa")</f>
        <v>@gabybsaputraa</v>
      </c>
      <c r="F24" s="23">
        <f>IFERROR(__xludf.DUMMYFUNCTION("""COMPUTED_VALUE"""),166400.0)</f>
        <v>166400</v>
      </c>
      <c r="G24" s="17" t="str">
        <f>IFERROR(__xludf.DUMMYFUNCTION("""COMPUTED_VALUE"""),"Mid")</f>
        <v>Mid</v>
      </c>
      <c r="H24" s="17" t="str">
        <f>IFERROR(__xludf.DUMMYFUNCTION("""COMPUTED_VALUE"""),"Bekasi")</f>
        <v>Bekasi</v>
      </c>
      <c r="I24" s="17" t="str">
        <f>IFERROR(__xludf.DUMMYFUNCTION("""COMPUTED_VALUE"""),"- Beauty 
- Lifestyle Female")</f>
        <v>- Beauty 
- Lifestyle Female</v>
      </c>
      <c r="J24" s="17"/>
      <c r="K24" s="20">
        <f>IFERROR(__xludf.DUMMYFUNCTION("""COMPUTED_VALUE"""),4000000.0)</f>
        <v>4000000</v>
      </c>
      <c r="L24" s="20">
        <f>IFERROR(__xludf.DUMMYFUNCTION("""COMPUTED_VALUE"""),6000000.0)</f>
        <v>6000000</v>
      </c>
      <c r="M24" s="20" t="str">
        <f>IFERROR(__xludf.DUMMYFUNCTION("""COMPUTED_VALUE"""),"FREE")</f>
        <v>FREE</v>
      </c>
      <c r="N24" s="20">
        <f>IFERROR(__xludf.DUMMYFUNCTION("""COMPUTED_VALUE"""),4500000.0)</f>
        <v>4500000</v>
      </c>
      <c r="O24" s="20">
        <f>IFERROR(__xludf.DUMMYFUNCTION("""COMPUTED_VALUE"""),5500000.0)</f>
        <v>5500000</v>
      </c>
      <c r="P24" s="20">
        <f>IFERROR(__xludf.DUMMYFUNCTION("""COMPUTED_VALUE"""),1.2E7)</f>
        <v>12000000</v>
      </c>
      <c r="Q24" s="20">
        <f>IFERROR(__xludf.DUMMYFUNCTION("""COMPUTED_VALUE"""),3000000.0)</f>
        <v>3000000</v>
      </c>
      <c r="R24" s="20">
        <f>IFERROR(__xludf.DUMMYFUNCTION("""COMPUTED_VALUE"""),1.2E7)</f>
        <v>12000000</v>
      </c>
      <c r="S24" s="20">
        <f>IFERROR(__xludf.DUMMYFUNCTION("""COMPUTED_VALUE"""),5500000.0)</f>
        <v>5500000</v>
      </c>
      <c r="T24" s="17"/>
      <c r="U24" s="21">
        <f>IFERROR(__xludf.DUMMYFUNCTION("""COMPUTED_VALUE"""),1.0)</f>
        <v>1</v>
      </c>
      <c r="V24" s="20" t="str">
        <f>IFERROR(__xludf.DUMMYFUNCTION("""COMPUTED_VALUE"""),"FREE")</f>
        <v>FREE</v>
      </c>
      <c r="W24" s="20" t="str">
        <f>IFERROR(__xludf.DUMMYFUNCTION("""COMPUTED_VALUE"""),"FREE")</f>
        <v>FREE</v>
      </c>
      <c r="X24" s="20" t="str">
        <f>IFERROR(__xludf.DUMMYFUNCTION("""COMPUTED_VALUE"""),"Jadetabek : Rp7,000,000")</f>
        <v>Jadetabek : Rp7,000,000</v>
      </c>
      <c r="Y24" s="17"/>
    </row>
    <row r="25">
      <c r="A25" s="17">
        <f>IFERROR(__xludf.DUMMYFUNCTION("""COMPUTED_VALUE"""),22.0)</f>
        <v>22</v>
      </c>
      <c r="B25" s="18" t="str">
        <f>IFERROR(__xludf.DUMMYFUNCTION("""COMPUTED_VALUE"""),"@abellyc")</f>
        <v>@abellyc</v>
      </c>
      <c r="C25" s="19">
        <f>IFERROR(__xludf.DUMMYFUNCTION("""COMPUTED_VALUE"""),1100000.0)</f>
        <v>1100000</v>
      </c>
      <c r="D25" s="17" t="str">
        <f>IFERROR(__xludf.DUMMYFUNCTION("""COMPUTED_VALUE"""),"Mega")</f>
        <v>Mega</v>
      </c>
      <c r="E25" s="18" t="str">
        <f>IFERROR(__xludf.DUMMYFUNCTION("""COMPUTED_VALUE"""),"@abel_cantika")</f>
        <v>@abel_cantika</v>
      </c>
      <c r="F25" s="23">
        <f>IFERROR(__xludf.DUMMYFUNCTION("""COMPUTED_VALUE"""),237800.0)</f>
        <v>237800</v>
      </c>
      <c r="G25" s="17" t="str">
        <f>IFERROR(__xludf.DUMMYFUNCTION("""COMPUTED_VALUE"""),"Mid")</f>
        <v>Mid</v>
      </c>
      <c r="H25" s="17" t="str">
        <f>IFERROR(__xludf.DUMMYFUNCTION("""COMPUTED_VALUE"""),"Jakarta Timur")</f>
        <v>Jakarta Timur</v>
      </c>
      <c r="I25" s="17" t="str">
        <f>IFERROR(__xludf.DUMMYFUNCTION("""COMPUTED_VALUE"""),"- Beauty 
- Lifestyle Female
- Family")</f>
        <v>- Beauty 
- Lifestyle Female
- Family</v>
      </c>
      <c r="J25" s="17"/>
      <c r="K25" s="20">
        <f>IFERROR(__xludf.DUMMYFUNCTION("""COMPUTED_VALUE"""),1.1E7)</f>
        <v>11000000</v>
      </c>
      <c r="L25" s="20">
        <f>IFERROR(__xludf.DUMMYFUNCTION("""COMPUTED_VALUE"""),4.0E7)</f>
        <v>40000000</v>
      </c>
      <c r="M25" s="20">
        <f>IFERROR(__xludf.DUMMYFUNCTION("""COMPUTED_VALUE"""),700000.0)</f>
        <v>700000</v>
      </c>
      <c r="N25" s="20">
        <f>IFERROR(__xludf.DUMMYFUNCTION("""COMPUTED_VALUE"""),3.0E7)</f>
        <v>30000000</v>
      </c>
      <c r="O25" s="20">
        <f>IFERROR(__xludf.DUMMYFUNCTION("""COMPUTED_VALUE"""),3.3E7)</f>
        <v>33000000</v>
      </c>
      <c r="P25" s="20">
        <f>IFERROR(__xludf.DUMMYFUNCTION("""COMPUTED_VALUE"""),7.5E7)</f>
        <v>75000000</v>
      </c>
      <c r="Q25" s="17"/>
      <c r="R25" s="20">
        <f>IFERROR(__xludf.DUMMYFUNCTION("""COMPUTED_VALUE"""),6.0E7)</f>
        <v>60000000</v>
      </c>
      <c r="S25" s="20">
        <f>IFERROR(__xludf.DUMMYFUNCTION("""COMPUTED_VALUE"""),1.1E8)</f>
        <v>110000000</v>
      </c>
      <c r="T25" s="20">
        <f>IFERROR(__xludf.DUMMYFUNCTION("""COMPUTED_VALUE"""),2.5E7)</f>
        <v>25000000</v>
      </c>
      <c r="U25" s="20" t="str">
        <f>IFERROR(__xludf.DUMMYFUNCTION("""COMPUTED_VALUE"""),"Rp 30,000,000 - Rp70,000,000")</f>
        <v>Rp 30,000,000 - Rp70,000,000</v>
      </c>
      <c r="V25" s="20">
        <f>IFERROR(__xludf.DUMMYFUNCTION("""COMPUTED_VALUE"""),5000000.0)</f>
        <v>5000000</v>
      </c>
      <c r="W25" s="17" t="str">
        <f>IFERROR(__xludf.DUMMYFUNCTION("""COMPUTED_VALUE"""),"+Rp1,500,000")</f>
        <v>+Rp1,500,000</v>
      </c>
      <c r="X25" s="20">
        <f>IFERROR(__xludf.DUMMYFUNCTION("""COMPUTED_VALUE"""),2.7E7)</f>
        <v>27000000</v>
      </c>
      <c r="Y25" s="17"/>
    </row>
    <row r="26">
      <c r="A26" s="17">
        <f>IFERROR(__xludf.DUMMYFUNCTION("""COMPUTED_VALUE"""),23.0)</f>
        <v>23</v>
      </c>
      <c r="B26" s="18" t="str">
        <f>IFERROR(__xludf.DUMMYFUNCTION("""COMPUTED_VALUE"""),"@kezialetheia")</f>
        <v>@kezialetheia</v>
      </c>
      <c r="C26" s="23">
        <f>IFERROR(__xludf.DUMMYFUNCTION("""COMPUTED_VALUE"""),238000.0)</f>
        <v>238000</v>
      </c>
      <c r="D26" s="17" t="str">
        <f>IFERROR(__xludf.DUMMYFUNCTION("""COMPUTED_VALUE"""),"Mid")</f>
        <v>Mid</v>
      </c>
      <c r="E26" s="18" t="str">
        <f>IFERROR(__xludf.DUMMYFUNCTION("""COMPUTED_VALUE"""),"@keziaaletheia")</f>
        <v>@keziaaletheia</v>
      </c>
      <c r="F26" s="23">
        <f>IFERROR(__xludf.DUMMYFUNCTION("""COMPUTED_VALUE"""),473700.0)</f>
        <v>473700</v>
      </c>
      <c r="G26" s="17" t="str">
        <f>IFERROR(__xludf.DUMMYFUNCTION("""COMPUTED_VALUE"""),"Mid")</f>
        <v>Mid</v>
      </c>
      <c r="H26" s="17" t="str">
        <f>IFERROR(__xludf.DUMMYFUNCTION("""COMPUTED_VALUE"""),"Jakarta Selatan")</f>
        <v>Jakarta Selatan</v>
      </c>
      <c r="I26" s="17" t="str">
        <f>IFERROR(__xludf.DUMMYFUNCTION("""COMPUTED_VALUE"""),"- Lifestyle Female
- Beauty")</f>
        <v>- Lifestyle Female
- Beauty</v>
      </c>
      <c r="J26" s="17"/>
      <c r="K26" s="20">
        <f>IFERROR(__xludf.DUMMYFUNCTION("""COMPUTED_VALUE"""),5000000.0)</f>
        <v>5000000</v>
      </c>
      <c r="L26" s="20">
        <f>IFERROR(__xludf.DUMMYFUNCTION("""COMPUTED_VALUE"""),8000000.0)</f>
        <v>8000000</v>
      </c>
      <c r="M26" s="17"/>
      <c r="N26" s="20">
        <f>IFERROR(__xludf.DUMMYFUNCTION("""COMPUTED_VALUE"""),1.0E7)</f>
        <v>10000000</v>
      </c>
      <c r="O26" s="20">
        <f>IFERROR(__xludf.DUMMYFUNCTION("""COMPUTED_VALUE"""),1.1E7)</f>
        <v>11000000</v>
      </c>
      <c r="P26" s="20">
        <f>IFERROR(__xludf.DUMMYFUNCTION("""COMPUTED_VALUE"""),2.0E7)</f>
        <v>20000000</v>
      </c>
      <c r="Q26" s="17"/>
      <c r="R26" s="20">
        <f>IFERROR(__xludf.DUMMYFUNCTION("""COMPUTED_VALUE"""),2.0E7)</f>
        <v>20000000</v>
      </c>
      <c r="S26" s="17"/>
      <c r="T26" s="20">
        <f>IFERROR(__xludf.DUMMYFUNCTION("""COMPUTED_VALUE"""),2.0E7)</f>
        <v>20000000</v>
      </c>
      <c r="U26" s="17" t="str">
        <f>IFERROR(__xludf.DUMMYFUNCTION("""COMPUTED_VALUE"""),"70% / month")</f>
        <v>70% / month</v>
      </c>
      <c r="V26" s="21">
        <f>IFERROR(__xludf.DUMMYFUNCTION("""COMPUTED_VALUE"""),0.25)</f>
        <v>0.25</v>
      </c>
      <c r="W26" s="21">
        <f>IFERROR(__xludf.DUMMYFUNCTION("""COMPUTED_VALUE"""),0.25)</f>
        <v>0.25</v>
      </c>
      <c r="X26" s="17"/>
      <c r="Y26" s="17"/>
    </row>
    <row r="27">
      <c r="A27" s="17">
        <f>IFERROR(__xludf.DUMMYFUNCTION("""COMPUTED_VALUE"""),24.0)</f>
        <v>24</v>
      </c>
      <c r="B27" s="18" t="str">
        <f>IFERROR(__xludf.DUMMYFUNCTION("""COMPUTED_VALUE"""),"shazhaniaa")</f>
        <v>shazhaniaa</v>
      </c>
      <c r="C27" s="19">
        <f>IFERROR(__xludf.DUMMYFUNCTION("""COMPUTED_VALUE"""),1000000.0)</f>
        <v>1000000</v>
      </c>
      <c r="D27" s="17" t="str">
        <f>IFERROR(__xludf.DUMMYFUNCTION("""COMPUTED_VALUE"""),"Macro")</f>
        <v>Macro</v>
      </c>
      <c r="E27" s="18" t="str">
        <f>IFERROR(__xludf.DUMMYFUNCTION("""COMPUTED_VALUE"""),"_shaz")</f>
        <v>_shaz</v>
      </c>
      <c r="F27" s="19">
        <f>IFERROR(__xludf.DUMMYFUNCTION("""COMPUTED_VALUE"""),1000000.0)</f>
        <v>1000000</v>
      </c>
      <c r="G27" s="17" t="str">
        <f>IFERROR(__xludf.DUMMYFUNCTION("""COMPUTED_VALUE"""),"Macro")</f>
        <v>Macro</v>
      </c>
      <c r="H27" s="17" t="str">
        <f>IFERROR(__xludf.DUMMYFUNCTION("""COMPUTED_VALUE"""),"Jakarta")</f>
        <v>Jakarta</v>
      </c>
      <c r="I27" s="17" t="str">
        <f>IFERROR(__xludf.DUMMYFUNCTION("""COMPUTED_VALUE"""),"- Lifestyle Female
- Beauty
- Pasutri
- Family")</f>
        <v>- Lifestyle Female
- Beauty
- Pasutri
- Family</v>
      </c>
      <c r="J27" s="17"/>
      <c r="K27" s="20">
        <f>IFERROR(__xludf.DUMMYFUNCTION("""COMPUTED_VALUE"""),1.0E7)</f>
        <v>10000000</v>
      </c>
      <c r="L27" s="20">
        <f>IFERROR(__xludf.DUMMYFUNCTION("""COMPUTED_VALUE"""),2.1E7)</f>
        <v>21000000</v>
      </c>
      <c r="M27" s="20" t="str">
        <f>IFERROR(__xludf.DUMMYFUNCTION("""COMPUTED_VALUE"""),"FREE")</f>
        <v>FREE</v>
      </c>
      <c r="N27" s="20">
        <f>IFERROR(__xludf.DUMMYFUNCTION("""COMPUTED_VALUE"""),2.7E7)</f>
        <v>27000000</v>
      </c>
      <c r="O27" s="20">
        <f>IFERROR(__xludf.DUMMYFUNCTION("""COMPUTED_VALUE"""),5000000.0)</f>
        <v>5000000</v>
      </c>
      <c r="P27" s="20" t="str">
        <f>IFERROR(__xludf.DUMMYFUNCTION("""COMPUTED_VALUE"""),"Rp36,000,000
Rp38,000,000 (professional cam)")</f>
        <v>Rp36,000,000
Rp38,000,000 (professional cam)</v>
      </c>
      <c r="Q27" s="20">
        <f>IFERROR(__xludf.DUMMYFUNCTION("""COMPUTED_VALUE"""),8000000.0)</f>
        <v>8000000</v>
      </c>
      <c r="R27" s="20">
        <f>IFERROR(__xludf.DUMMYFUNCTION("""COMPUTED_VALUE"""),3.0E7)</f>
        <v>30000000</v>
      </c>
      <c r="S27" s="20">
        <f>IFERROR(__xludf.DUMMYFUNCTION("""COMPUTED_VALUE"""),5.0E7)</f>
        <v>50000000</v>
      </c>
      <c r="T27" s="20">
        <f>IFERROR(__xludf.DUMMYFUNCTION("""COMPUTED_VALUE"""),3.0E7)</f>
        <v>30000000</v>
      </c>
      <c r="U27" s="21">
        <f>IFERROR(__xludf.DUMMYFUNCTION("""COMPUTED_VALUE"""),0.5)</f>
        <v>0.5</v>
      </c>
      <c r="V27" s="21">
        <f>IFERROR(__xludf.DUMMYFUNCTION("""COMPUTED_VALUE"""),0.35)</f>
        <v>0.35</v>
      </c>
      <c r="W27" s="17"/>
      <c r="X27" s="20" t="str">
        <f>IFERROR(__xludf.DUMMYFUNCTION("""COMPUTED_VALUE"""),"Rp10,000,000 (Jakarta)
Rp12,000,000 (outside Jakarta)
2 hours max")</f>
        <v>Rp10,000,000 (Jakarta)
Rp12,000,000 (outside Jakarta)
2 hours max</v>
      </c>
      <c r="Y27" s="17"/>
    </row>
    <row r="28">
      <c r="A28" s="17">
        <f>IFERROR(__xludf.DUMMYFUNCTION("""COMPUTED_VALUE"""),25.0)</f>
        <v>25</v>
      </c>
      <c r="B28" s="18" t="str">
        <f>IFERROR(__xludf.DUMMYFUNCTION("""COMPUTED_VALUE"""),"sarahtumiwa")</f>
        <v>sarahtumiwa</v>
      </c>
      <c r="C28" s="23">
        <f>IFERROR(__xludf.DUMMYFUNCTION("""COMPUTED_VALUE"""),313000.0)</f>
        <v>313000</v>
      </c>
      <c r="D28" s="17" t="str">
        <f>IFERROR(__xludf.DUMMYFUNCTION("""COMPUTED_VALUE"""),"Mid")</f>
        <v>Mid</v>
      </c>
      <c r="E28" s="24" t="str">
        <f>IFERROR(__xludf.DUMMYFUNCTION("""COMPUTED_VALUE"""),"sarahtumiwa")</f>
        <v>sarahtumiwa</v>
      </c>
      <c r="F28" s="23">
        <f>IFERROR(__xludf.DUMMYFUNCTION("""COMPUTED_VALUE"""),277700.0)</f>
        <v>277700</v>
      </c>
      <c r="G28" s="17" t="str">
        <f>IFERROR(__xludf.DUMMYFUNCTION("""COMPUTED_VALUE"""),"Mid")</f>
        <v>Mid</v>
      </c>
      <c r="H28" s="17" t="str">
        <f>IFERROR(__xludf.DUMMYFUNCTION("""COMPUTED_VALUE"""),"Jakarta")</f>
        <v>Jakarta</v>
      </c>
      <c r="I28" s="17" t="str">
        <f>IFERROR(__xludf.DUMMYFUNCTION("""COMPUTED_VALUE"""),"- Lifestyle Female
- Beauty")</f>
        <v>- Lifestyle Female
- Beauty</v>
      </c>
      <c r="J28" s="17"/>
      <c r="K28" s="20">
        <f>IFERROR(__xludf.DUMMYFUNCTION("""COMPUTED_VALUE"""),8500000.0)</f>
        <v>8500000</v>
      </c>
      <c r="L28" s="20" t="str">
        <f>IFERROR(__xludf.DUMMYFUNCTION("""COMPUTED_VALUE"""),"Rp11,000,000 (Free Link)")</f>
        <v>Rp11,000,000 (Free Link)</v>
      </c>
      <c r="M28" s="17"/>
      <c r="N28" s="20">
        <f>IFERROR(__xludf.DUMMYFUNCTION("""COMPUTED_VALUE"""),1.5E7)</f>
        <v>15000000</v>
      </c>
      <c r="O28" s="17"/>
      <c r="P28" s="20">
        <f>IFERROR(__xludf.DUMMYFUNCTION("""COMPUTED_VALUE"""),2.1E7)</f>
        <v>21000000</v>
      </c>
      <c r="Q28" s="17"/>
      <c r="R28" s="20">
        <f>IFERROR(__xludf.DUMMYFUNCTION("""COMPUTED_VALUE"""),2.1E7)</f>
        <v>21000000</v>
      </c>
      <c r="S28" s="20">
        <f>IFERROR(__xludf.DUMMYFUNCTION("""COMPUTED_VALUE"""),3.5E7)</f>
        <v>35000000</v>
      </c>
      <c r="T28" s="20">
        <f>IFERROR(__xludf.DUMMYFUNCTION("""COMPUTED_VALUE"""),2.0E7)</f>
        <v>20000000</v>
      </c>
      <c r="U28" s="21">
        <f>IFERROR(__xludf.DUMMYFUNCTION("""COMPUTED_VALUE"""),0.5)</f>
        <v>0.5</v>
      </c>
      <c r="V28" s="17"/>
      <c r="W28" s="17"/>
      <c r="X28" s="20">
        <f>IFERROR(__xludf.DUMMYFUNCTION("""COMPUTED_VALUE"""),1.5E7)</f>
        <v>15000000</v>
      </c>
      <c r="Y28" s="17"/>
    </row>
    <row r="29">
      <c r="A29" s="17">
        <f>IFERROR(__xludf.DUMMYFUNCTION("""COMPUTED_VALUE"""),26.0)</f>
        <v>26</v>
      </c>
      <c r="B29" s="18" t="str">
        <f>IFERROR(__xludf.DUMMYFUNCTION("""COMPUTED_VALUE"""),"vanessasevilla.vs")</f>
        <v>vanessasevilla.vs</v>
      </c>
      <c r="C29" s="23">
        <f>IFERROR(__xludf.DUMMYFUNCTION("""COMPUTED_VALUE"""),162000.0)</f>
        <v>162000</v>
      </c>
      <c r="D29" s="17" t="str">
        <f>IFERROR(__xludf.DUMMYFUNCTION("""COMPUTED_VALUE"""),"Mid")</f>
        <v>Mid</v>
      </c>
      <c r="E29" s="24" t="str">
        <f>IFERROR(__xludf.DUMMYFUNCTION("""COMPUTED_VALUE"""),"v.sevillaaa")</f>
        <v>v.sevillaaa</v>
      </c>
      <c r="F29" s="23">
        <f>IFERROR(__xludf.DUMMYFUNCTION("""COMPUTED_VALUE"""),337100.0)</f>
        <v>337100</v>
      </c>
      <c r="G29" s="17" t="str">
        <f>IFERROR(__xludf.DUMMYFUNCTION("""COMPUTED_VALUE"""),"Mid")</f>
        <v>Mid</v>
      </c>
      <c r="H29" s="17" t="str">
        <f>IFERROR(__xludf.DUMMYFUNCTION("""COMPUTED_VALUE"""),"Jambi")</f>
        <v>Jambi</v>
      </c>
      <c r="I29" s="17" t="str">
        <f>IFERROR(__xludf.DUMMYFUNCTION("""COMPUTED_VALUE"""),"- Beauty
- Pasutri")</f>
        <v>- Beauty
- Pasutri</v>
      </c>
      <c r="J29" s="20">
        <f>IFERROR(__xludf.DUMMYFUNCTION("""COMPUTED_VALUE"""),600000.0)</f>
        <v>600000</v>
      </c>
      <c r="K29" s="20">
        <f>IFERROR(__xludf.DUMMYFUNCTION("""COMPUTED_VALUE"""),1500000.0)</f>
        <v>1500000</v>
      </c>
      <c r="L29" s="20">
        <f>IFERROR(__xludf.DUMMYFUNCTION("""COMPUTED_VALUE"""),2500000.0)</f>
        <v>2500000</v>
      </c>
      <c r="M29" s="20">
        <f>IFERROR(__xludf.DUMMYFUNCTION("""COMPUTED_VALUE"""),200000.0)</f>
        <v>200000</v>
      </c>
      <c r="N29" s="20">
        <f>IFERROR(__xludf.DUMMYFUNCTION("""COMPUTED_VALUE"""),3000000.0)</f>
        <v>3000000</v>
      </c>
      <c r="O29" s="20">
        <f>IFERROR(__xludf.DUMMYFUNCTION("""COMPUTED_VALUE"""),3000000.0)</f>
        <v>3000000</v>
      </c>
      <c r="P29" s="20">
        <f>IFERROR(__xludf.DUMMYFUNCTION("""COMPUTED_VALUE"""),9000000.0)</f>
        <v>9000000</v>
      </c>
      <c r="Q29" s="20">
        <f>IFERROR(__xludf.DUMMYFUNCTION("""COMPUTED_VALUE"""),1000000.0)</f>
        <v>1000000</v>
      </c>
      <c r="R29" s="20">
        <f>IFERROR(__xludf.DUMMYFUNCTION("""COMPUTED_VALUE"""),1.05E7)</f>
        <v>10500000</v>
      </c>
      <c r="S29" s="20">
        <f>IFERROR(__xludf.DUMMYFUNCTION("""COMPUTED_VALUE"""),9750000.0)</f>
        <v>9750000</v>
      </c>
      <c r="T29" s="20">
        <f>IFERROR(__xludf.DUMMYFUNCTION("""COMPUTED_VALUE"""),8000000.0)</f>
        <v>8000000</v>
      </c>
      <c r="U29" s="20">
        <f>IFERROR(__xludf.DUMMYFUNCTION("""COMPUTED_VALUE"""),3000000.0)</f>
        <v>3000000</v>
      </c>
      <c r="V29" s="20">
        <f>IFERROR(__xludf.DUMMYFUNCTION("""COMPUTED_VALUE"""),500000.0)</f>
        <v>500000</v>
      </c>
      <c r="W29" s="20">
        <f>IFERROR(__xludf.DUMMYFUNCTION("""COMPUTED_VALUE"""),500000.0)</f>
        <v>500000</v>
      </c>
      <c r="X29" s="20">
        <f>IFERROR(__xludf.DUMMYFUNCTION("""COMPUTED_VALUE"""),1.8E7)</f>
        <v>18000000</v>
      </c>
      <c r="Y29" s="17"/>
    </row>
    <row r="30">
      <c r="A30" s="17">
        <f>IFERROR(__xludf.DUMMYFUNCTION("""COMPUTED_VALUE"""),27.0)</f>
        <v>27</v>
      </c>
      <c r="B30" s="17"/>
      <c r="C30" s="17"/>
      <c r="D30" s="20" t="str">
        <f>IFERROR(__xludf.DUMMYFUNCTION("""COMPUTED_VALUE"""),"Nano")</f>
        <v>Nano</v>
      </c>
      <c r="E30" s="24" t="str">
        <f>IFERROR(__xludf.DUMMYFUNCTION("""COMPUTED_VALUE"""),"juwita.sekar3")</f>
        <v>juwita.sekar3</v>
      </c>
      <c r="F30" s="19">
        <f>IFERROR(__xludf.DUMMYFUNCTION("""COMPUTED_VALUE"""),148200.0)</f>
        <v>148200</v>
      </c>
      <c r="G30" s="20" t="str">
        <f>IFERROR(__xludf.DUMMYFUNCTION("""COMPUTED_VALUE"""),"Mid")</f>
        <v>Mid</v>
      </c>
      <c r="H30" s="17" t="str">
        <f>IFERROR(__xludf.DUMMYFUNCTION("""COMPUTED_VALUE"""),"Tangerang")</f>
        <v>Tangerang</v>
      </c>
      <c r="I30" s="17" t="str">
        <f>IFERROR(__xludf.DUMMYFUNCTION("""COMPUTED_VALUE"""),"Beauty")</f>
        <v>Beauty</v>
      </c>
      <c r="J30" s="17"/>
      <c r="K30" s="17"/>
      <c r="L30" s="17"/>
      <c r="M30" s="17"/>
      <c r="N30" s="17"/>
      <c r="O30" s="17"/>
      <c r="P30" s="17"/>
      <c r="Q30" s="17"/>
      <c r="R30" s="20">
        <f>IFERROR(__xludf.DUMMYFUNCTION("""COMPUTED_VALUE"""),3000000.0)</f>
        <v>3000000</v>
      </c>
      <c r="S30" s="17"/>
      <c r="T30" s="17"/>
      <c r="U30" s="20">
        <f>IFERROR(__xludf.DUMMYFUNCTION("""COMPUTED_VALUE"""),1000000.0)</f>
        <v>1000000</v>
      </c>
      <c r="V30" s="20">
        <f>IFERROR(__xludf.DUMMYFUNCTION("""COMPUTED_VALUE"""),1000000.0)</f>
        <v>1000000</v>
      </c>
      <c r="W30" s="20">
        <f>IFERROR(__xludf.DUMMYFUNCTION("""COMPUTED_VALUE"""),500000.0)</f>
        <v>500000</v>
      </c>
      <c r="X30" s="17"/>
      <c r="Y30" s="17"/>
    </row>
    <row r="31">
      <c r="A31" s="17">
        <f>IFERROR(__xludf.DUMMYFUNCTION("""COMPUTED_VALUE"""),28.0)</f>
        <v>28</v>
      </c>
      <c r="B31" s="18" t="str">
        <f>IFERROR(__xludf.DUMMYFUNCTION("""COMPUTED_VALUE"""),"shella_cletus")</f>
        <v>shella_cletus</v>
      </c>
      <c r="C31" s="19">
        <f>IFERROR(__xludf.DUMMYFUNCTION("""COMPUTED_VALUE"""),254000.0)</f>
        <v>254000</v>
      </c>
      <c r="D31" s="20" t="str">
        <f>IFERROR(__xludf.DUMMYFUNCTION("""COMPUTED_VALUE"""),"Mid")</f>
        <v>Mid</v>
      </c>
      <c r="E31" s="24" t="str">
        <f>IFERROR(__xludf.DUMMYFUNCTION("""COMPUTED_VALUE"""),"shellacletus")</f>
        <v>shellacletus</v>
      </c>
      <c r="F31" s="19">
        <f>IFERROR(__xludf.DUMMYFUNCTION("""COMPUTED_VALUE"""),1400000.0)</f>
        <v>1400000</v>
      </c>
      <c r="G31" s="20" t="str">
        <f>IFERROR(__xludf.DUMMYFUNCTION("""COMPUTED_VALUE"""),"Mega")</f>
        <v>Mega</v>
      </c>
      <c r="H31" s="17" t="str">
        <f>IFERROR(__xludf.DUMMYFUNCTION("""COMPUTED_VALUE"""),"Jakarta")</f>
        <v>Jakarta</v>
      </c>
      <c r="I31" s="17" t="str">
        <f>IFERROR(__xludf.DUMMYFUNCTION("""COMPUTED_VALUE"""),"- Lifestyle Female
- Beauty
- Comedy")</f>
        <v>- Lifestyle Female
- Beauty
- Comedy</v>
      </c>
      <c r="J31" s="17"/>
      <c r="K31" s="20">
        <f>IFERROR(__xludf.DUMMYFUNCTION("""COMPUTED_VALUE"""),3000000.0)</f>
        <v>3000000</v>
      </c>
      <c r="L31" s="20">
        <f>IFERROR(__xludf.DUMMYFUNCTION("""COMPUTED_VALUE"""),5000000.0)</f>
        <v>5000000</v>
      </c>
      <c r="M31" s="17"/>
      <c r="N31" s="17"/>
      <c r="O31" s="17"/>
      <c r="P31" s="20">
        <f>IFERROR(__xludf.DUMMYFUNCTION("""COMPUTED_VALUE"""),2.0E7)</f>
        <v>20000000</v>
      </c>
      <c r="Q31" s="17"/>
      <c r="R31" s="20">
        <f>IFERROR(__xludf.DUMMYFUNCTION("""COMPUTED_VALUE"""),2.0E7)</f>
        <v>20000000</v>
      </c>
      <c r="S31" s="17"/>
      <c r="T31" s="17"/>
      <c r="U31" s="20">
        <f>IFERROR(__xludf.DUMMYFUNCTION("""COMPUTED_VALUE"""),5000000.0)</f>
        <v>5000000</v>
      </c>
      <c r="V31" s="17"/>
      <c r="W31" s="17"/>
      <c r="X31" s="17"/>
      <c r="Y31" s="17"/>
    </row>
    <row r="32">
      <c r="A32" s="17">
        <f>IFERROR(__xludf.DUMMYFUNCTION("""COMPUTED_VALUE"""),29.0)</f>
        <v>29</v>
      </c>
      <c r="B32" s="18" t="str">
        <f>IFERROR(__xludf.DUMMYFUNCTION("""COMPUTED_VALUE"""),"cantikalulu")</f>
        <v>cantikalulu</v>
      </c>
      <c r="C32" s="19">
        <f>IFERROR(__xludf.DUMMYFUNCTION("""COMPUTED_VALUE"""),288000.0)</f>
        <v>288000</v>
      </c>
      <c r="D32" s="20" t="str">
        <f>IFERROR(__xludf.DUMMYFUNCTION("""COMPUTED_VALUE"""),"Mid")</f>
        <v>Mid</v>
      </c>
      <c r="E32" s="24" t="str">
        <f>IFERROR(__xludf.DUMMYFUNCTION("""COMPUTED_VALUE"""),"heylulaa")</f>
        <v>heylulaa</v>
      </c>
      <c r="F32" s="19">
        <f>IFERROR(__xludf.DUMMYFUNCTION("""COMPUTED_VALUE"""),726900.0)</f>
        <v>726900</v>
      </c>
      <c r="G32" s="20" t="str">
        <f>IFERROR(__xludf.DUMMYFUNCTION("""COMPUTED_VALUE"""),"Macro")</f>
        <v>Macro</v>
      </c>
      <c r="H32" s="17" t="str">
        <f>IFERROR(__xludf.DUMMYFUNCTION("""COMPUTED_VALUE"""),"Jakarta")</f>
        <v>Jakarta</v>
      </c>
      <c r="I32" s="17" t="str">
        <f>IFERROR(__xludf.DUMMYFUNCTION("""COMPUTED_VALUE"""),"- Lifestyle Female
- Beauty
- Comedy")</f>
        <v>- Lifestyle Female
- Beauty
- Comedy</v>
      </c>
      <c r="J32" s="17"/>
      <c r="K32" s="20">
        <f>IFERROR(__xludf.DUMMYFUNCTION("""COMPUTED_VALUE"""),5000000.0)</f>
        <v>5000000</v>
      </c>
      <c r="L32" s="20">
        <f>IFERROR(__xludf.DUMMYFUNCTION("""COMPUTED_VALUE"""),8000000.0)</f>
        <v>8000000</v>
      </c>
      <c r="M32" s="17"/>
      <c r="N32" s="17"/>
      <c r="O32" s="17"/>
      <c r="P32" s="20">
        <f>IFERROR(__xludf.DUMMYFUNCTION("""COMPUTED_VALUE"""),2.0E7)</f>
        <v>20000000</v>
      </c>
      <c r="Q32" s="17"/>
      <c r="R32" s="20">
        <f>IFERROR(__xludf.DUMMYFUNCTION("""COMPUTED_VALUE"""),1.0E7)</f>
        <v>10000000</v>
      </c>
      <c r="S32" s="17"/>
      <c r="T32" s="17"/>
      <c r="U32" s="20">
        <f>IFERROR(__xludf.DUMMYFUNCTION("""COMPUTED_VALUE"""),5000000.0)</f>
        <v>5000000</v>
      </c>
      <c r="V32" s="17"/>
      <c r="W32" s="17"/>
      <c r="X32" s="17"/>
      <c r="Y32" s="17"/>
    </row>
    <row r="33">
      <c r="A33" s="17">
        <f>IFERROR(__xludf.DUMMYFUNCTION("""COMPUTED_VALUE"""),30.0)</f>
        <v>30</v>
      </c>
      <c r="B33" s="18" t="str">
        <f>IFERROR(__xludf.DUMMYFUNCTION("""COMPUTED_VALUE"""),"ymliamakeupartist")</f>
        <v>ymliamakeupartist</v>
      </c>
      <c r="C33" s="19">
        <f>IFERROR(__xludf.DUMMYFUNCTION("""COMPUTED_VALUE"""),225000.0)</f>
        <v>225000</v>
      </c>
      <c r="D33" s="20" t="str">
        <f>IFERROR(__xludf.DUMMYFUNCTION("""COMPUTED_VALUE"""),"Mid")</f>
        <v>Mid</v>
      </c>
      <c r="E33" s="24" t="str">
        <f>IFERROR(__xludf.DUMMYFUNCTION("""COMPUTED_VALUE"""),"ymlia002")</f>
        <v>ymlia002</v>
      </c>
      <c r="F33" s="19">
        <f>IFERROR(__xludf.DUMMYFUNCTION("""COMPUTED_VALUE"""),233100.0)</f>
        <v>233100</v>
      </c>
      <c r="G33" s="20" t="str">
        <f>IFERROR(__xludf.DUMMYFUNCTION("""COMPUTED_VALUE"""),"Mid")</f>
        <v>Mid</v>
      </c>
      <c r="H33" s="17" t="str">
        <f>IFERROR(__xludf.DUMMYFUNCTION("""COMPUTED_VALUE"""),"Jakarta Selatan")</f>
        <v>Jakarta Selatan</v>
      </c>
      <c r="I33" s="17" t="str">
        <f>IFERROR(__xludf.DUMMYFUNCTION("""COMPUTED_VALUE"""),"Beauty")</f>
        <v>Beauty</v>
      </c>
      <c r="J33" s="17"/>
      <c r="K33" s="20">
        <f>IFERROR(__xludf.DUMMYFUNCTION("""COMPUTED_VALUE"""),1000000.0)</f>
        <v>1000000</v>
      </c>
      <c r="L33" s="20">
        <f>IFERROR(__xludf.DUMMYFUNCTION("""COMPUTED_VALUE"""),1500000.0)</f>
        <v>1500000</v>
      </c>
      <c r="M33" s="17"/>
      <c r="N33" s="20">
        <f>IFERROR(__xludf.DUMMYFUNCTION("""COMPUTED_VALUE"""),800000.0)</f>
        <v>800000</v>
      </c>
      <c r="O33" s="20">
        <f>IFERROR(__xludf.DUMMYFUNCTION("""COMPUTED_VALUE"""),1200000.0)</f>
        <v>1200000</v>
      </c>
      <c r="P33" s="20">
        <f>IFERROR(__xludf.DUMMYFUNCTION("""COMPUTED_VALUE"""),2200000.0)</f>
        <v>2200000</v>
      </c>
      <c r="Q33" s="20">
        <f>IFERROR(__xludf.DUMMYFUNCTION("""COMPUTED_VALUE"""),800000.0)</f>
        <v>800000</v>
      </c>
      <c r="R33" s="20">
        <f>IFERROR(__xludf.DUMMYFUNCTION("""COMPUTED_VALUE"""),2000000.0)</f>
        <v>2000000</v>
      </c>
      <c r="S33" s="20">
        <f>IFERROR(__xludf.DUMMYFUNCTION("""COMPUTED_VALUE"""),800000.0)</f>
        <v>800000</v>
      </c>
      <c r="T33" s="17"/>
      <c r="U33" s="20">
        <f>IFERROR(__xludf.DUMMYFUNCTION("""COMPUTED_VALUE"""),2200000.0)</f>
        <v>2200000</v>
      </c>
      <c r="V33" s="20">
        <f>IFERROR(__xludf.DUMMYFUNCTION("""COMPUTED_VALUE"""),500000.0)</f>
        <v>500000</v>
      </c>
      <c r="W33" s="20">
        <f>IFERROR(__xludf.DUMMYFUNCTION("""COMPUTED_VALUE"""),5000000.0)</f>
        <v>5000000</v>
      </c>
      <c r="X33" s="20">
        <f>IFERROR(__xludf.DUMMYFUNCTION("""COMPUTED_VALUE"""),2000000.0)</f>
        <v>2000000</v>
      </c>
      <c r="Y33" s="17"/>
    </row>
    <row r="34">
      <c r="A34" s="17">
        <f>IFERROR(__xludf.DUMMYFUNCTION("""COMPUTED_VALUE"""),31.0)</f>
        <v>31</v>
      </c>
      <c r="B34" s="18" t="str">
        <f>IFERROR(__xludf.DUMMYFUNCTION("""COMPUTED_VALUE"""),"stephaniegiscka")</f>
        <v>stephaniegiscka</v>
      </c>
      <c r="C34" s="23">
        <f>IFERROR(__xludf.DUMMYFUNCTION("""COMPUTED_VALUE"""),27200.0)</f>
        <v>27200</v>
      </c>
      <c r="D34" s="20" t="str">
        <f>IFERROR(__xludf.DUMMYFUNCTION("""COMPUTED_VALUE"""),"Micro")</f>
        <v>Micro</v>
      </c>
      <c r="E34" s="24" t="str">
        <f>IFERROR(__xludf.DUMMYFUNCTION("""COMPUTED_VALUE"""),"inigiscka")</f>
        <v>inigiscka</v>
      </c>
      <c r="F34" s="23">
        <f>IFERROR(__xludf.DUMMYFUNCTION("""COMPUTED_VALUE"""),50800.0)</f>
        <v>50800</v>
      </c>
      <c r="G34" s="20" t="str">
        <f>IFERROR(__xludf.DUMMYFUNCTION("""COMPUTED_VALUE"""),"Micro")</f>
        <v>Micro</v>
      </c>
      <c r="H34" s="17" t="str">
        <f>IFERROR(__xludf.DUMMYFUNCTION("""COMPUTED_VALUE"""),"Jakarta")</f>
        <v>Jakarta</v>
      </c>
      <c r="I34" s="17" t="str">
        <f>IFERROR(__xludf.DUMMYFUNCTION("""COMPUTED_VALUE"""),"- Fashion Wanita
- Beauty
- Lifestyle Female")</f>
        <v>- Fashion Wanita
- Beauty
- Lifestyle Female</v>
      </c>
      <c r="J34" s="17"/>
      <c r="K34" s="20">
        <f>IFERROR(__xludf.DUMMYFUNCTION("""COMPUTED_VALUE"""),350000.0)</f>
        <v>350000</v>
      </c>
      <c r="L34" s="20">
        <f>IFERROR(__xludf.DUMMYFUNCTION("""COMPUTED_VALUE"""),450000.0)</f>
        <v>450000</v>
      </c>
      <c r="M34" s="20">
        <f>IFERROR(__xludf.DUMMYFUNCTION("""COMPUTED_VALUE"""),50000.0)</f>
        <v>50000</v>
      </c>
      <c r="N34" s="20">
        <f>IFERROR(__xludf.DUMMYFUNCTION("""COMPUTED_VALUE"""),1000000.0)</f>
        <v>1000000</v>
      </c>
      <c r="O34" s="17"/>
      <c r="P34" s="20">
        <f>IFERROR(__xludf.DUMMYFUNCTION("""COMPUTED_VALUE"""),1000000.0)</f>
        <v>1000000</v>
      </c>
      <c r="Q34" s="17"/>
      <c r="R34" s="20">
        <f>IFERROR(__xludf.DUMMYFUNCTION("""COMPUTED_VALUE"""),1000000.0)</f>
        <v>1000000</v>
      </c>
      <c r="S34" s="20">
        <f>IFERROR(__xludf.DUMMYFUNCTION("""COMPUTED_VALUE"""),1700000.0)</f>
        <v>1700000</v>
      </c>
      <c r="T34" s="17"/>
      <c r="U34" s="20">
        <f>IFERROR(__xludf.DUMMYFUNCTION("""COMPUTED_VALUE"""),500000.0)</f>
        <v>500000</v>
      </c>
      <c r="V34" s="17"/>
      <c r="W34" s="17"/>
      <c r="X34" s="17"/>
      <c r="Y34" s="17"/>
    </row>
    <row r="35">
      <c r="A35" s="17">
        <f>IFERROR(__xludf.DUMMYFUNCTION("""COMPUTED_VALUE"""),32.0)</f>
        <v>32</v>
      </c>
      <c r="B35" s="18" t="str">
        <f>IFERROR(__xludf.DUMMYFUNCTION("""COMPUTED_VALUE"""),"princess.kinoi")</f>
        <v>princess.kinoi</v>
      </c>
      <c r="C35" s="23">
        <f>IFERROR(__xludf.DUMMYFUNCTION("""COMPUTED_VALUE"""),818000.0)</f>
        <v>818000</v>
      </c>
      <c r="D35" s="20" t="str">
        <f>IFERROR(__xludf.DUMMYFUNCTION("""COMPUTED_VALUE"""),"Macro")</f>
        <v>Macro</v>
      </c>
      <c r="E35" s="24" t="str">
        <f>IFERROR(__xludf.DUMMYFUNCTION("""COMPUTED_VALUE"""),"amandazahra")</f>
        <v>amandazahra</v>
      </c>
      <c r="F35" s="23" t="str">
        <f>IFERROR(__xludf.DUMMYFUNCTION("""COMPUTED_VALUE"""),"1M")</f>
        <v>1M</v>
      </c>
      <c r="G35" s="20" t="str">
        <f>IFERROR(__xludf.DUMMYFUNCTION("""COMPUTED_VALUE"""),"Mega")</f>
        <v>Mega</v>
      </c>
      <c r="H35" s="17" t="str">
        <f>IFERROR(__xludf.DUMMYFUNCTION("""COMPUTED_VALUE"""),"Jakarta")</f>
        <v>Jakarta</v>
      </c>
      <c r="I35" s="17" t="str">
        <f>IFERROR(__xludf.DUMMYFUNCTION("""COMPUTED_VALUE"""),"- Lifestyle Female
- Beauty")</f>
        <v>- Lifestyle Female
- Beauty</v>
      </c>
      <c r="J35" s="20">
        <f>IFERROR(__xludf.DUMMYFUNCTION("""COMPUTED_VALUE"""),1.5E7)</f>
        <v>15000000</v>
      </c>
      <c r="K35" s="20">
        <f>IFERROR(__xludf.DUMMYFUNCTION("""COMPUTED_VALUE"""),1.75E7)</f>
        <v>17500000</v>
      </c>
      <c r="L35" s="20">
        <f>IFERROR(__xludf.DUMMYFUNCTION("""COMPUTED_VALUE"""),2.5E7)</f>
        <v>25000000</v>
      </c>
      <c r="M35" s="20">
        <f>IFERROR(__xludf.DUMMYFUNCTION("""COMPUTED_VALUE"""),500000.0)</f>
        <v>500000</v>
      </c>
      <c r="N35" s="20">
        <f>IFERROR(__xludf.DUMMYFUNCTION("""COMPUTED_VALUE"""),2.5E7)</f>
        <v>25000000</v>
      </c>
      <c r="O35" s="20">
        <f>IFERROR(__xludf.DUMMYFUNCTION("""COMPUTED_VALUE"""),3.0E7)</f>
        <v>30000000</v>
      </c>
      <c r="P35" s="20">
        <f>IFERROR(__xludf.DUMMYFUNCTION("""COMPUTED_VALUE"""),5.0E7)</f>
        <v>50000000</v>
      </c>
      <c r="Q35" s="20">
        <f>IFERROR(__xludf.DUMMYFUNCTION("""COMPUTED_VALUE"""),1.25E7)</f>
        <v>12500000</v>
      </c>
      <c r="R35" s="20">
        <f>IFERROR(__xludf.DUMMYFUNCTION("""COMPUTED_VALUE"""),5.0E7)</f>
        <v>50000000</v>
      </c>
      <c r="S35" s="17"/>
      <c r="T35" s="17"/>
      <c r="U35" s="17"/>
      <c r="V35" s="20">
        <f>IFERROR(__xludf.DUMMYFUNCTION("""COMPUTED_VALUE"""),1000000.0)</f>
        <v>1000000</v>
      </c>
      <c r="W35" s="17"/>
      <c r="X35" s="20">
        <f>IFERROR(__xludf.DUMMYFUNCTION("""COMPUTED_VALUE"""),2.55E7)</f>
        <v>25500000</v>
      </c>
      <c r="Y35" s="17"/>
    </row>
    <row r="36">
      <c r="A36" s="17">
        <f>IFERROR(__xludf.DUMMYFUNCTION("""COMPUTED_VALUE"""),33.0)</f>
        <v>33</v>
      </c>
      <c r="B36" s="18" t="str">
        <f>IFERROR(__xludf.DUMMYFUNCTION("""COMPUTED_VALUE"""),"afifahriyad")</f>
        <v>afifahriyad</v>
      </c>
      <c r="C36" s="23">
        <f>IFERROR(__xludf.DUMMYFUNCTION("""COMPUTED_VALUE"""),527000.0)</f>
        <v>527000</v>
      </c>
      <c r="D36" s="20" t="str">
        <f>IFERROR(__xludf.DUMMYFUNCTION("""COMPUTED_VALUE"""),"Macro")</f>
        <v>Macro</v>
      </c>
      <c r="E36" s="18" t="str">
        <f>IFERROR(__xludf.DUMMYFUNCTION("""COMPUTED_VALUE"""),"afifahriyad")</f>
        <v>afifahriyad</v>
      </c>
      <c r="F36" s="23" t="str">
        <f>IFERROR(__xludf.DUMMYFUNCTION("""COMPUTED_VALUE"""),"3M")</f>
        <v>3M</v>
      </c>
      <c r="G36" s="20" t="str">
        <f>IFERROR(__xludf.DUMMYFUNCTION("""COMPUTED_VALUE"""),"Mega")</f>
        <v>Mega</v>
      </c>
      <c r="H36" s="17"/>
      <c r="I36" s="17" t="str">
        <f>IFERROR(__xludf.DUMMYFUNCTION("""COMPUTED_VALUE"""),"- Lifestyle Female
- Mom &amp; Kids
- Beauty")</f>
        <v>- Lifestyle Female
- Mom &amp; Kids
- Beauty</v>
      </c>
      <c r="J36" s="20">
        <f>IFERROR(__xludf.DUMMYFUNCTION("""COMPUTED_VALUE"""),4000000.0)</f>
        <v>4000000</v>
      </c>
      <c r="K36" s="20">
        <f>IFERROR(__xludf.DUMMYFUNCTION("""COMPUTED_VALUE"""),4000000.0)</f>
        <v>4000000</v>
      </c>
      <c r="L36" s="20">
        <f>IFERROR(__xludf.DUMMYFUNCTION("""COMPUTED_VALUE"""),6000000.0)</f>
        <v>6000000</v>
      </c>
      <c r="M36" s="20" t="str">
        <f>IFERROR(__xludf.DUMMYFUNCTION("""COMPUTED_VALUE"""),"FREE")</f>
        <v>FREE</v>
      </c>
      <c r="N36" s="20">
        <f>IFERROR(__xludf.DUMMYFUNCTION("""COMPUTED_VALUE"""),1.5E7)</f>
        <v>15000000</v>
      </c>
      <c r="O36" s="20">
        <f>IFERROR(__xludf.DUMMYFUNCTION("""COMPUTED_VALUE"""),1.5E7)</f>
        <v>15000000</v>
      </c>
      <c r="P36" s="20">
        <f>IFERROR(__xludf.DUMMYFUNCTION("""COMPUTED_VALUE"""),1.8E7)</f>
        <v>18000000</v>
      </c>
      <c r="Q36" s="20" t="str">
        <f>IFERROR(__xludf.DUMMYFUNCTION("""COMPUTED_VALUE"""),"FREE")</f>
        <v>FREE</v>
      </c>
      <c r="R36" s="20">
        <f>IFERROR(__xludf.DUMMYFUNCTION("""COMPUTED_VALUE"""),3.0E7)</f>
        <v>30000000</v>
      </c>
      <c r="S36" s="20">
        <f>IFERROR(__xludf.DUMMYFUNCTION("""COMPUTED_VALUE"""),4.8E7)</f>
        <v>48000000</v>
      </c>
      <c r="T36" s="20">
        <f>IFERROR(__xludf.DUMMYFUNCTION("""COMPUTED_VALUE"""),2.5E7)</f>
        <v>25000000</v>
      </c>
      <c r="U36" s="20" t="str">
        <f>IFERROR(__xludf.DUMMYFUNCTION("""COMPUTED_VALUE"""),"FREE")</f>
        <v>FREE</v>
      </c>
      <c r="V36" s="20" t="str">
        <f>IFERROR(__xludf.DUMMYFUNCTION("""COMPUTED_VALUE"""),"FREE")</f>
        <v>FREE</v>
      </c>
      <c r="W36" s="20" t="str">
        <f>IFERROR(__xludf.DUMMYFUNCTION("""COMPUTED_VALUE"""),"FREE")</f>
        <v>FREE</v>
      </c>
      <c r="X36" s="20">
        <f>IFERROR(__xludf.DUMMYFUNCTION("""COMPUTED_VALUE"""),2.5E7)</f>
        <v>25000000</v>
      </c>
      <c r="Y36" s="17"/>
    </row>
    <row r="37">
      <c r="A37" s="17">
        <f>IFERROR(__xludf.DUMMYFUNCTION("""COMPUTED_VALUE"""),34.0)</f>
        <v>34</v>
      </c>
      <c r="B37" s="18" t="str">
        <f>IFERROR(__xludf.DUMMYFUNCTION("""COMPUTED_VALUE"""),"risyabrabo")</f>
        <v>risyabrabo</v>
      </c>
      <c r="C37" s="23">
        <f>IFERROR(__xludf.DUMMYFUNCTION("""COMPUTED_VALUE"""),580000.0)</f>
        <v>580000</v>
      </c>
      <c r="D37" s="20" t="str">
        <f>IFERROR(__xludf.DUMMYFUNCTION("""COMPUTED_VALUE"""),"Macro")</f>
        <v>Macro</v>
      </c>
      <c r="E37" s="24" t="str">
        <f>IFERROR(__xludf.DUMMYFUNCTION("""COMPUTED_VALUE"""),"risyabrabo9")</f>
        <v>risyabrabo9</v>
      </c>
      <c r="F37" s="23">
        <f>IFERROR(__xludf.DUMMYFUNCTION("""COMPUTED_VALUE"""),312000.0)</f>
        <v>312000</v>
      </c>
      <c r="G37" s="20" t="str">
        <f>IFERROR(__xludf.DUMMYFUNCTION("""COMPUTED_VALUE"""),"Mid")</f>
        <v>Mid</v>
      </c>
      <c r="H37" s="17" t="str">
        <f>IFERROR(__xludf.DUMMYFUNCTION("""COMPUTED_VALUE"""),"Jakarta")</f>
        <v>Jakarta</v>
      </c>
      <c r="I37" s="17" t="str">
        <f>IFERROR(__xludf.DUMMYFUNCTION("""COMPUTED_VALUE"""),"- Lifestyle Female 
- Beauty")</f>
        <v>- Lifestyle Female 
- Beauty</v>
      </c>
      <c r="J37" s="20">
        <f>IFERROR(__xludf.DUMMYFUNCTION("""COMPUTED_VALUE"""),5500000.0)</f>
        <v>5500000</v>
      </c>
      <c r="K37" s="20">
        <f>IFERROR(__xludf.DUMMYFUNCTION("""COMPUTED_VALUE"""),7000000.0)</f>
        <v>7000000</v>
      </c>
      <c r="L37" s="20">
        <f>IFERROR(__xludf.DUMMYFUNCTION("""COMPUTED_VALUE"""),1.5E7)</f>
        <v>15000000</v>
      </c>
      <c r="M37" s="20" t="str">
        <f>IFERROR(__xludf.DUMMYFUNCTION("""COMPUTED_VALUE"""),"FREE")</f>
        <v>FREE</v>
      </c>
      <c r="N37" s="20">
        <f>IFERROR(__xludf.DUMMYFUNCTION("""COMPUTED_VALUE"""),1.8E7)</f>
        <v>18000000</v>
      </c>
      <c r="O37" s="20">
        <f>IFERROR(__xludf.DUMMYFUNCTION("""COMPUTED_VALUE"""),2.1E7)</f>
        <v>21000000</v>
      </c>
      <c r="P37" s="20">
        <f>IFERROR(__xludf.DUMMYFUNCTION("""COMPUTED_VALUE"""),2.5E7)</f>
        <v>25000000</v>
      </c>
      <c r="Q37" s="20">
        <f>IFERROR(__xludf.DUMMYFUNCTION("""COMPUTED_VALUE"""),1.0E7)</f>
        <v>10000000</v>
      </c>
      <c r="R37" s="20">
        <f>IFERROR(__xludf.DUMMYFUNCTION("""COMPUTED_VALUE"""),2.0E7)</f>
        <v>20000000</v>
      </c>
      <c r="S37" s="20">
        <f>IFERROR(__xludf.DUMMYFUNCTION("""COMPUTED_VALUE"""),3.0E7)</f>
        <v>30000000</v>
      </c>
      <c r="T37" s="20">
        <f>IFERROR(__xludf.DUMMYFUNCTION("""COMPUTED_VALUE"""),1.5E7)</f>
        <v>15000000</v>
      </c>
      <c r="U37" s="20">
        <f>IFERROR(__xludf.DUMMYFUNCTION("""COMPUTED_VALUE"""),1.0E8)</f>
        <v>100000000</v>
      </c>
      <c r="V37" s="20">
        <f>IFERROR(__xludf.DUMMYFUNCTION("""COMPUTED_VALUE"""),5000000.0)</f>
        <v>5000000</v>
      </c>
      <c r="W37" s="20">
        <f>IFERROR(__xludf.DUMMYFUNCTION("""COMPUTED_VALUE"""),1.0E7)</f>
        <v>10000000</v>
      </c>
      <c r="X37" s="20">
        <f>IFERROR(__xludf.DUMMYFUNCTION("""COMPUTED_VALUE"""),1.5E7)</f>
        <v>15000000</v>
      </c>
      <c r="Y37" s="17"/>
    </row>
    <row r="38">
      <c r="A38" s="17">
        <f>IFERROR(__xludf.DUMMYFUNCTION("""COMPUTED_VALUE"""),35.0)</f>
        <v>35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>
        <f>IFERROR(__xludf.DUMMYFUNCTION("""COMPUTED_VALUE"""),36.0)</f>
        <v>36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>
        <f>IFERROR(__xludf.DUMMYFUNCTION("""COMPUTED_VALUE"""),37.0)</f>
        <v>37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>
        <f>IFERROR(__xludf.DUMMYFUNCTION("""COMPUTED_VALUE"""),38.0)</f>
        <v>38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>
        <f>IFERROR(__xludf.DUMMYFUNCTION("""COMPUTED_VALUE"""),39.0)</f>
        <v>39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>
        <f>IFERROR(__xludf.DUMMYFUNCTION("""COMPUTED_VALUE"""),40.0)</f>
        <v>40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>
        <f>IFERROR(__xludf.DUMMYFUNCTION("""COMPUTED_VALUE"""),41.0)</f>
        <v>41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>
        <f>IFERROR(__xludf.DUMMYFUNCTION("""COMPUTED_VALUE"""),42.0)</f>
        <v>42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>
        <f>IFERROR(__xludf.DUMMYFUNCTION("""COMPUTED_VALUE"""),43.0)</f>
        <v>43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>
        <f>IFERROR(__xludf.DUMMYFUNCTION("""COMPUTED_VALUE"""),44.0)</f>
        <v>44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5.0" hidden="1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idden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idden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hidden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hidden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hidden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hidden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hidden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hidden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hidden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hidden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hidden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hidden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hidden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hidden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hidden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hidden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hidden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hidden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hidden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hidden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hidden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hidden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hidden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hidden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hidden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hidden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hidden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hidden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hidden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hidden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hidden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hidden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hidden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hidden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hidden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hidden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hidden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hidden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hidden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hidden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hidden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hidden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hidden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hidden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hidden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hidden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hidden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hidden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hidden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hidden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hidden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hidden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hidden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hidden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hidden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hidden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hidden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hidden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hidden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hidden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hidden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hidden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hidden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hidden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hidden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hidden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hidden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hidden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hidden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hidden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hidden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hidden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hidden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hidden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hidden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hidden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hidden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hidden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hidden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hidden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hidden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hidden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hidden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hidden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hidden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hidden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hidden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hidden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hidden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hidden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hidden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hidden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hidden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hidden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hidden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hidden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hidden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hidden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hidden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hidden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hidden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hidden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hidden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hidden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hidden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hidden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hidden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hidden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hidden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hidden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hidden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hidden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hidden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hidden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hidden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hidden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hidden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hidden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hidden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hidden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hidden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hidden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hidden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hidden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hidden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hidden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hidden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hidden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hidden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hidden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hidden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hidden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hidden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hidden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hidden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hidden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hidden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hidden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hidden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hidden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hidden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hidden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hidden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hidden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hidden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hidden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hidden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hidden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hidden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hidden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hidden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hidden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hidden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hidden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hidden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hidden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hidden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hidden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hidden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hidden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hidden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hidden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hidden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 hidden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 hidden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 hidden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 hidden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 hidden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 hidden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 hidden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 hidden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 hidden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 hidden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 hidden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 hidden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 hidden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 hidden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 hidden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 hidden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 hidden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 hidden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 hidden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 hidden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 hidden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hidden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hidden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 hidden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 hidden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 hidden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 hidden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 hidden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 hidden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 hidden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 hidden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 hidden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 hidden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 hidden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 hidden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 hidden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 hidden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 hidden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 hidden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 hidden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 hidden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 hidden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 hidden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 hidden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 hidden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 hidden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 hidden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 hidden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 hidden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 hidden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 hidden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 hidden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 hidden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hidden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 hidden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 hidden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 hidden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 hidden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 hidden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 hidden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 hidden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 hidden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 hidden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 hidden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 hidden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 hidden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 hidden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 hidden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 hidden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 hidden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 hidden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 hidden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 hidden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 hidden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 hidden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 hidden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 hidden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 hidden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 hidden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 hidden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 hidden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 hidden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 hidden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 hidden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hidden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 hidden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 hidden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 hidden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 hidden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 hidden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 hidden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 hidden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 hidden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 hidden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 hidden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 hidden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 hidden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 hidden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 hidden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 hidden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 hidden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 hidden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 hidden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 hidden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 hidden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 hidden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 hidden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 hidden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 hidden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 hidden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 hidden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 hidden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 hidden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 hidden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 hidden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 hidden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 hidden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 hidden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hidden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 hidden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 hidden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 hidden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 hidden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 hidden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 hidden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 hidden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 hidden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 hidden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 hidden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 hidden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 hidden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 hidden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 hidden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 hidden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 hidden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 hidden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 hidden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 hidden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 hidden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 hidden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 hidden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 hidden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 hidden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 hidden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 hidden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 hidden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 hidden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 hidden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 hidden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 hidden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 hidden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 hidden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hidden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 hidden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 hidden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 hidden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 hidden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 hidden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 hidden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 hidden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 hidden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 hidden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 hidden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 hidden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 hidden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 hidden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 hidden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 hidden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 hidden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 hidden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 hidden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 hidden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 hidden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 hidden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 hidden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 hidden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 hidden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 hidden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hidden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 hidden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 hidden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 hidden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 hidden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 hidden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 hidden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 hidden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 hidden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 hidden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 hidden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 hidden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 hidden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 hidden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 hidden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 hidden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 hidden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 hidden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 hidden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 hidden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 hidden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 hidden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 hidden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 hidden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 hidden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 hidden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 hidden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 hidden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 hidden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hidden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 hidden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 hidden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 hidden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 hidden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 hidden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 hidden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 hidden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 hidden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 hidden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 hidden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 hidden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 hidden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 hidden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 hidden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 hidden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 hidden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 hidden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 hidden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 hidden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 hidden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 hidden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 hidden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 hidden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 hidden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 hidden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 hidden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 hidden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 hidden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 hidden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 hidden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 hidden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 hidden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 hidden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hidden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 hidden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 hidden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 hidden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 hidden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 hidden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 hidden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 hidden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 hidden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 hidden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 hidden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 hidden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 hidden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 hidden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 hidden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 hidden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 hidden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 hidden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 hidden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 hidden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 hidden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 hidden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 hidden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 hidden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 hidden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 hidden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 hidden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 hidden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 hidden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 hidden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 hidden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hidden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 hidden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 hidden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 hidden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 hidden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 hidden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 hidden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 hidden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 hidden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 hidden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 hidden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 hidden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 hidden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 hidden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 hidden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 hidden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 hidden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 hidden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 hidden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 hidden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 hidden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 hidden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 hidden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 hidden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 hidden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 hidden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 hidden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 hidden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 hidden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 hidden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 hidden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hidden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 hidden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 hidden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 hidden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 hidden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 hidden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 hidden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 hidden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 hidden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 hidden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 hidden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 hidden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 hidden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 hidden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 hidden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 hidden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 hidden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 hidden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 hidden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 hidden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 hidden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 hidden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 hidden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 hidden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 hidden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 hidden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 hidden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 hidden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 hidden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 hidden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 hidden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 hidden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 hidden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 hidden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 hidden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49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E16"/>
    <hyperlink r:id="rId26" ref="B17"/>
    <hyperlink r:id="rId27" ref="E17"/>
    <hyperlink r:id="rId28" ref="B18"/>
    <hyperlink r:id="rId29" ref="E18"/>
    <hyperlink r:id="rId30" ref="B19"/>
    <hyperlink r:id="rId31" ref="E19"/>
    <hyperlink r:id="rId32" ref="B20"/>
    <hyperlink r:id="rId33" ref="E20"/>
    <hyperlink r:id="rId34" ref="B21"/>
    <hyperlink r:id="rId35" ref="E21"/>
    <hyperlink r:id="rId36" ref="B22"/>
    <hyperlink r:id="rId37" ref="E22"/>
    <hyperlink r:id="rId38" ref="B23"/>
    <hyperlink r:id="rId39" ref="E23"/>
    <hyperlink r:id="rId40" ref="B24"/>
    <hyperlink r:id="rId41" ref="E24"/>
    <hyperlink r:id="rId42" ref="B25"/>
    <hyperlink r:id="rId43" ref="E25"/>
    <hyperlink r:id="rId44" ref="B26"/>
    <hyperlink r:id="rId45" ref="E26"/>
    <hyperlink r:id="rId46" ref="B27"/>
    <hyperlink r:id="rId47" ref="E27"/>
    <hyperlink r:id="rId48" ref="B28"/>
    <hyperlink r:id="rId49" ref="E28"/>
    <hyperlink r:id="rId50" ref="B29"/>
    <hyperlink r:id="rId51" ref="E29"/>
    <hyperlink r:id="rId52" ref="E30"/>
    <hyperlink r:id="rId53" ref="B31"/>
    <hyperlink r:id="rId54" ref="E31"/>
    <hyperlink r:id="rId55" ref="B32"/>
    <hyperlink r:id="rId56" ref="E32"/>
    <hyperlink r:id="rId57" ref="B33"/>
    <hyperlink r:id="rId58" ref="E33"/>
    <hyperlink r:id="rId59" ref="B34"/>
    <hyperlink r:id="rId60" ref="E34"/>
    <hyperlink r:id="rId61" ref="B35"/>
    <hyperlink r:id="rId62" ref="E35"/>
    <hyperlink r:id="rId63" ref="B36"/>
    <hyperlink r:id="rId64" ref="E36"/>
    <hyperlink r:id="rId65" ref="B37"/>
    <hyperlink r:id="rId66" ref="E37"/>
  </hyperlinks>
  <drawing r:id="rId6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38"/>
      <c r="B1" s="3"/>
      <c r="C1" s="3"/>
      <c r="D1" s="3"/>
      <c r="E1" s="3"/>
      <c r="F1" s="3"/>
      <c r="G1" s="3"/>
      <c r="H1" s="3"/>
      <c r="I1" s="4"/>
      <c r="J1" s="5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""FnB!A4:Y999"")"),1.0)</f>
        <v>1</v>
      </c>
      <c r="B4" s="18" t="str">
        <f>IFERROR(__xludf.DUMMYFUNCTION("""COMPUTED_VALUE"""),"makanlurrrr")</f>
        <v>makanlurrrr</v>
      </c>
      <c r="C4" s="23">
        <f>IFERROR(__xludf.DUMMYFUNCTION("""COMPUTED_VALUE"""),650000.0)</f>
        <v>650000</v>
      </c>
      <c r="D4" s="17" t="str">
        <f>IFERROR(__xludf.DUMMYFUNCTION("""COMPUTED_VALUE"""),"Macro")</f>
        <v>Macro</v>
      </c>
      <c r="E4" s="18" t="str">
        <f>IFERROR(__xludf.DUMMYFUNCTION("""COMPUTED_VALUE"""),"makanlurr")</f>
        <v>makanlurr</v>
      </c>
      <c r="F4" s="19">
        <f>IFERROR(__xludf.DUMMYFUNCTION("""COMPUTED_VALUE"""),1800000.0)</f>
        <v>1800000</v>
      </c>
      <c r="G4" s="17" t="str">
        <f>IFERROR(__xludf.DUMMYFUNCTION("""COMPUTED_VALUE"""),"Mega")</f>
        <v>Mega</v>
      </c>
      <c r="H4" s="17" t="str">
        <f>IFERROR(__xludf.DUMMYFUNCTION("""COMPUTED_VALUE"""),"Jakarta")</f>
        <v>Jakarta</v>
      </c>
      <c r="I4" s="17" t="str">
        <f>IFERROR(__xludf.DUMMYFUNCTION("""COMPUTED_VALUE"""),"- FnB
- Lifestyle Male")</f>
        <v>- FnB
- Lifestyle Male</v>
      </c>
      <c r="J4" s="17"/>
      <c r="K4" s="20">
        <f>IFERROR(__xludf.DUMMYFUNCTION("""COMPUTED_VALUE"""),1000000.0)</f>
        <v>1000000</v>
      </c>
      <c r="L4" s="20">
        <f>IFERROR(__xludf.DUMMYFUNCTION("""COMPUTED_VALUE"""),1000000.0)</f>
        <v>1000000</v>
      </c>
      <c r="M4" s="20" t="str">
        <f>IFERROR(__xludf.DUMMYFUNCTION("""COMPUTED_VALUE"""),"FREE")</f>
        <v>FREE</v>
      </c>
      <c r="N4" s="17"/>
      <c r="O4" s="17"/>
      <c r="P4" s="20">
        <f>IFERROR(__xludf.DUMMYFUNCTION("""COMPUTED_VALUE"""),1.0E7)</f>
        <v>10000000</v>
      </c>
      <c r="Q4" s="20" t="str">
        <f>IFERROR(__xludf.DUMMYFUNCTION("""COMPUTED_VALUE"""),"FREE")</f>
        <v>FREE</v>
      </c>
      <c r="R4" s="20">
        <f>IFERROR(__xludf.DUMMYFUNCTION("""COMPUTED_VALUE"""),1.5E7)</f>
        <v>15000000</v>
      </c>
      <c r="S4" s="20">
        <f>IFERROR(__xludf.DUMMYFUNCTION("""COMPUTED_VALUE"""),2.0E7)</f>
        <v>20000000</v>
      </c>
      <c r="T4" s="20">
        <f>IFERROR(__xludf.DUMMYFUNCTION("""COMPUTED_VALUE"""),7000000.0)</f>
        <v>7000000</v>
      </c>
      <c r="U4" s="20">
        <f>IFERROR(__xludf.DUMMYFUNCTION("""COMPUTED_VALUE"""),7000000.0)</f>
        <v>7000000</v>
      </c>
      <c r="V4" s="20" t="str">
        <f>IFERROR(__xludf.DUMMYFUNCTION("""COMPUTED_VALUE"""),"FREE")</f>
        <v>FREE</v>
      </c>
      <c r="W4" s="20" t="str">
        <f>IFERROR(__xludf.DUMMYFUNCTION("""COMPUTED_VALUE"""),"FREE")</f>
        <v>FREE</v>
      </c>
      <c r="X4" s="20">
        <f>IFERROR(__xludf.DUMMYFUNCTION("""COMPUTED_VALUE"""),2500000.0)</f>
        <v>2500000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IFERROR(__xludf.DUMMYFUNCTION("""COMPUTED_VALUE"""),"willenlenn")</f>
        <v>willenlenn</v>
      </c>
      <c r="C5" s="23">
        <f>IFERROR(__xludf.DUMMYFUNCTION("""COMPUTED_VALUE"""),486000.0)</f>
        <v>486000</v>
      </c>
      <c r="D5" s="17" t="str">
        <f>IFERROR(__xludf.DUMMYFUNCTION("""COMPUTED_VALUE"""),"Mid")</f>
        <v>Mid</v>
      </c>
      <c r="E5" s="18" t="str">
        <f>IFERROR(__xludf.DUMMYFUNCTION("""COMPUTED_VALUE"""),"willenlen")</f>
        <v>willenlen</v>
      </c>
      <c r="F5" s="19">
        <f>IFERROR(__xludf.DUMMYFUNCTION("""COMPUTED_VALUE"""),2400000.0)</f>
        <v>2400000</v>
      </c>
      <c r="G5" s="17" t="str">
        <f>IFERROR(__xludf.DUMMYFUNCTION("""COMPUTED_VALUE"""),"Mega")</f>
        <v>Mega</v>
      </c>
      <c r="H5" s="17" t="str">
        <f>IFERROR(__xludf.DUMMYFUNCTION("""COMPUTED_VALUE"""),"Tangerang")</f>
        <v>Tangerang</v>
      </c>
      <c r="I5" s="17" t="str">
        <f>IFERROR(__xludf.DUMMYFUNCTION("""COMPUTED_VALUE"""),"- FnB")</f>
        <v>- FnB</v>
      </c>
      <c r="J5" s="20">
        <f>IFERROR(__xludf.DUMMYFUNCTION("""COMPUTED_VALUE"""),500000.0)</f>
        <v>500000</v>
      </c>
      <c r="K5" s="20">
        <f>IFERROR(__xludf.DUMMYFUNCTION("""COMPUTED_VALUE"""),500000.0)</f>
        <v>500000</v>
      </c>
      <c r="L5" s="20" t="str">
        <f>IFERROR(__xludf.DUMMYFUNCTION("""COMPUTED_VALUE"""),"Rp1,350,000 (3 story)")</f>
        <v>Rp1,350,000 (3 story)</v>
      </c>
      <c r="M5" s="20">
        <f>IFERROR(__xludf.DUMMYFUNCTION("""COMPUTED_VALUE"""),500000.0)</f>
        <v>500000</v>
      </c>
      <c r="N5" s="20">
        <f>IFERROR(__xludf.DUMMYFUNCTION("""COMPUTED_VALUE"""),4000000.0)</f>
        <v>4000000</v>
      </c>
      <c r="O5" s="17" t="str">
        <f>IFERROR(__xludf.DUMMYFUNCTION("""COMPUTED_VALUE"""),"+Rp500,000/slide")</f>
        <v>+Rp500,000/slide</v>
      </c>
      <c r="P5" s="20">
        <f>IFERROR(__xludf.DUMMYFUNCTION("""COMPUTED_VALUE"""),5000000.0)</f>
        <v>5000000</v>
      </c>
      <c r="Q5" s="20" t="str">
        <f>IFERROR(__xludf.DUMMYFUNCTION("""COMPUTED_VALUE"""),"FREE")</f>
        <v>FREE</v>
      </c>
      <c r="R5" s="20">
        <f>IFERROR(__xludf.DUMMYFUNCTION("""COMPUTED_VALUE"""),8000000.0)</f>
        <v>8000000</v>
      </c>
      <c r="S5" s="20">
        <f>IFERROR(__xludf.DUMMYFUNCTION("""COMPUTED_VALUE"""),1.0E7)</f>
        <v>10000000</v>
      </c>
      <c r="T5" s="20" t="str">
        <f>IFERROR(__xludf.DUMMYFUNCTION("""COMPUTED_VALUE"""),"Rp1,000,000/jam")</f>
        <v>Rp1,000,000/jam</v>
      </c>
      <c r="U5" s="21">
        <f>IFERROR(__xludf.DUMMYFUNCTION("""COMPUTED_VALUE"""),0.4)</f>
        <v>0.4</v>
      </c>
      <c r="V5" s="20" t="str">
        <f>IFERROR(__xludf.DUMMYFUNCTION("""COMPUTED_VALUE"""),"Free one month
Rp500,000/month")</f>
        <v>Free one month
Rp500,000/month</v>
      </c>
      <c r="W5" s="20" t="str">
        <f>IFERROR(__xludf.DUMMYFUNCTION("""COMPUTED_VALUE"""),"Rp500,000/month")</f>
        <v>Rp500,000/month</v>
      </c>
      <c r="X5" s="20" t="str">
        <f>IFERROR(__xludf.DUMMYFUNCTION("""COMPUTED_VALUE"""),"Jakarta Rp700,000
Tangerang Rp500,000")</f>
        <v>Jakarta Rp700,000
Tangerang Rp500,000</v>
      </c>
      <c r="Y5" s="20">
        <f>IFERROR(__xludf.DUMMYFUNCTION("""COMPUTED_VALUE"""),7000000.0)</f>
        <v>7000000</v>
      </c>
    </row>
    <row r="6">
      <c r="A6" s="17">
        <f>IFERROR(__xludf.DUMMYFUNCTION("""COMPUTED_VALUE"""),3.0)</f>
        <v>3</v>
      </c>
      <c r="B6" s="18" t="str">
        <f>IFERROR(__xludf.DUMMYFUNCTION("""COMPUTED_VALUE"""),"rizkeeeyyyyyyyy")</f>
        <v>rizkeeeyyyyyyyy</v>
      </c>
      <c r="C6" s="23">
        <f>IFERROR(__xludf.DUMMYFUNCTION("""COMPUTED_VALUE"""),303000.0)</f>
        <v>303000</v>
      </c>
      <c r="D6" s="17" t="str">
        <f>IFERROR(__xludf.DUMMYFUNCTION("""COMPUTED_VALUE"""),"Mid")</f>
        <v>Mid</v>
      </c>
      <c r="E6" s="18" t="str">
        <f>IFERROR(__xludf.DUMMYFUNCTION("""COMPUTED_VALUE"""),"rizkeeeyyyyyy")</f>
        <v>rizkeeeyyyyyy</v>
      </c>
      <c r="F6" s="19">
        <f>IFERROR(__xludf.DUMMYFUNCTION("""COMPUTED_VALUE"""),1200000.0)</f>
        <v>1200000</v>
      </c>
      <c r="G6" s="17" t="str">
        <f>IFERROR(__xludf.DUMMYFUNCTION("""COMPUTED_VALUE"""),"Mega")</f>
        <v>Mega</v>
      </c>
      <c r="H6" s="17" t="str">
        <f>IFERROR(__xludf.DUMMYFUNCTION("""COMPUTED_VALUE"""),"Tangerang Selatan")</f>
        <v>Tangerang Selatan</v>
      </c>
      <c r="I6" s="17" t="str">
        <f>IFERROR(__xludf.DUMMYFUNCTION("""COMPUTED_VALUE"""),"- FnB")</f>
        <v>- FnB</v>
      </c>
      <c r="J6" s="17"/>
      <c r="K6" s="20" t="str">
        <f>IFERROR(__xludf.DUMMYFUNCTION("""COMPUTED_VALUE"""),"Rp4,500,000 (20 detik)")</f>
        <v>Rp4,500,000 (20 detik)</v>
      </c>
      <c r="L6" s="20" t="str">
        <f>IFERROR(__xludf.DUMMYFUNCTION("""COMPUTED_VALUE"""),"Rp8,000,000 (3 slide, 15s/slide)")</f>
        <v>Rp8,000,000 (3 slide, 15s/slide)</v>
      </c>
      <c r="M6" s="20" t="str">
        <f>IFERROR(__xludf.DUMMYFUNCTION("""COMPUTED_VALUE"""),"FREE")</f>
        <v>FREE</v>
      </c>
      <c r="N6" s="17"/>
      <c r="O6" s="17"/>
      <c r="P6" s="20">
        <f>IFERROR(__xludf.DUMMYFUNCTION("""COMPUTED_VALUE"""),5500000.0)</f>
        <v>5500000</v>
      </c>
      <c r="Q6" s="20" t="str">
        <f>IFERROR(__xludf.DUMMYFUNCTION("""COMPUTED_VALUE"""),"FREE")</f>
        <v>FREE</v>
      </c>
      <c r="R6" s="20">
        <f>IFERROR(__xludf.DUMMYFUNCTION("""COMPUTED_VALUE"""),6000000.0)</f>
        <v>6000000</v>
      </c>
      <c r="S6" s="20">
        <f>IFERROR(__xludf.DUMMYFUNCTION("""COMPUTED_VALUE"""),9000000.0)</f>
        <v>9000000</v>
      </c>
      <c r="T6" s="17"/>
      <c r="U6" s="21">
        <f>IFERROR(__xludf.DUMMYFUNCTION("""COMPUTED_VALUE"""),0.5)</f>
        <v>0.5</v>
      </c>
      <c r="V6" s="20" t="str">
        <f>IFERROR(__xludf.DUMMYFUNCTION("""COMPUTED_VALUE"""),"FREE (if mirror)")</f>
        <v>FREE (if mirror)</v>
      </c>
      <c r="W6" s="20">
        <f>IFERROR(__xludf.DUMMYFUNCTION("""COMPUTED_VALUE"""),1000000.0)</f>
        <v>1000000</v>
      </c>
      <c r="X6" s="20">
        <f>IFERROR(__xludf.DUMMYFUNCTION("""COMPUTED_VALUE"""),1500000.0)</f>
        <v>1500000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IFERROR(__xludf.DUMMYFUNCTION("""COMPUTED_VALUE"""),"faridnuralimm_")</f>
        <v>faridnuralimm_</v>
      </c>
      <c r="C7" s="23">
        <f>IFERROR(__xludf.DUMMYFUNCTION("""COMPUTED_VALUE"""),303000.0)</f>
        <v>303000</v>
      </c>
      <c r="D7" s="17" t="str">
        <f>IFERROR(__xludf.DUMMYFUNCTION("""COMPUTED_VALUE"""),"Mid")</f>
        <v>Mid</v>
      </c>
      <c r="E7" s="18" t="str">
        <f>IFERROR(__xludf.DUMMYFUNCTION("""COMPUTED_VALUE"""),"aidnnn2")</f>
        <v>aidnnn2</v>
      </c>
      <c r="F7" s="23">
        <f>IFERROR(__xludf.DUMMYFUNCTION("""COMPUTED_VALUE"""),238100.0)</f>
        <v>238100</v>
      </c>
      <c r="G7" s="17" t="str">
        <f>IFERROR(__xludf.DUMMYFUNCTION("""COMPUTED_VALUE"""),"Mid")</f>
        <v>Mid</v>
      </c>
      <c r="H7" s="17" t="str">
        <f>IFERROR(__xludf.DUMMYFUNCTION("""COMPUTED_VALUE"""),"Bandung")</f>
        <v>Bandung</v>
      </c>
      <c r="I7" s="17" t="str">
        <f>IFERROR(__xludf.DUMMYFUNCTION("""COMPUTED_VALUE"""),"- Lifestyle Male
- Comedy
- FnB")</f>
        <v>- Lifestyle Male
- Comedy
- FnB</v>
      </c>
      <c r="J7" s="20">
        <f>IFERROR(__xludf.DUMMYFUNCTION("""COMPUTED_VALUE"""),500000.0)</f>
        <v>500000</v>
      </c>
      <c r="K7" s="20">
        <f>IFERROR(__xludf.DUMMYFUNCTION("""COMPUTED_VALUE"""),1500000.0)</f>
        <v>1500000</v>
      </c>
      <c r="L7" s="20">
        <f>IFERROR(__xludf.DUMMYFUNCTION("""COMPUTED_VALUE"""),2500000.0)</f>
        <v>2500000</v>
      </c>
      <c r="M7" s="20" t="str">
        <f>IFERROR(__xludf.DUMMYFUNCTION("""COMPUTED_VALUE"""),"FREE")</f>
        <v>FREE</v>
      </c>
      <c r="N7" s="20">
        <f>IFERROR(__xludf.DUMMYFUNCTION("""COMPUTED_VALUE"""),5000000.0)</f>
        <v>5000000</v>
      </c>
      <c r="O7" s="20" t="str">
        <f>IFERROR(__xludf.DUMMYFUNCTION("""COMPUTED_VALUE"""),"FREE")</f>
        <v>FREE</v>
      </c>
      <c r="P7" s="20">
        <f>IFERROR(__xludf.DUMMYFUNCTION("""COMPUTED_VALUE"""),7500000.0)</f>
        <v>7500000</v>
      </c>
      <c r="Q7" s="20">
        <f>IFERROR(__xludf.DUMMYFUNCTION("""COMPUTED_VALUE"""),2500000.0)</f>
        <v>2500000</v>
      </c>
      <c r="R7" s="20">
        <f>IFERROR(__xludf.DUMMYFUNCTION("""COMPUTED_VALUE"""),1.0E7)</f>
        <v>10000000</v>
      </c>
      <c r="S7" s="20">
        <f>IFERROR(__xludf.DUMMYFUNCTION("""COMPUTED_VALUE"""),1.2E7)</f>
        <v>12000000</v>
      </c>
      <c r="T7" s="20" t="str">
        <f>IFERROR(__xludf.DUMMYFUNCTION("""COMPUTED_VALUE"""),"Akun brand: Rp7.000.000
Akun sendiri: Rp5.000.000")</f>
        <v>Akun brand: Rp7.000.000
Akun sendiri: Rp5.000.000</v>
      </c>
      <c r="U7" s="17" t="str">
        <f>IFERROR(__xludf.DUMMYFUNCTION("""COMPUTED_VALUE"""),"100% rate")</f>
        <v>100% rate</v>
      </c>
      <c r="V7" s="20">
        <f>IFERROR(__xludf.DUMMYFUNCTION("""COMPUTED_VALUE"""),2500000.0)</f>
        <v>2500000</v>
      </c>
      <c r="W7" s="20" t="str">
        <f>IFERROR(__xludf.DUMMYFUNCTION("""COMPUTED_VALUE"""),"FREE")</f>
        <v>FREE</v>
      </c>
      <c r="X7" s="20">
        <f>IFERROR(__xludf.DUMMYFUNCTION("""COMPUTED_VALUE"""),6500000.0)</f>
        <v>6500000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IFERROR(__xludf.DUMMYFUNCTION("""COMPUTED_VALUE"""),"lordjajan")</f>
        <v>lordjajan</v>
      </c>
      <c r="C8" s="23">
        <f>IFERROR(__xludf.DUMMYFUNCTION("""COMPUTED_VALUE"""),267000.0)</f>
        <v>267000</v>
      </c>
      <c r="D8" s="17" t="str">
        <f>IFERROR(__xludf.DUMMYFUNCTION("""COMPUTED_VALUE"""),"Mid")</f>
        <v>Mid</v>
      </c>
      <c r="E8" s="18" t="str">
        <f>IFERROR(__xludf.DUMMYFUNCTION("""COMPUTED_VALUE"""),"lordjajanofficial")</f>
        <v>lordjajanofficial</v>
      </c>
      <c r="F8" s="19">
        <f>IFERROR(__xludf.DUMMYFUNCTION("""COMPUTED_VALUE"""),5500000.0)</f>
        <v>5500000</v>
      </c>
      <c r="G8" s="17" t="str">
        <f>IFERROR(__xludf.DUMMYFUNCTION("""COMPUTED_VALUE"""),"Mega")</f>
        <v>Mega</v>
      </c>
      <c r="H8" s="17" t="str">
        <f>IFERROR(__xludf.DUMMYFUNCTION("""COMPUTED_VALUE"""),"Jakarta")</f>
        <v>Jakarta</v>
      </c>
      <c r="I8" s="17" t="str">
        <f>IFERROR(__xludf.DUMMYFUNCTION("""COMPUTED_VALUE"""),"- FnB")</f>
        <v>- FnB</v>
      </c>
      <c r="J8" s="20">
        <f>IFERROR(__xludf.DUMMYFUNCTION("""COMPUTED_VALUE"""),300000.0)</f>
        <v>300000</v>
      </c>
      <c r="K8" s="17"/>
      <c r="L8" s="17"/>
      <c r="M8" s="17"/>
      <c r="N8" s="17"/>
      <c r="O8" s="17"/>
      <c r="P8" s="17"/>
      <c r="Q8" s="17"/>
      <c r="R8" s="17"/>
      <c r="S8" s="17"/>
      <c r="T8" s="20">
        <f>IFERROR(__xludf.DUMMYFUNCTION("""COMPUTED_VALUE"""),7000000.0)</f>
        <v>7000000</v>
      </c>
      <c r="U8" s="20">
        <f>IFERROR(__xludf.DUMMYFUNCTION("""COMPUTED_VALUE"""),5000000.0)</f>
        <v>5000000</v>
      </c>
      <c r="V8" s="20">
        <f>IFERROR(__xludf.DUMMYFUNCTION("""COMPUTED_VALUE"""),3000000.0)</f>
        <v>3000000</v>
      </c>
      <c r="W8" s="20">
        <f>IFERROR(__xludf.DUMMYFUNCTION("""COMPUTED_VALUE"""),1000000.0)</f>
        <v>1000000</v>
      </c>
      <c r="X8" s="20">
        <f>IFERROR(__xludf.DUMMYFUNCTION("""COMPUTED_VALUE"""),2000000.0)</f>
        <v>2000000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IFERROR(__xludf.DUMMYFUNCTION("""COMPUTED_VALUE"""),"sayalarimba")</f>
        <v>sayalarimba</v>
      </c>
      <c r="C9" s="23">
        <f>IFERROR(__xludf.DUMMYFUNCTION("""COMPUTED_VALUE"""),263000.0)</f>
        <v>263000</v>
      </c>
      <c r="D9" s="17" t="str">
        <f>IFERROR(__xludf.DUMMYFUNCTION("""COMPUTED_VALUE"""),"Mid")</f>
        <v>Mid</v>
      </c>
      <c r="E9" s="18" t="str">
        <f>IFERROR(__xludf.DUMMYFUNCTION("""COMPUTED_VALUE"""),"sayalarimba")</f>
        <v>sayalarimba</v>
      </c>
      <c r="F9" s="19">
        <f>IFERROR(__xludf.DUMMYFUNCTION("""COMPUTED_VALUE"""),1400000.0)</f>
        <v>1400000</v>
      </c>
      <c r="G9" s="17" t="str">
        <f>IFERROR(__xludf.DUMMYFUNCTION("""COMPUTED_VALUE"""),"Micro")</f>
        <v>Micro</v>
      </c>
      <c r="H9" s="17" t="str">
        <f>IFERROR(__xludf.DUMMYFUNCTION("""COMPUTED_VALUE"""),"Jakarta")</f>
        <v>Jakarta</v>
      </c>
      <c r="I9" s="17" t="str">
        <f>IFERROR(__xludf.DUMMYFUNCTION("""COMPUTED_VALUE"""),"- FnB")</f>
        <v>- FnB</v>
      </c>
      <c r="J9" s="20">
        <f>IFERROR(__xludf.DUMMYFUNCTION("""COMPUTED_VALUE"""),625000.0)</f>
        <v>625000</v>
      </c>
      <c r="K9" s="20">
        <f>IFERROR(__xludf.DUMMYFUNCTION("""COMPUTED_VALUE"""),800000.0)</f>
        <v>800000</v>
      </c>
      <c r="L9" s="20">
        <f>IFERROR(__xludf.DUMMYFUNCTION("""COMPUTED_VALUE"""),800000.0)</f>
        <v>800000</v>
      </c>
      <c r="M9" s="20" t="str">
        <f>IFERROR(__xludf.DUMMYFUNCTION("""COMPUTED_VALUE"""),"FREE")</f>
        <v>FREE</v>
      </c>
      <c r="N9" s="20">
        <f>IFERROR(__xludf.DUMMYFUNCTION("""COMPUTED_VALUE"""),2500000.0)</f>
        <v>2500000</v>
      </c>
      <c r="O9" s="20">
        <f>IFERROR(__xludf.DUMMYFUNCTION("""COMPUTED_VALUE"""),500000.0)</f>
        <v>500000</v>
      </c>
      <c r="P9" s="20">
        <f>IFERROR(__xludf.DUMMYFUNCTION("""COMPUTED_VALUE"""),6000000.0)</f>
        <v>6000000</v>
      </c>
      <c r="Q9" s="17"/>
      <c r="R9" s="20">
        <f>IFERROR(__xludf.DUMMYFUNCTION("""COMPUTED_VALUE"""),8000000.0)</f>
        <v>8000000</v>
      </c>
      <c r="S9" s="20">
        <f>IFERROR(__xludf.DUMMYFUNCTION("""COMPUTED_VALUE"""),4000000.0)</f>
        <v>4000000</v>
      </c>
      <c r="T9" s="20">
        <f>IFERROR(__xludf.DUMMYFUNCTION("""COMPUTED_VALUE"""),4000000.0)</f>
        <v>4000000</v>
      </c>
      <c r="U9" s="21">
        <f>IFERROR(__xludf.DUMMYFUNCTION("""COMPUTED_VALUE"""),1.0)</f>
        <v>1</v>
      </c>
      <c r="V9" s="20">
        <f>IFERROR(__xludf.DUMMYFUNCTION("""COMPUTED_VALUE"""),1000000.0)</f>
        <v>1000000</v>
      </c>
      <c r="W9" s="20">
        <f>IFERROR(__xludf.DUMMYFUNCTION("""COMPUTED_VALUE"""),500000.0)</f>
        <v>500000</v>
      </c>
      <c r="X9" s="20" t="str">
        <f>IFERROR(__xludf.DUMMYFUNCTION("""COMPUTED_VALUE"""),"Reels:
Rp8,000,000 (Jakarta)
Rp9,000,000 (Bodetabek)
Rp10,000,000 (Bandung)
TikTok:
Rp10,000,000 (Jakarta)
Rp11,000,000 (Bodtabek)
Rp12,000,000 (Bandung)
""")</f>
        <v>Reels:
Rp8,000,000 (Jakarta)
Rp9,000,000 (Bodetabek)
Rp10,000,000 (Bandung)
TikTok:
Rp10,000,000 (Jakarta)
Rp11,000,000 (Bodtabek)
Rp12,000,000 (Bandung)
"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IFERROR(__xludf.DUMMYFUNCTION("""COMPUTED_VALUE"""),"kulinernyaberdua")</f>
        <v>kulinernyaberdua</v>
      </c>
      <c r="C10" s="23">
        <f>IFERROR(__xludf.DUMMYFUNCTION("""COMPUTED_VALUE"""),196000.0)</f>
        <v>196000</v>
      </c>
      <c r="D10" s="17" t="str">
        <f>IFERROR(__xludf.DUMMYFUNCTION("""COMPUTED_VALUE"""),"Mid")</f>
        <v>Mid</v>
      </c>
      <c r="E10" s="18" t="str">
        <f>IFERROR(__xludf.DUMMYFUNCTION("""COMPUTED_VALUE"""),"kulinernyaber2")</f>
        <v>kulinernyaber2</v>
      </c>
      <c r="F10" s="23">
        <f>IFERROR(__xludf.DUMMYFUNCTION("""COMPUTED_VALUE"""),169600.0)</f>
        <v>169600</v>
      </c>
      <c r="G10" s="17" t="str">
        <f>IFERROR(__xludf.DUMMYFUNCTION("""COMPUTED_VALUE"""),"Mid")</f>
        <v>Mid</v>
      </c>
      <c r="H10" s="17" t="str">
        <f>IFERROR(__xludf.DUMMYFUNCTION("""COMPUTED_VALUE"""),"Jakarta")</f>
        <v>Jakarta</v>
      </c>
      <c r="I10" s="17" t="str">
        <f>IFERROR(__xludf.DUMMYFUNCTION("""COMPUTED_VALUE"""),"- FnB
- Place review")</f>
        <v>- FnB
- Place review</v>
      </c>
      <c r="J10" s="20" t="str">
        <f>IFERROR(__xludf.DUMMYFUNCTION("""COMPUTED_VALUE"""),"IG Story + Reels + TikTok: Rp1,500,000
IG Story + Reels + TikTok + Collab: Rp1.650.000")</f>
        <v>IG Story + Reels + TikTok: Rp1,500,000
IG Story + Reels + TikTok + Collab: Rp1.650.000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20">
        <f>IFERROR(__xludf.DUMMYFUNCTION("""COMPUTED_VALUE"""),250000.0)</f>
        <v>250000</v>
      </c>
      <c r="V10" s="17"/>
      <c r="W10" s="17"/>
      <c r="X10" s="17"/>
      <c r="Y10" s="17"/>
    </row>
    <row r="11">
      <c r="A11" s="17">
        <f>IFERROR(__xludf.DUMMYFUNCTION("""COMPUTED_VALUE"""),8.0)</f>
        <v>8</v>
      </c>
      <c r="B11" s="18" t="str">
        <f>IFERROR(__xludf.DUMMYFUNCTION("""COMPUTED_VALUE"""),"ficrafth")</f>
        <v>ficrafth</v>
      </c>
      <c r="C11" s="23">
        <f>IFERROR(__xludf.DUMMYFUNCTION("""COMPUTED_VALUE"""),77000.0)</f>
        <v>77000</v>
      </c>
      <c r="D11" s="17" t="str">
        <f>IFERROR(__xludf.DUMMYFUNCTION("""COMPUTED_VALUE"""),"Micro")</f>
        <v>Micro</v>
      </c>
      <c r="E11" s="18" t="str">
        <f>IFERROR(__xludf.DUMMYFUNCTION("""COMPUTED_VALUE"""),"ficrafth")</f>
        <v>ficrafth</v>
      </c>
      <c r="F11" s="19">
        <f>IFERROR(__xludf.DUMMYFUNCTION("""COMPUTED_VALUE"""),2200000.0)</f>
        <v>2200000</v>
      </c>
      <c r="G11" s="17" t="str">
        <f>IFERROR(__xludf.DUMMYFUNCTION("""COMPUTED_VALUE"""),"Mega")</f>
        <v>Mega</v>
      </c>
      <c r="H11" s="17" t="str">
        <f>IFERROR(__xludf.DUMMYFUNCTION("""COMPUTED_VALUE"""),"Jakarta")</f>
        <v>Jakarta</v>
      </c>
      <c r="I11" s="17" t="str">
        <f>IFERROR(__xludf.DUMMYFUNCTION("""COMPUTED_VALUE"""),"- Lifestyle Male
- Comedy
- FnB")</f>
        <v>- Lifestyle Male
- Comedy
- FnB</v>
      </c>
      <c r="J11" s="17"/>
      <c r="K11" s="20">
        <f>IFERROR(__xludf.DUMMYFUNCTION("""COMPUTED_VALUE"""),500000.0)</f>
        <v>500000</v>
      </c>
      <c r="L11" s="20">
        <f>IFERROR(__xludf.DUMMYFUNCTION("""COMPUTED_VALUE"""),1500000.0)</f>
        <v>1500000</v>
      </c>
      <c r="M11" s="20" t="str">
        <f>IFERROR(__xludf.DUMMYFUNCTION("""COMPUTED_VALUE"""),"FREE")</f>
        <v>FREE</v>
      </c>
      <c r="N11" s="20">
        <f>IFERROR(__xludf.DUMMYFUNCTION("""COMPUTED_VALUE"""),2500000.0)</f>
        <v>2500000</v>
      </c>
      <c r="O11" s="20">
        <f>IFERROR(__xludf.DUMMYFUNCTION("""COMPUTED_VALUE"""),3000000.0)</f>
        <v>3000000</v>
      </c>
      <c r="P11" s="20">
        <f>IFERROR(__xludf.DUMMYFUNCTION("""COMPUTED_VALUE"""),4000000.0)</f>
        <v>4000000</v>
      </c>
      <c r="Q11" s="20">
        <f>IFERROR(__xludf.DUMMYFUNCTION("""COMPUTED_VALUE"""),3000000.0)</f>
        <v>3000000</v>
      </c>
      <c r="R11" s="20" t="str">
        <f>IFERROR(__xludf.DUMMYFUNCTION("""COMPUTED_VALUE"""),"Rp7.000.000 - Rp10.000.000")</f>
        <v>Rp7.000.000 - Rp10.000.000</v>
      </c>
      <c r="S11" s="20">
        <f>IFERROR(__xludf.DUMMYFUNCTION("""COMPUTED_VALUE"""),1.2E7)</f>
        <v>12000000</v>
      </c>
      <c r="T11" s="20" t="str">
        <f>IFERROR(__xludf.DUMMYFUNCTION("""COMPUTED_VALUE"""),"Rp3.500.000 - Rp5.000.000")</f>
        <v>Rp3.500.000 - Rp5.000.000</v>
      </c>
      <c r="U11" s="20">
        <f>IFERROR(__xludf.DUMMYFUNCTION("""COMPUTED_VALUE"""),4000000.0)</f>
        <v>4000000</v>
      </c>
      <c r="V11" s="20">
        <f>IFERROR(__xludf.DUMMYFUNCTION("""COMPUTED_VALUE"""),1000000.0)</f>
        <v>1000000</v>
      </c>
      <c r="W11" s="20">
        <f>IFERROR(__xludf.DUMMYFUNCTION("""COMPUTED_VALUE"""),500000.0)</f>
        <v>500000</v>
      </c>
      <c r="X11" s="20" t="str">
        <f>IFERROR(__xludf.DUMMYFUNCTION("""COMPUTED_VALUE"""),"Rp1.500.000 - Rp2.000.000")</f>
        <v>Rp1.500.000 - Rp2.000.000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IFERROR(__xludf.DUMMYFUNCTION("""COMPUTED_VALUE"""),"rachma.fira")</f>
        <v>rachma.fira</v>
      </c>
      <c r="C12" s="23">
        <f>IFERROR(__xludf.DUMMYFUNCTION("""COMPUTED_VALUE"""),25600.0)</f>
        <v>25600</v>
      </c>
      <c r="D12" s="17" t="str">
        <f>IFERROR(__xludf.DUMMYFUNCTION("""COMPUTED_VALUE"""),"Micro")</f>
        <v>Micro</v>
      </c>
      <c r="E12" s="18" t="str">
        <f>IFERROR(__xludf.DUMMYFUNCTION("""COMPUTED_VALUE"""),"rachmafira12")</f>
        <v>rachmafira12</v>
      </c>
      <c r="F12" s="19">
        <f>IFERROR(__xludf.DUMMYFUNCTION("""COMPUTED_VALUE"""),1100000.0)</f>
        <v>1100000</v>
      </c>
      <c r="G12" s="17" t="str">
        <f>IFERROR(__xludf.DUMMYFUNCTION("""COMPUTED_VALUE"""),"Mega")</f>
        <v>Mega</v>
      </c>
      <c r="H12" s="17" t="str">
        <f>IFERROR(__xludf.DUMMYFUNCTION("""COMPUTED_VALUE"""),"Jogjakarta")</f>
        <v>Jogjakarta</v>
      </c>
      <c r="I12" s="17" t="str">
        <f>IFERROR(__xludf.DUMMYFUNCTION("""COMPUTED_VALUE"""),"- FnB")</f>
        <v>- FnB</v>
      </c>
      <c r="J12" s="20">
        <f>IFERROR(__xludf.DUMMYFUNCTION("""COMPUTED_VALUE"""),150000.0)</f>
        <v>150000</v>
      </c>
      <c r="K12" s="20">
        <f>IFERROR(__xludf.DUMMYFUNCTION("""COMPUTED_VALUE"""),150000.0)</f>
        <v>150000</v>
      </c>
      <c r="L12" s="20">
        <f>IFERROR(__xludf.DUMMYFUNCTION("""COMPUTED_VALUE"""),200000.0)</f>
        <v>200000</v>
      </c>
      <c r="M12" s="20" t="str">
        <f>IFERROR(__xludf.DUMMYFUNCTION("""COMPUTED_VALUE"""),"FREE")</f>
        <v>FREE</v>
      </c>
      <c r="N12" s="20">
        <f>IFERROR(__xludf.DUMMYFUNCTION("""COMPUTED_VALUE"""),200000.0)</f>
        <v>200000</v>
      </c>
      <c r="O12" s="20">
        <f>IFERROR(__xludf.DUMMYFUNCTION("""COMPUTED_VALUE"""),300000.0)</f>
        <v>300000</v>
      </c>
      <c r="P12" s="20">
        <f>IFERROR(__xludf.DUMMYFUNCTION("""COMPUTED_VALUE"""),800000.0)</f>
        <v>800000</v>
      </c>
      <c r="Q12" s="20" t="str">
        <f>IFERROR(__xludf.DUMMYFUNCTION("""COMPUTED_VALUE"""),"FREE")</f>
        <v>FREE</v>
      </c>
      <c r="R12" s="20">
        <f>IFERROR(__xludf.DUMMYFUNCTION("""COMPUTED_VALUE"""),2800000.0)</f>
        <v>2800000</v>
      </c>
      <c r="S12" s="20">
        <f>IFERROR(__xludf.DUMMYFUNCTION("""COMPUTED_VALUE"""),3000000.0)</f>
        <v>3000000</v>
      </c>
      <c r="T12" s="20">
        <f>IFERROR(__xludf.DUMMYFUNCTION("""COMPUTED_VALUE"""),600000.0)</f>
        <v>600000</v>
      </c>
      <c r="U12" s="20">
        <f>IFERROR(__xludf.DUMMYFUNCTION("""COMPUTED_VALUE"""),500000.0)</f>
        <v>500000</v>
      </c>
      <c r="V12" s="20">
        <f>IFERROR(__xludf.DUMMYFUNCTION("""COMPUTED_VALUE"""),350000.0)</f>
        <v>350000</v>
      </c>
      <c r="W12" s="20" t="str">
        <f>IFERROR(__xludf.DUMMYFUNCTION("""COMPUTED_VALUE"""),"FREE")</f>
        <v>FREE</v>
      </c>
      <c r="X12" s="20">
        <f>IFERROR(__xludf.DUMMYFUNCTION("""COMPUTED_VALUE"""),800000.0)</f>
        <v>800000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IFERROR(__xludf.DUMMYFUNCTION("""COMPUTED_VALUE"""),"rifaeny0")</f>
        <v>rifaeny0</v>
      </c>
      <c r="C13" s="23">
        <f>IFERROR(__xludf.DUMMYFUNCTION("""COMPUTED_VALUE"""),11500.0)</f>
        <v>11500</v>
      </c>
      <c r="D13" s="17" t="str">
        <f>IFERROR(__xludf.DUMMYFUNCTION("""COMPUTED_VALUE"""),"Micro")</f>
        <v>Micro</v>
      </c>
      <c r="E13" s="18" t="str">
        <f>IFERROR(__xludf.DUMMYFUNCTION("""COMPUTED_VALUE"""),"rifani665")</f>
        <v>rifani665</v>
      </c>
      <c r="F13" s="23">
        <f>IFERROR(__xludf.DUMMYFUNCTION("""COMPUTED_VALUE"""),240800.0)</f>
        <v>240800</v>
      </c>
      <c r="G13" s="17" t="str">
        <f>IFERROR(__xludf.DUMMYFUNCTION("""COMPUTED_VALUE"""),"Mid")</f>
        <v>Mid</v>
      </c>
      <c r="H13" s="17" t="str">
        <f>IFERROR(__xludf.DUMMYFUNCTION("""COMPUTED_VALUE"""),"Jakarta")</f>
        <v>Jakarta</v>
      </c>
      <c r="I13" s="17" t="str">
        <f>IFERROR(__xludf.DUMMYFUNCTION("""COMPUTED_VALUE"""),"- FnB
- Lifestyle Female
- Place review")</f>
        <v>- FnB
- Lifestyle Female
- Place review</v>
      </c>
      <c r="J13" s="20">
        <f>IFERROR(__xludf.DUMMYFUNCTION("""COMPUTED_VALUE"""),200000.0)</f>
        <v>200000</v>
      </c>
      <c r="K13" s="20">
        <f>IFERROR(__xludf.DUMMYFUNCTION("""COMPUTED_VALUE"""),500000.0)</f>
        <v>500000</v>
      </c>
      <c r="L13" s="20">
        <f>IFERROR(__xludf.DUMMYFUNCTION("""COMPUTED_VALUE"""),1300000.0)</f>
        <v>1300000</v>
      </c>
      <c r="M13" s="20">
        <f>IFERROR(__xludf.DUMMYFUNCTION("""COMPUTED_VALUE"""),200000.0)</f>
        <v>200000</v>
      </c>
      <c r="N13" s="20">
        <f>IFERROR(__xludf.DUMMYFUNCTION("""COMPUTED_VALUE"""),1500000.0)</f>
        <v>1500000</v>
      </c>
      <c r="O13" s="20">
        <f>IFERROR(__xludf.DUMMYFUNCTION("""COMPUTED_VALUE"""),1500000.0)</f>
        <v>1500000</v>
      </c>
      <c r="P13" s="20">
        <f>IFERROR(__xludf.DUMMYFUNCTION("""COMPUTED_VALUE"""),2000000.0)</f>
        <v>2000000</v>
      </c>
      <c r="Q13" s="20" t="str">
        <f>IFERROR(__xludf.DUMMYFUNCTION("""COMPUTED_VALUE"""),"FREE")</f>
        <v>FREE</v>
      </c>
      <c r="R13" s="20">
        <f>IFERROR(__xludf.DUMMYFUNCTION("""COMPUTED_VALUE"""),3500000.0)</f>
        <v>3500000</v>
      </c>
      <c r="S13" s="20">
        <f>IFERROR(__xludf.DUMMYFUNCTION("""COMPUTED_VALUE"""),4200000.0)</f>
        <v>4200000</v>
      </c>
      <c r="T13" s="20">
        <f>IFERROR(__xludf.DUMMYFUNCTION("""COMPUTED_VALUE"""),5000000.0)</f>
        <v>5000000</v>
      </c>
      <c r="U13" s="21">
        <f>IFERROR(__xludf.DUMMYFUNCTION("""COMPUTED_VALUE"""),1.0)</f>
        <v>1</v>
      </c>
      <c r="V13" s="21">
        <f>IFERROR(__xludf.DUMMYFUNCTION("""COMPUTED_VALUE"""),0.3)</f>
        <v>0.3</v>
      </c>
      <c r="W13" s="20">
        <f>IFERROR(__xludf.DUMMYFUNCTION("""COMPUTED_VALUE"""),500000.0)</f>
        <v>500000</v>
      </c>
      <c r="X13" s="20">
        <f>IFERROR(__xludf.DUMMYFUNCTION("""COMPUTED_VALUE"""),1000000.0)</f>
        <v>1000000</v>
      </c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IFERROR(__xludf.DUMMYFUNCTION("""COMPUTED_VALUE"""),"kezhialverta")</f>
        <v>kezhialverta</v>
      </c>
      <c r="C14" s="23">
        <f>IFERROR(__xludf.DUMMYFUNCTION("""COMPUTED_VALUE"""),1962.0)</f>
        <v>1962</v>
      </c>
      <c r="D14" s="17" t="str">
        <f>IFERROR(__xludf.DUMMYFUNCTION("""COMPUTED_VALUE"""),"Nano")</f>
        <v>Nano</v>
      </c>
      <c r="E14" s="18" t="str">
        <f>IFERROR(__xludf.DUMMYFUNCTION("""COMPUTED_VALUE"""),"kezhialverta")</f>
        <v>kezhialverta</v>
      </c>
      <c r="F14" s="23">
        <f>IFERROR(__xludf.DUMMYFUNCTION("""COMPUTED_VALUE"""),251700.0)</f>
        <v>251700</v>
      </c>
      <c r="G14" s="17" t="str">
        <f>IFERROR(__xludf.DUMMYFUNCTION("""COMPUTED_VALUE"""),"Mid")</f>
        <v>Mid</v>
      </c>
      <c r="H14" s="17" t="str">
        <f>IFERROR(__xludf.DUMMYFUNCTION("""COMPUTED_VALUE"""),"Jakarta")</f>
        <v>Jakarta</v>
      </c>
      <c r="I14" s="17" t="str">
        <f>IFERROR(__xludf.DUMMYFUNCTION("""COMPUTED_VALUE"""),"- FnB
- Place review")</f>
        <v>- FnB
- Place review</v>
      </c>
      <c r="J14" s="17"/>
      <c r="K14" s="17"/>
      <c r="L14" s="17"/>
      <c r="M14" s="17"/>
      <c r="N14" s="17"/>
      <c r="O14" s="17"/>
      <c r="P14" s="20">
        <f>IFERROR(__xludf.DUMMYFUNCTION("""COMPUTED_VALUE"""),250000.0)</f>
        <v>250000</v>
      </c>
      <c r="Q14" s="20" t="str">
        <f>IFERROR(__xludf.DUMMYFUNCTION("""COMPUTED_VALUE"""),"FREE")</f>
        <v>FREE</v>
      </c>
      <c r="R14" s="20">
        <f>IFERROR(__xludf.DUMMYFUNCTION("""COMPUTED_VALUE"""),750000.0)</f>
        <v>750000</v>
      </c>
      <c r="S14" s="20">
        <f>IFERROR(__xludf.DUMMYFUNCTION("""COMPUTED_VALUE"""),975000.0)</f>
        <v>975000</v>
      </c>
      <c r="T14" s="17"/>
      <c r="U14" s="20">
        <f>IFERROR(__xludf.DUMMYFUNCTION("""COMPUTED_VALUE"""),150000.0)</f>
        <v>150000</v>
      </c>
      <c r="V14" s="20" t="str">
        <f>IFERROR(__xludf.DUMMYFUNCTION("""COMPUTED_VALUE"""),"menyesuaikan")</f>
        <v>menyesuaikan</v>
      </c>
      <c r="W14" s="20" t="str">
        <f>IFERROR(__xludf.DUMMYFUNCTION("""COMPUTED_VALUE"""),"FREE")</f>
        <v>FREE</v>
      </c>
      <c r="X14" s="20" t="str">
        <f>IFERROR(__xludf.DUMMYFUNCTION("""COMPUTED_VALUE"""),"menyesuaikan")</f>
        <v>menyesuaikan</v>
      </c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IFERROR(__xludf.DUMMYFUNCTION("""COMPUTED_VALUE"""),"@maudyyyttt")</f>
        <v>@maudyyyttt</v>
      </c>
      <c r="C15" s="23">
        <f>IFERROR(__xludf.DUMMYFUNCTION("""COMPUTED_VALUE"""),155000.0)</f>
        <v>155000</v>
      </c>
      <c r="D15" s="17" t="str">
        <f>IFERROR(__xludf.DUMMYFUNCTION("""COMPUTED_VALUE"""),"Mid")</f>
        <v>Mid</v>
      </c>
      <c r="E15" s="18" t="str">
        <f>IFERROR(__xludf.DUMMYFUNCTION("""COMPUTED_VALUE"""),"@maudyytt")</f>
        <v>@maudyytt</v>
      </c>
      <c r="F15" s="19">
        <f>IFERROR(__xludf.DUMMYFUNCTION("""COMPUTED_VALUE"""),2800000.0)</f>
        <v>2800000</v>
      </c>
      <c r="G15" s="17" t="str">
        <f>IFERROR(__xludf.DUMMYFUNCTION("""COMPUTED_VALUE"""),"Mega")</f>
        <v>Mega</v>
      </c>
      <c r="H15" s="17" t="str">
        <f>IFERROR(__xludf.DUMMYFUNCTION("""COMPUTED_VALUE"""),"Jakarta")</f>
        <v>Jakarta</v>
      </c>
      <c r="I15" s="17" t="str">
        <f>IFERROR(__xludf.DUMMYFUNCTION("""COMPUTED_VALUE"""),"- FnB
- Place review")</f>
        <v>- FnB
- Place review</v>
      </c>
      <c r="J15" s="17"/>
      <c r="K15" s="20">
        <f>IFERROR(__xludf.DUMMYFUNCTION("""COMPUTED_VALUE"""),1000000.0)</f>
        <v>1000000</v>
      </c>
      <c r="L15" s="17"/>
      <c r="M15" s="20">
        <f>IFERROR(__xludf.DUMMYFUNCTION("""COMPUTED_VALUE"""),500000.0)</f>
        <v>500000</v>
      </c>
      <c r="N15" s="17"/>
      <c r="O15" s="17"/>
      <c r="P15" s="20">
        <f>IFERROR(__xludf.DUMMYFUNCTION("""COMPUTED_VALUE"""),5000000.0)</f>
        <v>5000000</v>
      </c>
      <c r="Q15" s="17"/>
      <c r="R15" s="20">
        <f>IFERROR(__xludf.DUMMYFUNCTION("""COMPUTED_VALUE"""),7000000.0)</f>
        <v>7000000</v>
      </c>
      <c r="S15" s="20">
        <f>IFERROR(__xludf.DUMMYFUNCTION("""COMPUTED_VALUE"""),9000000.0)</f>
        <v>9000000</v>
      </c>
      <c r="T15" s="17" t="str">
        <f>IFERROR(__xludf.DUMMYFUNCTION("""COMPUTED_VALUE"""),"")</f>
        <v/>
      </c>
      <c r="U15" s="20">
        <f>IFERROR(__xludf.DUMMYFUNCTION("""COMPUTED_VALUE"""),2000000.0)</f>
        <v>2000000</v>
      </c>
      <c r="V15" s="17"/>
      <c r="W15" s="20">
        <f>IFERROR(__xludf.DUMMYFUNCTION("""COMPUTED_VALUE"""),2000000.0)</f>
        <v>2000000</v>
      </c>
      <c r="X15" s="20">
        <f>IFERROR(__xludf.DUMMYFUNCTION("""COMPUTED_VALUE"""),8000000.0)</f>
        <v>8000000</v>
      </c>
      <c r="Y15" s="17"/>
    </row>
    <row r="16">
      <c r="A16" s="17">
        <f>IFERROR(__xludf.DUMMYFUNCTION("""COMPUTED_VALUE"""),13.0)</f>
        <v>13</v>
      </c>
      <c r="B16" s="18" t="str">
        <f>IFERROR(__xludf.DUMMYFUNCTION("""COMPUTED_VALUE"""),"@kuliner_bekasi")</f>
        <v>@kuliner_bekasi</v>
      </c>
      <c r="C16" s="23">
        <f>IFERROR(__xludf.DUMMYFUNCTION("""COMPUTED_VALUE"""),234000.0)</f>
        <v>234000</v>
      </c>
      <c r="D16" s="17" t="str">
        <f>IFERROR(__xludf.DUMMYFUNCTION("""COMPUTED_VALUE"""),"Mid")</f>
        <v>Mid</v>
      </c>
      <c r="E16" s="18" t="str">
        <f>IFERROR(__xludf.DUMMYFUNCTION("""COMPUTED_VALUE"""),"@kuliner_bks")</f>
        <v>@kuliner_bks</v>
      </c>
      <c r="F16" s="23">
        <f>IFERROR(__xludf.DUMMYFUNCTION("""COMPUTED_VALUE"""),130700.0)</f>
        <v>130700</v>
      </c>
      <c r="G16" s="17" t="str">
        <f>IFERROR(__xludf.DUMMYFUNCTION("""COMPUTED_VALUE"""),"Mid")</f>
        <v>Mid</v>
      </c>
      <c r="H16" s="17" t="str">
        <f>IFERROR(__xludf.DUMMYFUNCTION("""COMPUTED_VALUE"""),"Bekasi")</f>
        <v>Bekasi</v>
      </c>
      <c r="I16" s="17" t="str">
        <f>IFERROR(__xludf.DUMMYFUNCTION("""COMPUTED_VALUE"""),"- FnB")</f>
        <v>- FnB</v>
      </c>
      <c r="J16" s="17"/>
      <c r="K16" s="20" t="str">
        <f>IFERROR(__xludf.DUMMYFUNCTION("""COMPUTED_VALUE"""),"Reels Mirror TikTok + IG Story: Rp2,200,000")</f>
        <v>Reels Mirror TikTok + IG Story: Rp2,200,000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>
        <f>IFERROR(__xludf.DUMMYFUNCTION("""COMPUTED_VALUE"""),14.0)</f>
        <v>14</v>
      </c>
      <c r="B17" s="18" t="str">
        <f>IFERROR(__xludf.DUMMYFUNCTION("""COMPUTED_VALUE"""),"febignwn")</f>
        <v>febignwn</v>
      </c>
      <c r="C17" s="23">
        <f>IFERROR(__xludf.DUMMYFUNCTION("""COMPUTED_VALUE"""),60000.0)</f>
        <v>60000</v>
      </c>
      <c r="D17" s="17" t="str">
        <f>IFERROR(__xludf.DUMMYFUNCTION("""COMPUTED_VALUE"""),"Micro")</f>
        <v>Micro</v>
      </c>
      <c r="E17" s="18" t="str">
        <f>IFERROR(__xludf.DUMMYFUNCTION("""COMPUTED_VALUE"""),"febignwn")</f>
        <v>febignwn</v>
      </c>
      <c r="F17" s="23">
        <f>IFERROR(__xludf.DUMMYFUNCTION("""COMPUTED_VALUE"""),249000.0)</f>
        <v>249000</v>
      </c>
      <c r="G17" s="17" t="str">
        <f>IFERROR(__xludf.DUMMYFUNCTION("""COMPUTED_VALUE"""),"Mid")</f>
        <v>Mid</v>
      </c>
      <c r="H17" s="17" t="str">
        <f>IFERROR(__xludf.DUMMYFUNCTION("""COMPUTED_VALUE"""),"Jakarta")</f>
        <v>Jakarta</v>
      </c>
      <c r="I17" s="17" t="str">
        <f>IFERROR(__xludf.DUMMYFUNCTION("""COMPUTED_VALUE"""),"- FnB
- Place Review")</f>
        <v>- FnB
- Place Review</v>
      </c>
      <c r="J17" s="20">
        <f>IFERROR(__xludf.DUMMYFUNCTION("""COMPUTED_VALUE"""),850000.0)</f>
        <v>850000</v>
      </c>
      <c r="K17" s="20">
        <f>IFERROR(__xludf.DUMMYFUNCTION("""COMPUTED_VALUE"""),450000.0)</f>
        <v>450000</v>
      </c>
      <c r="L17" s="20">
        <f>IFERROR(__xludf.DUMMYFUNCTION("""COMPUTED_VALUE"""),800000.0)</f>
        <v>800000</v>
      </c>
      <c r="M17" s="20" t="str">
        <f>IFERROR(__xludf.DUMMYFUNCTION("""COMPUTED_VALUE"""),"FREE")</f>
        <v>FREE</v>
      </c>
      <c r="N17" s="20">
        <f>IFERROR(__xludf.DUMMYFUNCTION("""COMPUTED_VALUE"""),600000.0)</f>
        <v>600000</v>
      </c>
      <c r="O17" s="20">
        <f>IFERROR(__xludf.DUMMYFUNCTION("""COMPUTED_VALUE"""),900000.0)</f>
        <v>900000</v>
      </c>
      <c r="P17" s="20">
        <f>IFERROR(__xludf.DUMMYFUNCTION("""COMPUTED_VALUE"""),2300000.0)</f>
        <v>2300000</v>
      </c>
      <c r="Q17" s="20" t="str">
        <f>IFERROR(__xludf.DUMMYFUNCTION("""COMPUTED_VALUE"""),"FREE")</f>
        <v>FREE</v>
      </c>
      <c r="R17" s="17"/>
      <c r="S17" s="20">
        <f>IFERROR(__xludf.DUMMYFUNCTION("""COMPUTED_VALUE"""),2800000.0)</f>
        <v>2800000</v>
      </c>
      <c r="T17" s="17"/>
      <c r="U17" s="20">
        <f>IFERROR(__xludf.DUMMYFUNCTION("""COMPUTED_VALUE"""),500000.0)</f>
        <v>500000</v>
      </c>
      <c r="V17" s="17"/>
      <c r="W17" s="20" t="str">
        <f>IFERROR(__xludf.DUMMYFUNCTION("""COMPUTED_VALUE"""),"FREE")</f>
        <v>FREE</v>
      </c>
      <c r="X17" s="20">
        <f>IFERROR(__xludf.DUMMYFUNCTION("""COMPUTED_VALUE"""),500000.0)</f>
        <v>500000</v>
      </c>
      <c r="Y17" s="17"/>
    </row>
    <row r="18">
      <c r="A18" s="17">
        <f>IFERROR(__xludf.DUMMYFUNCTION("""COMPUTED_VALUE"""),15.0)</f>
        <v>15</v>
      </c>
      <c r="B18" s="18" t="str">
        <f>IFERROR(__xludf.DUMMYFUNCTION("""COMPUTED_VALUE"""),"renaldfadli")</f>
        <v>renaldfadli</v>
      </c>
      <c r="C18" s="19">
        <f>IFERROR(__xludf.DUMMYFUNCTION("""COMPUTED_VALUE"""),1900000.0)</f>
        <v>1900000</v>
      </c>
      <c r="D18" s="17" t="str">
        <f>IFERROR(__xludf.DUMMYFUNCTION("""COMPUTED_VALUE"""),"Mega")</f>
        <v>Mega</v>
      </c>
      <c r="E18" s="24" t="str">
        <f>IFERROR(__xludf.DUMMYFUNCTION("""COMPUTED_VALUE"""),"mahasiswagendut")</f>
        <v>mahasiswagendut</v>
      </c>
      <c r="F18" s="19">
        <f>IFERROR(__xludf.DUMMYFUNCTION("""COMPUTED_VALUE"""),3300000.0)</f>
        <v>3300000</v>
      </c>
      <c r="G18" s="17" t="str">
        <f>IFERROR(__xludf.DUMMYFUNCTION("""COMPUTED_VALUE"""),"Mega")</f>
        <v>Mega</v>
      </c>
      <c r="H18" s="17" t="str">
        <f>IFERROR(__xludf.DUMMYFUNCTION("""COMPUTED_VALUE"""),"Jakarta")</f>
        <v>Jakarta</v>
      </c>
      <c r="I18" s="17" t="str">
        <f>IFERROR(__xludf.DUMMYFUNCTION("""COMPUTED_VALUE"""),"- FnB
- Lifestyle Male
- Entrepreneur")</f>
        <v>- FnB
- Lifestyle Male
- Entrepreneur</v>
      </c>
      <c r="J18" s="17"/>
      <c r="K18" s="17"/>
      <c r="L18" s="20">
        <f>IFERROR(__xludf.DUMMYFUNCTION("""COMPUTED_VALUE"""),8000000.0)</f>
        <v>8000000</v>
      </c>
      <c r="M18" s="17"/>
      <c r="N18" s="17"/>
      <c r="O18" s="20">
        <f>IFERROR(__xludf.DUMMYFUNCTION("""COMPUTED_VALUE"""),1.2E7)</f>
        <v>12000000</v>
      </c>
      <c r="P18" s="20">
        <f>IFERROR(__xludf.DUMMYFUNCTION("""COMPUTED_VALUE"""),1.5E7)</f>
        <v>15000000</v>
      </c>
      <c r="Q18" s="17"/>
      <c r="R18" s="20">
        <f>IFERROR(__xludf.DUMMYFUNCTION("""COMPUTED_VALUE"""),1.7E7)</f>
        <v>17000000</v>
      </c>
      <c r="S18" s="20">
        <f>IFERROR(__xludf.DUMMYFUNCTION("""COMPUTED_VALUE"""),2.6E7)</f>
        <v>26000000</v>
      </c>
      <c r="T18" s="17"/>
      <c r="U18" s="20">
        <f>IFERROR(__xludf.DUMMYFUNCTION("""COMPUTED_VALUE"""),1.0E7)</f>
        <v>10000000</v>
      </c>
      <c r="V18" s="20">
        <f>IFERROR(__xludf.DUMMYFUNCTION("""COMPUTED_VALUE"""),1000000.0)</f>
        <v>1000000</v>
      </c>
      <c r="W18" s="17"/>
      <c r="X18" s="20">
        <f>IFERROR(__xludf.DUMMYFUNCTION("""COMPUTED_VALUE"""),4000000.0)</f>
        <v>4000000</v>
      </c>
      <c r="Y18" s="17"/>
    </row>
    <row r="19">
      <c r="A19" s="17">
        <f>IFERROR(__xludf.DUMMYFUNCTION("""COMPUTED_VALUE"""),16.0)</f>
        <v>16</v>
      </c>
      <c r="B19" s="18" t="str">
        <f>IFERROR(__xludf.DUMMYFUNCTION("""COMPUTED_VALUE"""),"anak.kuliner")</f>
        <v>anak.kuliner</v>
      </c>
      <c r="C19" s="23">
        <f>IFERROR(__xludf.DUMMYFUNCTION("""COMPUTED_VALUE"""),716000.0)</f>
        <v>716000</v>
      </c>
      <c r="D19" s="17" t="str">
        <f>IFERROR(__xludf.DUMMYFUNCTION("""COMPUTED_VALUE"""),"Macro")</f>
        <v>Macro</v>
      </c>
      <c r="E19" s="24" t="str">
        <f>IFERROR(__xludf.DUMMYFUNCTION("""COMPUTED_VALUE"""),"anakkuliner")</f>
        <v>anakkuliner</v>
      </c>
      <c r="F19" s="23">
        <f>IFERROR(__xludf.DUMMYFUNCTION("""COMPUTED_VALUE"""),518100.0)</f>
        <v>518100</v>
      </c>
      <c r="G19" s="17" t="str">
        <f>IFERROR(__xludf.DUMMYFUNCTION("""COMPUTED_VALUE"""),"Macro")</f>
        <v>Macro</v>
      </c>
      <c r="H19" s="17" t="str">
        <f>IFERROR(__xludf.DUMMYFUNCTION("""COMPUTED_VALUE"""),"Tangerang")</f>
        <v>Tangerang</v>
      </c>
      <c r="I19" s="17" t="str">
        <f>IFERROR(__xludf.DUMMYFUNCTION("""COMPUTED_VALUE"""),"- FnB
- Place Review")</f>
        <v>- FnB
- Place Review</v>
      </c>
      <c r="J19" s="17"/>
      <c r="K19" s="17"/>
      <c r="L19" s="17"/>
      <c r="M19" s="17"/>
      <c r="N19" s="17"/>
      <c r="O19" s="17"/>
      <c r="P19" s="20">
        <f>IFERROR(__xludf.DUMMYFUNCTION("""COMPUTED_VALUE"""),1.8E7)</f>
        <v>18000000</v>
      </c>
      <c r="Q19" s="17"/>
      <c r="R19" s="20">
        <f>IFERROR(__xludf.DUMMYFUNCTION("""COMPUTED_VALUE"""),1.8E7)</f>
        <v>18000000</v>
      </c>
      <c r="S19" s="20">
        <f>IFERROR(__xludf.DUMMYFUNCTION("""COMPUTED_VALUE"""),1000000.0)</f>
        <v>1000000</v>
      </c>
      <c r="T19" s="17"/>
      <c r="U19" s="17"/>
      <c r="V19" s="17"/>
      <c r="W19" s="17"/>
      <c r="X19" s="17"/>
      <c r="Y19" s="17"/>
    </row>
    <row r="20">
      <c r="A20" s="17">
        <f>IFERROR(__xludf.DUMMYFUNCTION("""COMPUTED_VALUE"""),17.0)</f>
        <v>17</v>
      </c>
      <c r="B20" s="18" t="str">
        <f>IFERROR(__xludf.DUMMYFUNCTION("""COMPUTED_VALUE"""),"ayuwisya")</f>
        <v>ayuwisya</v>
      </c>
      <c r="C20" s="23">
        <f>IFERROR(__xludf.DUMMYFUNCTION("""COMPUTED_VALUE"""),497000.0)</f>
        <v>497000</v>
      </c>
      <c r="D20" s="17" t="str">
        <f>IFERROR(__xludf.DUMMYFUNCTION("""COMPUTED_VALUE"""),"Mid")</f>
        <v>Mid</v>
      </c>
      <c r="E20" s="24" t="str">
        <f>IFERROR(__xludf.DUMMYFUNCTION("""COMPUTED_VALUE"""),"ayuwisya666")</f>
        <v>ayuwisya666</v>
      </c>
      <c r="F20" s="19">
        <f>IFERROR(__xludf.DUMMYFUNCTION("""COMPUTED_VALUE"""),3700000.0)</f>
        <v>3700000</v>
      </c>
      <c r="G20" s="17" t="str">
        <f>IFERROR(__xludf.DUMMYFUNCTION("""COMPUTED_VALUE"""),"Mega")</f>
        <v>Mega</v>
      </c>
      <c r="H20" s="17" t="str">
        <f>IFERROR(__xludf.DUMMYFUNCTION("""COMPUTED_VALUE"""),"Jakarta")</f>
        <v>Jakarta</v>
      </c>
      <c r="I20" s="17" t="str">
        <f>IFERROR(__xludf.DUMMYFUNCTION("""COMPUTED_VALUE"""),"FnB")</f>
        <v>FnB</v>
      </c>
      <c r="J20" s="17"/>
      <c r="K20" s="20">
        <f>IFERROR(__xludf.DUMMYFUNCTION("""COMPUTED_VALUE"""),2000000.0)</f>
        <v>2000000</v>
      </c>
      <c r="L20" s="20" t="str">
        <f>IFERROR(__xludf.DUMMYFUNCTION("""COMPUTED_VALUE"""),"Rp6,000,000 (Inc. Tap Link)")</f>
        <v>Rp6,000,000 (Inc. Tap Link)</v>
      </c>
      <c r="M20" s="20">
        <f>IFERROR(__xludf.DUMMYFUNCTION("""COMPUTED_VALUE"""),1000000.0)</f>
        <v>1000000</v>
      </c>
      <c r="N20" s="20">
        <f>IFERROR(__xludf.DUMMYFUNCTION("""COMPUTED_VALUE"""),5000000.0)</f>
        <v>5000000</v>
      </c>
      <c r="O20" s="17"/>
      <c r="P20" s="20">
        <f>IFERROR(__xludf.DUMMYFUNCTION("""COMPUTED_VALUE"""),1.1E7)</f>
        <v>11000000</v>
      </c>
      <c r="Q20" s="20">
        <f>IFERROR(__xludf.DUMMYFUNCTION("""COMPUTED_VALUE"""),2000000.0)</f>
        <v>2000000</v>
      </c>
      <c r="R20" s="20">
        <f>IFERROR(__xludf.DUMMYFUNCTION("""COMPUTED_VALUE"""),1.3E7)</f>
        <v>13000000</v>
      </c>
      <c r="S20" s="20">
        <f>IFERROR(__xludf.DUMMYFUNCTION("""COMPUTED_VALUE"""),2.2E7)</f>
        <v>22000000</v>
      </c>
      <c r="T20" s="17"/>
      <c r="U20" s="20">
        <f>IFERROR(__xludf.DUMMYFUNCTION("""COMPUTED_VALUE"""),5000000.0)</f>
        <v>5000000</v>
      </c>
      <c r="V20" s="20">
        <f>IFERROR(__xludf.DUMMYFUNCTION("""COMPUTED_VALUE"""),2000000.0)</f>
        <v>2000000</v>
      </c>
      <c r="W20" s="20">
        <f>IFERROR(__xludf.DUMMYFUNCTION("""COMPUTED_VALUE"""),1000000.0)</f>
        <v>1000000</v>
      </c>
      <c r="X20" s="17"/>
      <c r="Y20" s="17"/>
    </row>
    <row r="21">
      <c r="A21" s="17">
        <f>IFERROR(__xludf.DUMMYFUNCTION("""COMPUTED_VALUE"""),18.0)</f>
        <v>18</v>
      </c>
      <c r="B21" s="18" t="str">
        <f>IFERROR(__xludf.DUMMYFUNCTION("""COMPUTED_VALUE"""),"bellatanesiaa")</f>
        <v>bellatanesiaa</v>
      </c>
      <c r="C21" s="23">
        <f>IFERROR(__xludf.DUMMYFUNCTION("""COMPUTED_VALUE"""),490000.0)</f>
        <v>490000</v>
      </c>
      <c r="D21" s="17" t="str">
        <f>IFERROR(__xludf.DUMMYFUNCTION("""COMPUTED_VALUE"""),"Mid")</f>
        <v>Mid</v>
      </c>
      <c r="E21" s="24" t="str">
        <f>IFERROR(__xludf.DUMMYFUNCTION("""COMPUTED_VALUE"""),"bellakukutanesia")</f>
        <v>bellakukutanesia</v>
      </c>
      <c r="F21" s="23">
        <f>IFERROR(__xludf.DUMMYFUNCTION("""COMPUTED_VALUE"""),648900.0)</f>
        <v>648900</v>
      </c>
      <c r="G21" s="17" t="str">
        <f>IFERROR(__xludf.DUMMYFUNCTION("""COMPUTED_VALUE"""),"Macro")</f>
        <v>Macro</v>
      </c>
      <c r="H21" s="17" t="str">
        <f>IFERROR(__xludf.DUMMYFUNCTION("""COMPUTED_VALUE"""),"Jakarta")</f>
        <v>Jakarta</v>
      </c>
      <c r="I21" s="17" t="str">
        <f>IFERROR(__xludf.DUMMYFUNCTION("""COMPUTED_VALUE"""),"FnB")</f>
        <v>FnB</v>
      </c>
      <c r="J21" s="17"/>
      <c r="K21" s="20">
        <f>IFERROR(__xludf.DUMMYFUNCTION("""COMPUTED_VALUE"""),4000000.0)</f>
        <v>4000000</v>
      </c>
      <c r="L21" s="17"/>
      <c r="M21" s="20">
        <f>IFERROR(__xludf.DUMMYFUNCTION("""COMPUTED_VALUE"""),1000000.0)</f>
        <v>1000000</v>
      </c>
      <c r="N21" s="20">
        <f>IFERROR(__xludf.DUMMYFUNCTION("""COMPUTED_VALUE"""),7000000.0)</f>
        <v>7000000</v>
      </c>
      <c r="O21" s="20">
        <f>IFERROR(__xludf.DUMMYFUNCTION("""COMPUTED_VALUE"""),9000000.0)</f>
        <v>9000000</v>
      </c>
      <c r="P21" s="20">
        <f>IFERROR(__xludf.DUMMYFUNCTION("""COMPUTED_VALUE"""),1.2E7)</f>
        <v>12000000</v>
      </c>
      <c r="Q21" s="17"/>
      <c r="R21" s="20">
        <f>IFERROR(__xludf.DUMMYFUNCTION("""COMPUTED_VALUE"""),8000000.0)</f>
        <v>8000000</v>
      </c>
      <c r="S21" s="17"/>
      <c r="T21" s="20">
        <f>IFERROR(__xludf.DUMMYFUNCTION("""COMPUTED_VALUE"""),7000000.0)</f>
        <v>7000000</v>
      </c>
      <c r="U21" s="17"/>
      <c r="V21" s="17"/>
      <c r="W21" s="17"/>
      <c r="X21" s="17"/>
      <c r="Y21" s="17"/>
    </row>
    <row r="22">
      <c r="A22" s="17">
        <f>IFERROR(__xludf.DUMMYFUNCTION("""COMPUTED_VALUE"""),19.0)</f>
        <v>19</v>
      </c>
      <c r="B22" s="18" t="str">
        <f>IFERROR(__xludf.DUMMYFUNCTION("""COMPUTED_VALUE"""),"farida.nurhan")</f>
        <v>farida.nurhan</v>
      </c>
      <c r="C22" s="19">
        <f>IFERROR(__xludf.DUMMYFUNCTION("""COMPUTED_VALUE"""),2800000.0)</f>
        <v>2800000</v>
      </c>
      <c r="D22" s="17" t="str">
        <f>IFERROR(__xludf.DUMMYFUNCTION("""COMPUTED_VALUE"""),"Mega")</f>
        <v>Mega</v>
      </c>
      <c r="E22" s="24" t="str">
        <f>IFERROR(__xludf.DUMMYFUNCTION("""COMPUTED_VALUE"""),"farida.nurhan")</f>
        <v>farida.nurhan</v>
      </c>
      <c r="F22" s="19">
        <f>IFERROR(__xludf.DUMMYFUNCTION("""COMPUTED_VALUE"""),4300000.0)</f>
        <v>4300000</v>
      </c>
      <c r="G22" s="17" t="str">
        <f>IFERROR(__xludf.DUMMYFUNCTION("""COMPUTED_VALUE"""),"Mega")</f>
        <v>Mega</v>
      </c>
      <c r="H22" s="17" t="str">
        <f>IFERROR(__xludf.DUMMYFUNCTION("""COMPUTED_VALUE"""),"Jakarta")</f>
        <v>Jakarta</v>
      </c>
      <c r="I22" s="17" t="str">
        <f>IFERROR(__xludf.DUMMYFUNCTION("""COMPUTED_VALUE"""),"FnB")</f>
        <v>FnB</v>
      </c>
      <c r="J22" s="17"/>
      <c r="K22" s="20">
        <f>IFERROR(__xludf.DUMMYFUNCTION("""COMPUTED_VALUE"""),8000000.0)</f>
        <v>8000000</v>
      </c>
      <c r="L22" s="17"/>
      <c r="M22" s="17"/>
      <c r="N22" s="20">
        <f>IFERROR(__xludf.DUMMYFUNCTION("""COMPUTED_VALUE"""),1.5E7)</f>
        <v>15000000</v>
      </c>
      <c r="O22" s="20">
        <f>IFERROR(__xludf.DUMMYFUNCTION("""COMPUTED_VALUE"""),2.5E7)</f>
        <v>25000000</v>
      </c>
      <c r="P22" s="20">
        <f>IFERROR(__xludf.DUMMYFUNCTION("""COMPUTED_VALUE"""),3.0E7)</f>
        <v>30000000</v>
      </c>
      <c r="Q22" s="20">
        <f>IFERROR(__xludf.DUMMYFUNCTION("""COMPUTED_VALUE"""),7500000.0)</f>
        <v>7500000</v>
      </c>
      <c r="R22" s="20">
        <f>IFERROR(__xludf.DUMMYFUNCTION("""COMPUTED_VALUE"""),3.5E7)</f>
        <v>35000000</v>
      </c>
      <c r="S22" s="17"/>
      <c r="T22" s="20">
        <f>IFERROR(__xludf.DUMMYFUNCTION("""COMPUTED_VALUE"""),3.5E7)</f>
        <v>35000000</v>
      </c>
      <c r="U22" s="20">
        <f>IFERROR(__xludf.DUMMYFUNCTION("""COMPUTED_VALUE"""),9000000.0)</f>
        <v>9000000</v>
      </c>
      <c r="V22" s="17"/>
      <c r="W22" s="17"/>
      <c r="X22" s="17"/>
      <c r="Y22" s="17"/>
    </row>
    <row r="23">
      <c r="A23" s="17">
        <f>IFERROR(__xludf.DUMMYFUNCTION("""COMPUTED_VALUE"""),20.0)</f>
        <v>20</v>
      </c>
      <c r="B23" s="18" t="str">
        <f>IFERROR(__xludf.DUMMYFUNCTION("""COMPUTED_VALUE"""),"idijafar")</f>
        <v>idijafar</v>
      </c>
      <c r="C23" s="23">
        <f>IFERROR(__xludf.DUMMYFUNCTION("""COMPUTED_VALUE"""),303000.0)</f>
        <v>303000</v>
      </c>
      <c r="D23" s="17" t="str">
        <f>IFERROR(__xludf.DUMMYFUNCTION("""COMPUTED_VALUE"""),"Mid")</f>
        <v>Mid</v>
      </c>
      <c r="E23" s="24" t="str">
        <f>IFERROR(__xludf.DUMMYFUNCTION("""COMPUTED_VALUE"""),"idijafar")</f>
        <v>idijafar</v>
      </c>
      <c r="F23" s="23">
        <f>IFERROR(__xludf.DUMMYFUNCTION("""COMPUTED_VALUE"""),466600.0)</f>
        <v>466600</v>
      </c>
      <c r="G23" s="17" t="str">
        <f>IFERROR(__xludf.DUMMYFUNCTION("""COMPUTED_VALUE"""),"Mid")</f>
        <v>Mid</v>
      </c>
      <c r="H23" s="17"/>
      <c r="I23" s="17" t="str">
        <f>IFERROR(__xludf.DUMMYFUNCTION("""COMPUTED_VALUE"""),"FnB")</f>
        <v>FnB</v>
      </c>
      <c r="J23" s="17"/>
      <c r="K23" s="20">
        <f>IFERROR(__xludf.DUMMYFUNCTION("""COMPUTED_VALUE"""),1200000.0)</f>
        <v>1200000</v>
      </c>
      <c r="L23" s="20">
        <f>IFERROR(__xludf.DUMMYFUNCTION("""COMPUTED_VALUE"""),1200000.0)</f>
        <v>1200000</v>
      </c>
      <c r="M23" s="20">
        <f>IFERROR(__xludf.DUMMYFUNCTION("""COMPUTED_VALUE"""),1000000.0)</f>
        <v>1000000</v>
      </c>
      <c r="N23" s="20">
        <f>IFERROR(__xludf.DUMMYFUNCTION("""COMPUTED_VALUE"""),3000000.0)</f>
        <v>3000000</v>
      </c>
      <c r="O23" s="20">
        <f>IFERROR(__xludf.DUMMYFUNCTION("""COMPUTED_VALUE"""),3000000.0)</f>
        <v>3000000</v>
      </c>
      <c r="P23" s="20">
        <f>IFERROR(__xludf.DUMMYFUNCTION("""COMPUTED_VALUE"""),4000000.0)</f>
        <v>4000000</v>
      </c>
      <c r="Q23" s="17" t="str">
        <f>IFERROR(__xludf.DUMMYFUNCTION("""COMPUTED_VALUE"""),"FREE")</f>
        <v>FREE</v>
      </c>
      <c r="R23" s="20">
        <f>IFERROR(__xludf.DUMMYFUNCTION("""COMPUTED_VALUE"""),4500000.0)</f>
        <v>4500000</v>
      </c>
      <c r="S23" s="20">
        <f>IFERROR(__xludf.DUMMYFUNCTION("""COMPUTED_VALUE"""),7000000.0)</f>
        <v>7000000</v>
      </c>
      <c r="T23" s="20">
        <f>IFERROR(__xludf.DUMMYFUNCTION("""COMPUTED_VALUE"""),1500000.0)</f>
        <v>1500000</v>
      </c>
      <c r="U23" s="20">
        <f>IFERROR(__xludf.DUMMYFUNCTION("""COMPUTED_VALUE"""),2000000.0)</f>
        <v>2000000</v>
      </c>
      <c r="V23" s="17" t="str">
        <f>IFERROR(__xludf.DUMMYFUNCTION("""COMPUTED_VALUE"""),"7D: FREE
30D: Rp500,000
1Y: Rp4,000,000")</f>
        <v>7D: FREE
30D: Rp500,000
1Y: Rp4,000,000</v>
      </c>
      <c r="W23" s="20">
        <f>IFERROR(__xludf.DUMMYFUNCTION("""COMPUTED_VALUE"""),500000.0)</f>
        <v>500000</v>
      </c>
      <c r="X23" s="20" t="str">
        <f>IFERROR(__xludf.DUMMYFUNCTION("""COMPUTED_VALUE"""),"Rp1,500,000 (Jakarta)
Rp2,000,000 (Bodetabek)")</f>
        <v>Rp1,500,000 (Jakarta)
Rp2,000,000 (Bodetabek)</v>
      </c>
      <c r="Y23" s="17"/>
    </row>
    <row r="24">
      <c r="A24" s="17">
        <f>IFERROR(__xludf.DUMMYFUNCTION("""COMPUTED_VALUE"""),21.0)</f>
        <v>21</v>
      </c>
      <c r="B24" s="18" t="str">
        <f>IFERROR(__xludf.DUMMYFUNCTION("""COMPUTED_VALUE"""),"inginkurrus_")</f>
        <v>inginkurrus_</v>
      </c>
      <c r="C24" s="23">
        <f>IFERROR(__xludf.DUMMYFUNCTION("""COMPUTED_VALUE"""),143000.0)</f>
        <v>143000</v>
      </c>
      <c r="D24" s="17" t="str">
        <f>IFERROR(__xludf.DUMMYFUNCTION("""COMPUTED_VALUE"""),"Mid")</f>
        <v>Mid</v>
      </c>
      <c r="E24" s="24" t="str">
        <f>IFERROR(__xludf.DUMMYFUNCTION("""COMPUTED_VALUE"""),"inginkurrus15")</f>
        <v>inginkurrus15</v>
      </c>
      <c r="F24" s="23">
        <f>IFERROR(__xludf.DUMMYFUNCTION("""COMPUTED_VALUE"""),198100.0)</f>
        <v>198100</v>
      </c>
      <c r="G24" s="17" t="str">
        <f>IFERROR(__xludf.DUMMYFUNCTION("""COMPUTED_VALUE"""),"Mid")</f>
        <v>Mid</v>
      </c>
      <c r="H24" s="17" t="str">
        <f>IFERROR(__xludf.DUMMYFUNCTION("""COMPUTED_VALUE"""),"Malang")</f>
        <v>Malang</v>
      </c>
      <c r="I24" s="17" t="str">
        <f>IFERROR(__xludf.DUMMYFUNCTION("""COMPUTED_VALUE"""),"FnB")</f>
        <v>FnB</v>
      </c>
      <c r="J24" s="17"/>
      <c r="K24" s="20" t="str">
        <f>IFERROR(__xludf.DUMMYFUNCTION("""COMPUTED_VALUE"""),"Story + Reels + TikTok + Visit Store = Rp1,300,000")</f>
        <v>Story + Reels + TikTok + Visit Store = Rp1,300,000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7">
        <f>IFERROR(__xludf.DUMMYFUNCTION("""COMPUTED_VALUE"""),22.0)</f>
        <v>22</v>
      </c>
      <c r="B25" s="18" t="str">
        <f>IFERROR(__xludf.DUMMYFUNCTION("""COMPUTED_VALUE"""),"dr.inseqyuur")</f>
        <v>dr.inseqyuur</v>
      </c>
      <c r="C25" s="23">
        <f>IFERROR(__xludf.DUMMYFUNCTION("""COMPUTED_VALUE"""),5000.0)</f>
        <v>5000</v>
      </c>
      <c r="D25" s="17" t="str">
        <f>IFERROR(__xludf.DUMMYFUNCTION("""COMPUTED_VALUE"""),"Nano")</f>
        <v>Nano</v>
      </c>
      <c r="E25" s="24" t="str">
        <f>IFERROR(__xludf.DUMMYFUNCTION("""COMPUTED_VALUE"""),"dr.inseqyuur")</f>
        <v>dr.inseqyuur</v>
      </c>
      <c r="F25" s="23">
        <f>IFERROR(__xludf.DUMMYFUNCTION("""COMPUTED_VALUE"""),282400.0)</f>
        <v>282400</v>
      </c>
      <c r="G25" s="17" t="str">
        <f>IFERROR(__xludf.DUMMYFUNCTION("""COMPUTED_VALUE"""),"Mid")</f>
        <v>Mid</v>
      </c>
      <c r="H25" s="17" t="str">
        <f>IFERROR(__xludf.DUMMYFUNCTION("""COMPUTED_VALUE"""),"Bandung")</f>
        <v>Bandung</v>
      </c>
      <c r="I25" s="17" t="str">
        <f>IFERROR(__xludf.DUMMYFUNCTION("""COMPUTED_VALUE"""),"FnB")</f>
        <v>FnB</v>
      </c>
      <c r="J25" s="17"/>
      <c r="K25" s="17"/>
      <c r="L25" s="17"/>
      <c r="M25" s="17"/>
      <c r="N25" s="17"/>
      <c r="O25" s="17"/>
      <c r="P25" s="17"/>
      <c r="Q25" s="17"/>
      <c r="R25" s="20">
        <f>IFERROR(__xludf.DUMMYFUNCTION("""COMPUTED_VALUE"""),3000000.0)</f>
        <v>3000000</v>
      </c>
      <c r="S25" s="20">
        <f>IFERROR(__xludf.DUMMYFUNCTION("""COMPUTED_VALUE"""),500000.0)</f>
        <v>500000</v>
      </c>
      <c r="T25" s="17"/>
      <c r="U25" s="21">
        <f>IFERROR(__xludf.DUMMYFUNCTION("""COMPUTED_VALUE"""),1.0)</f>
        <v>1</v>
      </c>
      <c r="V25" s="17"/>
      <c r="W25" s="20">
        <f>IFERROR(__xludf.DUMMYFUNCTION("""COMPUTED_VALUE"""),1000000.0)</f>
        <v>1000000</v>
      </c>
      <c r="X25" s="20" t="str">
        <f>IFERROR(__xludf.DUMMYFUNCTION("""COMPUTED_VALUE"""),"Rp1,000,000 (Dalam Kota)
Rp2,000,000 (Jabodetabek)")</f>
        <v>Rp1,000,000 (Dalam Kota)
Rp2,000,000 (Jabodetabek)</v>
      </c>
      <c r="Y25" s="17"/>
    </row>
    <row r="26">
      <c r="A26" s="17">
        <f>IFERROR(__xludf.DUMMYFUNCTION("""COMPUTED_VALUE"""),23.0)</f>
        <v>23</v>
      </c>
      <c r="B26" s="18" t="str">
        <f>IFERROR(__xludf.DUMMYFUNCTION("""COMPUTED_VALUE"""),"jajanviralbekasi")</f>
        <v>jajanviralbekasi</v>
      </c>
      <c r="C26" s="19">
        <f>IFERROR(__xludf.DUMMYFUNCTION("""COMPUTED_VALUE"""),26900.0)</f>
        <v>26900</v>
      </c>
      <c r="D26" s="20" t="str">
        <f>IFERROR(__xludf.DUMMYFUNCTION("""COMPUTED_VALUE"""),"Micro")</f>
        <v>Micro</v>
      </c>
      <c r="E26" s="24" t="str">
        <f>IFERROR(__xludf.DUMMYFUNCTION("""COMPUTED_VALUE"""),"jajanviralbekasi")</f>
        <v>jajanviralbekasi</v>
      </c>
      <c r="F26" s="19">
        <f>IFERROR(__xludf.DUMMYFUNCTION("""COMPUTED_VALUE"""),32000.0)</f>
        <v>32000</v>
      </c>
      <c r="G26" s="20" t="str">
        <f>IFERROR(__xludf.DUMMYFUNCTION("""COMPUTED_VALUE"""),"Micro")</f>
        <v>Micro</v>
      </c>
      <c r="H26" s="17" t="str">
        <f>IFERROR(__xludf.DUMMYFUNCTION("""COMPUTED_VALUE"""),"Bekasi")</f>
        <v>Bekasi</v>
      </c>
      <c r="I26" s="17" t="str">
        <f>IFERROR(__xludf.DUMMYFUNCTION("""COMPUTED_VALUE"""),"- FnB
- Place Review")</f>
        <v>- FnB
- Place Review</v>
      </c>
      <c r="J26" s="17"/>
      <c r="K26" s="17"/>
      <c r="L26" s="17"/>
      <c r="M26" s="17"/>
      <c r="N26" s="17"/>
      <c r="O26" s="17"/>
      <c r="P26" s="20" t="str">
        <f>IFERROR(__xludf.DUMMYFUNCTION("""COMPUTED_VALUE"""),"Reels + TikTok (Mirror) + Visit: Rp900,000
FREE IG Story, tag &amp; collab IG 
Bundling: Rp2,200,000
1 Reels Instagram @jalanbarengdarla &amp; @jajanviralbekasi
1 TikTok Video (Mirror) @jalanbarengdarla &amp; @jajanviralbekasi
1x Visit")</f>
        <v>Reels + TikTok (Mirror) + Visit: Rp900,000
FREE IG Story, tag &amp; collab IG 
Bundling: Rp2,200,000
1 Reels Instagram @jalanbarengdarla &amp; @jajanviralbekasi
1 TikTok Video (Mirror) @jalanbarengdarla &amp; @jajanviralbekasi
1x Visit</v>
      </c>
      <c r="Q26" s="17"/>
      <c r="R26" s="17"/>
      <c r="S26" s="17"/>
      <c r="T26" s="17"/>
      <c r="U26" s="20">
        <f>IFERROR(__xludf.DUMMYFUNCTION("""COMPUTED_VALUE"""),300000.0)</f>
        <v>300000</v>
      </c>
      <c r="V26" s="17"/>
      <c r="W26" s="17"/>
      <c r="X26" s="20" t="str">
        <f>IFERROR(__xludf.DUMMYFUNCTION("""COMPUTED_VALUE"""),"Free Bekasi &amp; Jaktim")</f>
        <v>Free Bekasi &amp; Jaktim</v>
      </c>
      <c r="Y26" s="17"/>
    </row>
    <row r="27" hidden="1">
      <c r="A27" s="17">
        <f>IFERROR(__xludf.DUMMYFUNCTION("""COMPUTED_VALUE"""),24.0)</f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idden="1">
      <c r="A28" s="17">
        <f>IFERROR(__xludf.DUMMYFUNCTION("""COMPUTED_VALUE"""),25.0)</f>
        <v>25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idden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hidden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hidden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idden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hidden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hidden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idden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idden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idden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idden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idden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idden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idden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idden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idden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idden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hidden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hidden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idden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hidden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idden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idden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hidden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hidden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hidden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hidden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hidden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hidden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hidden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hidden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hidden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hidden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hidden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hidden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hidden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hidden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hidden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hidden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hidden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hidden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hidden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hidden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hidden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hidden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hidden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hidden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hidden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hidden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hidden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hidden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hidden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hidden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hidden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hidden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hidden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hidden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hidden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hidden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hidden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hidden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hidden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hidden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hidden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hidden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hidden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hidden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hidden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hidden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hidden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hidden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hidden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hidden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hidden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hidden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hidden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hidden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hidden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hidden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hidden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hidden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hidden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hidden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hidden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hidden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hidden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hidden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hidden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hidden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hidden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hidden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hidden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hidden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hidden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hidden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hidden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hidden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hidden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hidden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hidden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hidden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hidden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hidden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hidden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hidden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hidden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hidden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hidden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hidden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hidden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hidden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hidden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hidden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hidden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hidden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hidden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hidden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hidden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hidden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hidden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hidden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hidden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hidden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hidden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hidden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hidden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hidden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hidden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hidden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hidden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hidden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hidden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hidden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hidden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hidden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hidden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hidden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hidden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hidden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hidden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hidden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hidden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hidden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hidden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hidden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hidden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hidden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hidden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hidden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hidden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hidden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hidden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hidden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hidden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hidden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hidden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hidden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hidden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hidden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hidden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hidden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hidden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hidden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hidden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hidden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hidden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hidden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hidden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hidden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hidden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hidden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hidden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hidden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hidden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hidden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hidden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hidden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hidden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hidden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hidden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hidden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hidden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hidden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hidden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 hidden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 hidden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 hidden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 hidden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 hidden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 hidden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 hidden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 hidden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 hidden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 hidden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 hidden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 hidden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 hidden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 hidden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 hidden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 hidden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 hidden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 hidden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 hidden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 hidden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 hidden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hidden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hidden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 hidden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 hidden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 hidden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 hidden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 hidden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 hidden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 hidden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 hidden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 hidden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 hidden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 hidden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 hidden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 hidden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 hidden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 hidden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 hidden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 hidden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 hidden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 hidden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 hidden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 hidden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 hidden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 hidden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 hidden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 hidden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 hidden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 hidden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 hidden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 hidden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 hidden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hidden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 hidden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 hidden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 hidden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 hidden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 hidden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 hidden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 hidden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 hidden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 hidden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 hidden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 hidden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 hidden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 hidden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 hidden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 hidden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 hidden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 hidden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 hidden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 hidden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 hidden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 hidden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 hidden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 hidden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 hidden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 hidden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 hidden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 hidden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 hidden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 hidden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 hidden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hidden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 hidden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 hidden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 hidden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 hidden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 hidden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 hidden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 hidden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 hidden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 hidden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 hidden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 hidden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 hidden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 hidden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 hidden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 hidden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 hidden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 hidden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 hidden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 hidden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 hidden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 hidden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 hidden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 hidden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 hidden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 hidden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 hidden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 hidden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 hidden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 hidden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 hidden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 hidden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 hidden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 hidden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hidden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 hidden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 hidden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 hidden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 hidden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 hidden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 hidden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 hidden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 hidden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 hidden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 hidden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 hidden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 hidden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 hidden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 hidden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 hidden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 hidden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 hidden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 hidden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 hidden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 hidden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 hidden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 hidden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 hidden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 hidden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 hidden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 hidden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 hidden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 hidden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 hidden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 hidden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 hidden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 hidden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 hidden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hidden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 hidden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 hidden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 hidden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 hidden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 hidden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 hidden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 hidden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 hidden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 hidden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 hidden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 hidden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 hidden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 hidden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 hidden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 hidden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 hidden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 hidden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 hidden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 hidden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 hidden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 hidden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 hidden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 hidden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 hidden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 hidden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hidden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 hidden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 hidden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 hidden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 hidden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 hidden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 hidden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 hidden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 hidden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 hidden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 hidden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 hidden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 hidden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 hidden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 hidden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 hidden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 hidden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 hidden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 hidden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 hidden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 hidden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 hidden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 hidden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 hidden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 hidden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 hidden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 hidden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 hidden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 hidden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hidden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 hidden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 hidden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 hidden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 hidden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 hidden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 hidden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 hidden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 hidden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 hidden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 hidden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 hidden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 hidden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 hidden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 hidden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 hidden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 hidden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 hidden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 hidden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 hidden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 hidden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 hidden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 hidden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 hidden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 hidden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 hidden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 hidden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 hidden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 hidden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 hidden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 hidden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 hidden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 hidden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 hidden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hidden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 hidden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 hidden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 hidden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 hidden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 hidden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 hidden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 hidden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 hidden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 hidden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 hidden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 hidden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 hidden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 hidden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 hidden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 hidden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 hidden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 hidden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 hidden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 hidden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 hidden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 hidden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 hidden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 hidden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 hidden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 hidden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 hidden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 hidden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 hidden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 hidden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 hidden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hidden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 hidden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 hidden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 hidden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 hidden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 hidden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 hidden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 hidden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 hidden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 hidden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 hidden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 hidden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 hidden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 hidden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 hidden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 hidden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 hidden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 hidden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 hidden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 hidden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 hidden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 hidden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 hidden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 hidden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 hidden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 hidden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 hidden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 hidden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 hidden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 hidden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 hidden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hidden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 hidden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 hidden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 hidden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 hidden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 hidden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 hidden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 hidden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 hidden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 hidden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 hidden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 hidden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 hidden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 hidden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 hidden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 hidden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30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</hyperlinks>
  <drawing r:id="rId4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/>
  <sheetData>
    <row r="1">
      <c r="A1" s="39" t="s">
        <v>1</v>
      </c>
      <c r="B1" s="3"/>
      <c r="C1" s="3"/>
      <c r="D1" s="3"/>
      <c r="E1" s="3"/>
      <c r="F1" s="3"/>
      <c r="G1" s="3"/>
      <c r="H1" s="4"/>
      <c r="I1" s="10" t="s">
        <v>28</v>
      </c>
      <c r="J1" s="3"/>
      <c r="K1" s="3"/>
      <c r="L1" s="3"/>
      <c r="M1" s="4"/>
      <c r="N1" s="40"/>
      <c r="O1" s="41"/>
      <c r="P1" s="41"/>
      <c r="Q1" s="41"/>
      <c r="R1" s="41"/>
      <c r="S1" s="41"/>
      <c r="T1" s="41"/>
      <c r="U1" s="41"/>
      <c r="V1" s="41"/>
      <c r="W1" s="41"/>
    </row>
    <row r="2">
      <c r="A2" s="6" t="s">
        <v>2</v>
      </c>
      <c r="B2" s="6" t="s">
        <v>29</v>
      </c>
      <c r="C2" s="42" t="s">
        <v>8</v>
      </c>
      <c r="D2" s="6" t="s">
        <v>9</v>
      </c>
      <c r="E2" s="6" t="s">
        <v>30</v>
      </c>
      <c r="F2" s="43" t="s">
        <v>8</v>
      </c>
      <c r="G2" s="6" t="s">
        <v>9</v>
      </c>
      <c r="H2" s="6" t="s">
        <v>11</v>
      </c>
      <c r="I2" s="44" t="s">
        <v>31</v>
      </c>
      <c r="J2" s="44" t="s">
        <v>32</v>
      </c>
      <c r="K2" s="44" t="s">
        <v>33</v>
      </c>
      <c r="L2" s="44" t="s">
        <v>34</v>
      </c>
      <c r="M2" s="44" t="s">
        <v>35</v>
      </c>
      <c r="N2" s="40"/>
      <c r="O2" s="41"/>
      <c r="P2" s="41"/>
      <c r="Q2" s="41"/>
      <c r="R2" s="41"/>
      <c r="S2" s="41"/>
      <c r="T2" s="41"/>
      <c r="U2" s="41"/>
      <c r="V2" s="41"/>
      <c r="W2" s="41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40"/>
      <c r="O3" s="41"/>
      <c r="P3" s="41"/>
      <c r="Q3" s="41"/>
      <c r="R3" s="41"/>
      <c r="S3" s="41"/>
      <c r="T3" s="41"/>
      <c r="U3" s="41"/>
      <c r="V3" s="41"/>
      <c r="W3" s="41"/>
    </row>
    <row r="4">
      <c r="A4" s="17">
        <f>IFERROR(__xludf.DUMMYFUNCTION("importrange(""https://docs.google.com/spreadsheets/d/1NAi0n9YWN2dZXnXivcpnWPdwZSm3nhv4zn9Z92u3soE/edit?gid=464088615#gid=464088615"", ""Ratecard Talent Visit Brand!A4:Y999"")"),1.0)</f>
        <v>1</v>
      </c>
      <c r="B4" s="18" t="str">
        <f>IFERROR(__xludf.DUMMYFUNCTION("""COMPUTED_VALUE"""),"lordjajan")</f>
        <v>lordjajan</v>
      </c>
      <c r="C4" s="23">
        <f>IFERROR(__xludf.DUMMYFUNCTION("""COMPUTED_VALUE"""),267000.0)</f>
        <v>267000</v>
      </c>
      <c r="D4" s="17" t="str">
        <f>IFERROR(__xludf.DUMMYFUNCTION("""COMPUTED_VALUE"""),"Mid")</f>
        <v>Mid</v>
      </c>
      <c r="E4" s="18" t="str">
        <f>IFERROR(__xludf.DUMMYFUNCTION("""COMPUTED_VALUE"""),"lordjajanofficial")</f>
        <v>lordjajanofficial</v>
      </c>
      <c r="F4" s="19">
        <f>IFERROR(__xludf.DUMMYFUNCTION("""COMPUTED_VALUE"""),5500000.0)</f>
        <v>5500000</v>
      </c>
      <c r="G4" s="17" t="str">
        <f>IFERROR(__xludf.DUMMYFUNCTION("""COMPUTED_VALUE"""),"Mega")</f>
        <v>Mega</v>
      </c>
      <c r="H4" s="17" t="str">
        <f>IFERROR(__xludf.DUMMYFUNCTION("""COMPUTED_VALUE"""),"Jakarta")</f>
        <v>Jakarta</v>
      </c>
      <c r="I4" s="20">
        <f>IFERROR(__xludf.DUMMYFUNCTION("""COMPUTED_VALUE"""),2500000.0)</f>
        <v>2500000</v>
      </c>
      <c r="J4" s="20">
        <f>IFERROR(__xludf.DUMMYFUNCTION("""COMPUTED_VALUE"""),7000000.0)</f>
        <v>7000000</v>
      </c>
      <c r="K4" s="20">
        <f>IFERROR(__xludf.DUMMYFUNCTION("""COMPUTED_VALUE"""),6500000.0)</f>
        <v>6500000</v>
      </c>
      <c r="L4" s="20">
        <f>IFERROR(__xludf.DUMMYFUNCTION("""COMPUTED_VALUE"""),1.05E7)</f>
        <v>10500000</v>
      </c>
      <c r="M4" s="20">
        <f>IFERROR(__xludf.DUMMYFUNCTION("""COMPUTED_VALUE"""),1.45E7)</f>
        <v>14500000</v>
      </c>
      <c r="N4" s="27"/>
      <c r="O4" s="45"/>
      <c r="P4" s="45"/>
      <c r="Q4" s="45"/>
      <c r="R4" s="45"/>
      <c r="S4" s="45"/>
      <c r="T4" s="45"/>
      <c r="U4" s="45"/>
      <c r="V4" s="45"/>
      <c r="W4" s="45"/>
    </row>
    <row r="5">
      <c r="A5" s="17">
        <f>IFERROR(__xludf.DUMMYFUNCTION("""COMPUTED_VALUE"""),2.0)</f>
        <v>2</v>
      </c>
      <c r="B5" s="18" t="str">
        <f>IFERROR(__xludf.DUMMYFUNCTION("""COMPUTED_VALUE"""),"kulinernyaberdua")</f>
        <v>kulinernyaberdua</v>
      </c>
      <c r="C5" s="23">
        <f>IFERROR(__xludf.DUMMYFUNCTION("""COMPUTED_VALUE"""),196000.0)</f>
        <v>196000</v>
      </c>
      <c r="D5" s="17" t="str">
        <f>IFERROR(__xludf.DUMMYFUNCTION("""COMPUTED_VALUE"""),"Mid")</f>
        <v>Mid</v>
      </c>
      <c r="E5" s="18" t="str">
        <f>IFERROR(__xludf.DUMMYFUNCTION("""COMPUTED_VALUE"""),"kulinernyaber2")</f>
        <v>kulinernyaber2</v>
      </c>
      <c r="F5" s="23">
        <f>IFERROR(__xludf.DUMMYFUNCTION("""COMPUTED_VALUE"""),169600.0)</f>
        <v>169600</v>
      </c>
      <c r="G5" s="17" t="str">
        <f>IFERROR(__xludf.DUMMYFUNCTION("""COMPUTED_VALUE"""),"Mid")</f>
        <v>Mid</v>
      </c>
      <c r="H5" s="17" t="str">
        <f>IFERROR(__xludf.DUMMYFUNCTION("""COMPUTED_VALUE"""),"Jakarta")</f>
        <v>Jakarta</v>
      </c>
      <c r="I5" s="46" t="str">
        <f>IFERROR(__xludf.DUMMYFUNCTION("""COMPUTED_VALUE"""),"IG Story + Reels Collab Post + TikTok: Rp1,650,000")</f>
        <v>IG Story + Reels Collab Post + TikTok: Rp1,650,000</v>
      </c>
      <c r="J5" s="3"/>
      <c r="K5" s="3"/>
      <c r="L5" s="3"/>
      <c r="M5" s="4"/>
      <c r="N5" s="27"/>
      <c r="O5" s="45"/>
      <c r="P5" s="45"/>
      <c r="Q5" s="45"/>
      <c r="R5" s="45"/>
      <c r="S5" s="45"/>
      <c r="T5" s="45"/>
      <c r="U5" s="45"/>
      <c r="V5" s="45"/>
      <c r="W5" s="45"/>
    </row>
    <row r="6">
      <c r="A6" s="17">
        <f>IFERROR(__xludf.DUMMYFUNCTION("""COMPUTED_VALUE"""),3.0)</f>
        <v>3</v>
      </c>
      <c r="B6" s="18" t="str">
        <f>IFERROR(__xludf.DUMMYFUNCTION("""COMPUTED_VALUE"""),"rifaeny0")</f>
        <v>rifaeny0</v>
      </c>
      <c r="C6" s="23">
        <f>IFERROR(__xludf.DUMMYFUNCTION("""COMPUTED_VALUE"""),11500.0)</f>
        <v>11500</v>
      </c>
      <c r="D6" s="17" t="str">
        <f>IFERROR(__xludf.DUMMYFUNCTION("""COMPUTED_VALUE"""),"Micro")</f>
        <v>Micro</v>
      </c>
      <c r="E6" s="18" t="str">
        <f>IFERROR(__xludf.DUMMYFUNCTION("""COMPUTED_VALUE"""),"rifani665")</f>
        <v>rifani665</v>
      </c>
      <c r="F6" s="23">
        <f>IFERROR(__xludf.DUMMYFUNCTION("""COMPUTED_VALUE"""),240800.0)</f>
        <v>240800</v>
      </c>
      <c r="G6" s="17" t="str">
        <f>IFERROR(__xludf.DUMMYFUNCTION("""COMPUTED_VALUE"""),"Mid")</f>
        <v>Mid</v>
      </c>
      <c r="H6" s="17" t="str">
        <f>IFERROR(__xludf.DUMMYFUNCTION("""COMPUTED_VALUE"""),"Jakarta")</f>
        <v>Jakarta</v>
      </c>
      <c r="I6" s="20">
        <f>IFERROR(__xludf.DUMMYFUNCTION("""COMPUTED_VALUE"""),1500000.0)</f>
        <v>1500000</v>
      </c>
      <c r="J6" s="20">
        <f>IFERROR(__xludf.DUMMYFUNCTION("""COMPUTED_VALUE"""),2500000.0)</f>
        <v>2500000</v>
      </c>
      <c r="K6" s="20">
        <f>IFERROR(__xludf.DUMMYFUNCTION("""COMPUTED_VALUE"""),3000000.0)</f>
        <v>3000000</v>
      </c>
      <c r="L6" s="20">
        <f>IFERROR(__xludf.DUMMYFUNCTION("""COMPUTED_VALUE"""),3800000.0)</f>
        <v>3800000</v>
      </c>
      <c r="M6" s="20">
        <f>IFERROR(__xludf.DUMMYFUNCTION("""COMPUTED_VALUE"""),4500000.0)</f>
        <v>4500000</v>
      </c>
      <c r="N6" s="27"/>
      <c r="O6" s="45"/>
      <c r="P6" s="45"/>
      <c r="Q6" s="45"/>
      <c r="R6" s="45"/>
      <c r="S6" s="45"/>
      <c r="T6" s="45"/>
      <c r="U6" s="45"/>
      <c r="V6" s="45"/>
      <c r="W6" s="45"/>
    </row>
    <row r="7">
      <c r="A7" s="17">
        <f>IFERROR(__xludf.DUMMYFUNCTION("""COMPUTED_VALUE"""),4.0)</f>
        <v>4</v>
      </c>
      <c r="B7" s="18" t="str">
        <f>IFERROR(__xludf.DUMMYFUNCTION("""COMPUTED_VALUE"""),"willenlenn")</f>
        <v>willenlenn</v>
      </c>
      <c r="C7" s="23">
        <f>IFERROR(__xludf.DUMMYFUNCTION("""COMPUTED_VALUE"""),486000.0)</f>
        <v>486000</v>
      </c>
      <c r="D7" s="17" t="str">
        <f>IFERROR(__xludf.DUMMYFUNCTION("""COMPUTED_VALUE"""),"Mid")</f>
        <v>Mid</v>
      </c>
      <c r="E7" s="18" t="str">
        <f>IFERROR(__xludf.DUMMYFUNCTION("""COMPUTED_VALUE"""),"willenlen")</f>
        <v>willenlen</v>
      </c>
      <c r="F7" s="19">
        <f>IFERROR(__xludf.DUMMYFUNCTION("""COMPUTED_VALUE"""),2400000.0)</f>
        <v>2400000</v>
      </c>
      <c r="G7" s="17" t="str">
        <f>IFERROR(__xludf.DUMMYFUNCTION("""COMPUTED_VALUE"""),"Mega")</f>
        <v>Mega</v>
      </c>
      <c r="H7" s="17" t="str">
        <f>IFERROR(__xludf.DUMMYFUNCTION("""COMPUTED_VALUE"""),"Tangerang")</f>
        <v>Tangerang</v>
      </c>
      <c r="I7" s="20" t="str">
        <f>IFERROR(__xludf.DUMMYFUNCTION("""COMPUTED_VALUE"""),"Rp1,200,000 (Jakarta)
Rp1,000,000 (Tangerang)")</f>
        <v>Rp1,200,000 (Jakarta)
Rp1,000,000 (Tangerang)</v>
      </c>
      <c r="J7" s="20" t="str">
        <f>IFERROR(__xludf.DUMMYFUNCTION("""COMPUTED_VALUE"""),"Rp4,700,000 (Jakarta)
Rp4,500,000 (Tangerang)")</f>
        <v>Rp4,700,000 (Jakarta)
Rp4,500,000 (Tangerang)</v>
      </c>
      <c r="K7" s="20" t="str">
        <f>IFERROR(__xludf.DUMMYFUNCTION("""COMPUTED_VALUE"""),"Rp5,700,000 (Jakarta)
Rp5,500,000 (Tangerang)")</f>
        <v>Rp5,700,000 (Jakarta)
Rp5,500,000 (Tangerang)</v>
      </c>
      <c r="L7" s="20" t="str">
        <f>IFERROR(__xludf.DUMMYFUNCTION("""COMPUTED_VALUE"""),"Rp8,700,000 (Jakarta)
Rp8,500,000 (Tangerang)")</f>
        <v>Rp8,700,000 (Jakarta)
Rp8,500,000 (Tangerang)</v>
      </c>
      <c r="M7" s="20" t="str">
        <f>IFERROR(__xludf.DUMMYFUNCTION("""COMPUTED_VALUE"""),"Rp10,700,000 (Jakarta)
Rp10,500,000 (Tangerang)")</f>
        <v>Rp10,700,000 (Jakarta)
Rp10,500,000 (Tangerang)</v>
      </c>
      <c r="N7" s="27"/>
      <c r="O7" s="45"/>
      <c r="P7" s="45"/>
      <c r="Q7" s="45"/>
      <c r="R7" s="45"/>
      <c r="S7" s="45"/>
      <c r="T7" s="45"/>
      <c r="U7" s="45"/>
      <c r="V7" s="45"/>
      <c r="W7" s="45"/>
    </row>
    <row r="8">
      <c r="A8" s="17">
        <f>IFERROR(__xludf.DUMMYFUNCTION("""COMPUTED_VALUE"""),5.0)</f>
        <v>5</v>
      </c>
      <c r="B8" s="18" t="str">
        <f>IFERROR(__xludf.DUMMYFUNCTION("""COMPUTED_VALUE"""),"sayalarimba")</f>
        <v>sayalarimba</v>
      </c>
      <c r="C8" s="23">
        <f>IFERROR(__xludf.DUMMYFUNCTION("""COMPUTED_VALUE"""),263000.0)</f>
        <v>263000</v>
      </c>
      <c r="D8" s="17" t="str">
        <f>IFERROR(__xludf.DUMMYFUNCTION("""COMPUTED_VALUE"""),"Mid")</f>
        <v>Mid</v>
      </c>
      <c r="E8" s="18" t="str">
        <f>IFERROR(__xludf.DUMMYFUNCTION("""COMPUTED_VALUE"""),"sayalarimba")</f>
        <v>sayalarimba</v>
      </c>
      <c r="F8" s="19">
        <f>IFERROR(__xludf.DUMMYFUNCTION("""COMPUTED_VALUE"""),1400000.0)</f>
        <v>1400000</v>
      </c>
      <c r="G8" s="17" t="str">
        <f>IFERROR(__xludf.DUMMYFUNCTION("""COMPUTED_VALUE"""),"Mega")</f>
        <v>Mega</v>
      </c>
      <c r="H8" s="17" t="str">
        <f>IFERROR(__xludf.DUMMYFUNCTION("""COMPUTED_VALUE"""),"Jakarta")</f>
        <v>Jakarta</v>
      </c>
      <c r="I8" s="17"/>
      <c r="J8" s="17"/>
      <c r="K8" s="20" t="str">
        <f>IFERROR(__xludf.DUMMYFUNCTION("""COMPUTED_VALUE"""),"Reels:
Rp8,000,000 (Jakarta)
Rp9,000,000 (Bodetabek)
Rp10,000,000 (Bandung)")</f>
        <v>Reels:
Rp8,000,000 (Jakarta)
Rp9,000,000 (Bodetabek)
Rp10,000,000 (Bandung)</v>
      </c>
      <c r="L8" s="20" t="str">
        <f>IFERROR(__xludf.DUMMYFUNCTION("""COMPUTED_VALUE"""),"TikTok:
Rp10,000,000 (Jakarta)
Rp11,000,000 (Bodtabek)
Rp12,000,000 (Bandung)")</f>
        <v>TikTok:
Rp10,000,000 (Jakarta)
Rp11,000,000 (Bodtabek)
Rp12,000,000 (Bandung)</v>
      </c>
      <c r="M8" s="17"/>
      <c r="N8" s="27"/>
      <c r="O8" s="45"/>
      <c r="P8" s="45"/>
      <c r="Q8" s="45"/>
      <c r="R8" s="45"/>
      <c r="S8" s="45"/>
      <c r="T8" s="45"/>
      <c r="U8" s="45"/>
      <c r="V8" s="45"/>
      <c r="W8" s="45"/>
    </row>
    <row r="9">
      <c r="A9" s="17">
        <f>IFERROR(__xludf.DUMMYFUNCTION("""COMPUTED_VALUE"""),6.0)</f>
        <v>6</v>
      </c>
      <c r="B9" s="18" t="str">
        <f>IFERROR(__xludf.DUMMYFUNCTION("""COMPUTED_VALUE"""),"rizkeeeyyyyyyyy")</f>
        <v>rizkeeeyyyyyyyy</v>
      </c>
      <c r="C9" s="23">
        <f>IFERROR(__xludf.DUMMYFUNCTION("""COMPUTED_VALUE"""),303000.0)</f>
        <v>303000</v>
      </c>
      <c r="D9" s="17" t="str">
        <f>IFERROR(__xludf.DUMMYFUNCTION("""COMPUTED_VALUE"""),"Mid")</f>
        <v>Mid</v>
      </c>
      <c r="E9" s="18" t="str">
        <f>IFERROR(__xludf.DUMMYFUNCTION("""COMPUTED_VALUE"""),"rizkeeeyyyyyy")</f>
        <v>rizkeeeyyyyyy</v>
      </c>
      <c r="F9" s="19">
        <f>IFERROR(__xludf.DUMMYFUNCTION("""COMPUTED_VALUE"""),1200000.0)</f>
        <v>1200000</v>
      </c>
      <c r="G9" s="17" t="str">
        <f>IFERROR(__xludf.DUMMYFUNCTION("""COMPUTED_VALUE"""),"Mega")</f>
        <v>Mega</v>
      </c>
      <c r="H9" s="17" t="str">
        <f>IFERROR(__xludf.DUMMYFUNCTION("""COMPUTED_VALUE"""),"Tangerang Selatan")</f>
        <v>Tangerang Selatan</v>
      </c>
      <c r="I9" s="20">
        <f>IFERROR(__xludf.DUMMYFUNCTION("""COMPUTED_VALUE"""),6000000.0)</f>
        <v>6000000</v>
      </c>
      <c r="J9" s="17"/>
      <c r="K9" s="20">
        <f>IFERROR(__xludf.DUMMYFUNCTION("""COMPUTED_VALUE"""),7000000.0)</f>
        <v>7000000</v>
      </c>
      <c r="L9" s="20">
        <f>IFERROR(__xludf.DUMMYFUNCTION("""COMPUTED_VALUE"""),7500000.0)</f>
        <v>7500000</v>
      </c>
      <c r="M9" s="20">
        <f>IFERROR(__xludf.DUMMYFUNCTION("""COMPUTED_VALUE"""),1.05E7)</f>
        <v>10500000</v>
      </c>
      <c r="N9" s="27"/>
      <c r="O9" s="45"/>
      <c r="P9" s="45"/>
      <c r="Q9" s="45"/>
      <c r="R9" s="45"/>
      <c r="S9" s="45"/>
      <c r="T9" s="45"/>
      <c r="U9" s="45"/>
      <c r="V9" s="45"/>
      <c r="W9" s="45"/>
    </row>
    <row r="10">
      <c r="A10" s="17">
        <f>IFERROR(__xludf.DUMMYFUNCTION("""COMPUTED_VALUE"""),7.0)</f>
        <v>7</v>
      </c>
      <c r="B10" s="18" t="str">
        <f>IFERROR(__xludf.DUMMYFUNCTION("""COMPUTED_VALUE"""),"Makanlurrrr")</f>
        <v>Makanlurrrr</v>
      </c>
      <c r="C10" s="23">
        <f>IFERROR(__xludf.DUMMYFUNCTION("""COMPUTED_VALUE"""),650000.0)</f>
        <v>650000</v>
      </c>
      <c r="D10" s="17" t="str">
        <f>IFERROR(__xludf.DUMMYFUNCTION("""COMPUTED_VALUE"""),"Macro")</f>
        <v>Macro</v>
      </c>
      <c r="E10" s="18" t="str">
        <f>IFERROR(__xludf.DUMMYFUNCTION("""COMPUTED_VALUE"""),"makanlurr")</f>
        <v>makanlurr</v>
      </c>
      <c r="F10" s="19">
        <f>IFERROR(__xludf.DUMMYFUNCTION("""COMPUTED_VALUE"""),1800000.0)</f>
        <v>1800000</v>
      </c>
      <c r="G10" s="17" t="str">
        <f>IFERROR(__xludf.DUMMYFUNCTION("""COMPUTED_VALUE"""),"Mega")</f>
        <v>Mega</v>
      </c>
      <c r="H10" s="17" t="str">
        <f>IFERROR(__xludf.DUMMYFUNCTION("""COMPUTED_VALUE"""),"Jakarta")</f>
        <v>Jakarta</v>
      </c>
      <c r="I10" s="20">
        <f>IFERROR(__xludf.DUMMYFUNCTION("""COMPUTED_VALUE"""),3500000.0)</f>
        <v>3500000</v>
      </c>
      <c r="J10" s="17"/>
      <c r="K10" s="20">
        <f>IFERROR(__xludf.DUMMYFUNCTION("""COMPUTED_VALUE"""),1.25E7)</f>
        <v>12500000</v>
      </c>
      <c r="L10" s="20">
        <f>IFERROR(__xludf.DUMMYFUNCTION("""COMPUTED_VALUE"""),1.75E7)</f>
        <v>17500000</v>
      </c>
      <c r="M10" s="20">
        <f>IFERROR(__xludf.DUMMYFUNCTION("""COMPUTED_VALUE"""),2.25E7)</f>
        <v>22500000</v>
      </c>
      <c r="N10" s="27"/>
      <c r="O10" s="45"/>
      <c r="P10" s="45"/>
      <c r="Q10" s="45"/>
      <c r="R10" s="45"/>
      <c r="S10" s="45"/>
      <c r="T10" s="45"/>
      <c r="U10" s="45"/>
      <c r="V10" s="45"/>
      <c r="W10" s="45"/>
    </row>
    <row r="11">
      <c r="A11" s="17">
        <f>IFERROR(__xludf.DUMMYFUNCTION("""COMPUTED_VALUE"""),8.0)</f>
        <v>8</v>
      </c>
      <c r="B11" s="18" t="str">
        <f>IFERROR(__xludf.DUMMYFUNCTION("""COMPUTED_VALUE"""),"ficrafth")</f>
        <v>ficrafth</v>
      </c>
      <c r="C11" s="23">
        <f>IFERROR(__xludf.DUMMYFUNCTION("""COMPUTED_VALUE"""),77000.0)</f>
        <v>77000</v>
      </c>
      <c r="D11" s="17" t="str">
        <f>IFERROR(__xludf.DUMMYFUNCTION("""COMPUTED_VALUE"""),"Micro")</f>
        <v>Micro</v>
      </c>
      <c r="E11" s="18" t="str">
        <f>IFERROR(__xludf.DUMMYFUNCTION("""COMPUTED_VALUE"""),"ficrafth")</f>
        <v>ficrafth</v>
      </c>
      <c r="F11" s="19">
        <f>IFERROR(__xludf.DUMMYFUNCTION("""COMPUTED_VALUE"""),2200000.0)</f>
        <v>2200000</v>
      </c>
      <c r="G11" s="17" t="str">
        <f>IFERROR(__xludf.DUMMYFUNCTION("""COMPUTED_VALUE"""),"Mega")</f>
        <v>Mega</v>
      </c>
      <c r="H11" s="17" t="str">
        <f>IFERROR(__xludf.DUMMYFUNCTION("""COMPUTED_VALUE"""),"Bandung")</f>
        <v>Bandung</v>
      </c>
      <c r="I11" s="20">
        <f>IFERROR(__xludf.DUMMYFUNCTION("""COMPUTED_VALUE"""),2500000.0)</f>
        <v>2500000</v>
      </c>
      <c r="J11" s="20">
        <f>IFERROR(__xludf.DUMMYFUNCTION("""COMPUTED_VALUE"""),5000000.0)</f>
        <v>5000000</v>
      </c>
      <c r="K11" s="20">
        <f>IFERROR(__xludf.DUMMYFUNCTION("""COMPUTED_VALUE"""),6000000.0)</f>
        <v>6000000</v>
      </c>
      <c r="L11" s="20">
        <f>IFERROR(__xludf.DUMMYFUNCTION("""COMPUTED_VALUE"""),1.2E7)</f>
        <v>12000000</v>
      </c>
      <c r="M11" s="20">
        <f>IFERROR(__xludf.DUMMYFUNCTION("""COMPUTED_VALUE"""),1.4E7)</f>
        <v>14000000</v>
      </c>
      <c r="N11" s="27"/>
      <c r="O11" s="45"/>
      <c r="P11" s="45"/>
      <c r="Q11" s="45"/>
      <c r="R11" s="45"/>
      <c r="S11" s="45"/>
      <c r="T11" s="45"/>
      <c r="U11" s="45"/>
      <c r="V11" s="45"/>
      <c r="W11" s="45"/>
    </row>
    <row r="12">
      <c r="A12" s="17">
        <f>IFERROR(__xludf.DUMMYFUNCTION("""COMPUTED_VALUE"""),9.0)</f>
        <v>9</v>
      </c>
      <c r="B12" s="18" t="str">
        <f>IFERROR(__xludf.DUMMYFUNCTION("""COMPUTED_VALUE"""),"bellzky16")</f>
        <v>bellzky16</v>
      </c>
      <c r="C12" s="23">
        <f>IFERROR(__xludf.DUMMYFUNCTION("""COMPUTED_VALUE"""),315000.0)</f>
        <v>315000</v>
      </c>
      <c r="D12" s="17" t="str">
        <f>IFERROR(__xludf.DUMMYFUNCTION("""COMPUTED_VALUE"""),"Mid")</f>
        <v>Mid</v>
      </c>
      <c r="E12" s="24" t="str">
        <f>IFERROR(__xludf.DUMMYFUNCTION("""COMPUTED_VALUE"""),"bellzky16")</f>
        <v>bellzky16</v>
      </c>
      <c r="F12" s="19">
        <f>IFERROR(__xludf.DUMMYFUNCTION("""COMPUTED_VALUE"""),4000000.0)</f>
        <v>4000000</v>
      </c>
      <c r="G12" s="17" t="str">
        <f>IFERROR(__xludf.DUMMYFUNCTION("""COMPUTED_VALUE"""),"Mega")</f>
        <v>Mega</v>
      </c>
      <c r="H12" s="20" t="str">
        <f>IFERROR(__xludf.DUMMYFUNCTION("""COMPUTED_VALUE"""),"Tangerang")</f>
        <v>Tangerang</v>
      </c>
      <c r="I12" s="20">
        <f>IFERROR(__xludf.DUMMYFUNCTION("""COMPUTED_VALUE"""),7000000.0)</f>
        <v>7000000</v>
      </c>
      <c r="J12" s="20">
        <f>IFERROR(__xludf.DUMMYFUNCTION("""COMPUTED_VALUE"""),1.0E7)</f>
        <v>10000000</v>
      </c>
      <c r="K12" s="20">
        <f>IFERROR(__xludf.DUMMYFUNCTION("""COMPUTED_VALUE"""),1.3E7)</f>
        <v>13000000</v>
      </c>
      <c r="L12" s="20">
        <f>IFERROR(__xludf.DUMMYFUNCTION("""COMPUTED_VALUE"""),2.0E7)</f>
        <v>20000000</v>
      </c>
      <c r="M12" s="20">
        <f>IFERROR(__xludf.DUMMYFUNCTION("""COMPUTED_VALUE"""),2.6E7)</f>
        <v>26000000</v>
      </c>
      <c r="N12" s="27"/>
      <c r="O12" s="45"/>
      <c r="P12" s="45"/>
      <c r="Q12" s="45"/>
      <c r="R12" s="45"/>
      <c r="S12" s="45"/>
      <c r="T12" s="45"/>
      <c r="U12" s="45"/>
      <c r="V12" s="45"/>
      <c r="W12" s="45"/>
    </row>
    <row r="13">
      <c r="A13" s="17">
        <f>IFERROR(__xludf.DUMMYFUNCTION("""COMPUTED_VALUE"""),10.0)</f>
        <v>10</v>
      </c>
      <c r="B13" s="18" t="str">
        <f>IFERROR(__xludf.DUMMYFUNCTION("""COMPUTED_VALUE"""),"S.sraaa")</f>
        <v>S.sraaa</v>
      </c>
      <c r="C13" s="23">
        <f>IFERROR(__xludf.DUMMYFUNCTION("""COMPUTED_VALUE"""),153000.0)</f>
        <v>153000</v>
      </c>
      <c r="D13" s="17" t="str">
        <f>IFERROR(__xludf.DUMMYFUNCTION("""COMPUTED_VALUE"""),"Mid")</f>
        <v>Mid</v>
      </c>
      <c r="E13" s="18" t="str">
        <f>IFERROR(__xludf.DUMMYFUNCTION("""COMPUTED_VALUE"""),"Sssiraa")</f>
        <v>Sssiraa</v>
      </c>
      <c r="F13" s="23">
        <f>IFERROR(__xludf.DUMMYFUNCTION("""COMPUTED_VALUE"""),32900.0)</f>
        <v>32900</v>
      </c>
      <c r="G13" s="17" t="str">
        <f>IFERROR(__xludf.DUMMYFUNCTION("""COMPUTED_VALUE"""),"Micro")</f>
        <v>Micro</v>
      </c>
      <c r="H13" s="17" t="str">
        <f>IFERROR(__xludf.DUMMYFUNCTION("""COMPUTED_VALUE"""),"Bekasi")</f>
        <v>Bekasi</v>
      </c>
      <c r="I13" s="20">
        <f>IFERROR(__xludf.DUMMYFUNCTION("""COMPUTED_VALUE"""),5300000.0)</f>
        <v>5300000</v>
      </c>
      <c r="J13" s="20">
        <f>IFERROR(__xludf.DUMMYFUNCTION("""COMPUTED_VALUE"""),5500000.0)</f>
        <v>5500000</v>
      </c>
      <c r="K13" s="20">
        <f>IFERROR(__xludf.DUMMYFUNCTION("""COMPUTED_VALUE"""),6000000.0)</f>
        <v>6000000</v>
      </c>
      <c r="L13" s="20">
        <f>IFERROR(__xludf.DUMMYFUNCTION("""COMPUTED_VALUE"""),5100000.0)</f>
        <v>5100000</v>
      </c>
      <c r="M13" s="20">
        <f>IFERROR(__xludf.DUMMYFUNCTION("""COMPUTED_VALUE"""),6200000.0)</f>
        <v>6200000</v>
      </c>
      <c r="N13" s="27"/>
      <c r="O13" s="45"/>
      <c r="P13" s="45"/>
      <c r="Q13" s="45"/>
      <c r="R13" s="45"/>
      <c r="S13" s="45"/>
      <c r="T13" s="45"/>
      <c r="U13" s="45"/>
      <c r="V13" s="45"/>
      <c r="W13" s="45"/>
    </row>
    <row r="14">
      <c r="A14" s="17">
        <f>IFERROR(__xludf.DUMMYFUNCTION("""COMPUTED_VALUE"""),11.0)</f>
        <v>11</v>
      </c>
      <c r="B14" s="18" t="str">
        <f>IFERROR(__xludf.DUMMYFUNCTION("""COMPUTED_VALUE"""),"sylvamulachelaa")</f>
        <v>sylvamulachelaa</v>
      </c>
      <c r="C14" s="23">
        <f>IFERROR(__xludf.DUMMYFUNCTION("""COMPUTED_VALUE"""),145000.0)</f>
        <v>145000</v>
      </c>
      <c r="D14" s="17" t="str">
        <f>IFERROR(__xludf.DUMMYFUNCTION("""COMPUTED_VALUE"""),"Mid")</f>
        <v>Mid</v>
      </c>
      <c r="E14" s="18" t="str">
        <f>IFERROR(__xludf.DUMMYFUNCTION("""COMPUTED_VALUE"""),"sylvamulachelaa")</f>
        <v>sylvamulachelaa</v>
      </c>
      <c r="F14" s="23">
        <f>IFERROR(__xludf.DUMMYFUNCTION("""COMPUTED_VALUE"""),9717.0)</f>
        <v>9717</v>
      </c>
      <c r="G14" s="17" t="str">
        <f>IFERROR(__xludf.DUMMYFUNCTION("""COMPUTED_VALUE"""),"Nano")</f>
        <v>Nano</v>
      </c>
      <c r="H14" s="17" t="str">
        <f>IFERROR(__xludf.DUMMYFUNCTION("""COMPUTED_VALUE"""),"Tangerang")</f>
        <v>Tangerang</v>
      </c>
      <c r="I14" s="20">
        <f>IFERROR(__xludf.DUMMYFUNCTION("""COMPUTED_VALUE"""),1500000.0)</f>
        <v>1500000</v>
      </c>
      <c r="J14" s="20">
        <f>IFERROR(__xludf.DUMMYFUNCTION("""COMPUTED_VALUE"""),1950000.0)</f>
        <v>1950000</v>
      </c>
      <c r="K14" s="20">
        <f>IFERROR(__xludf.DUMMYFUNCTION("""COMPUTED_VALUE"""),2150000.0)</f>
        <v>2150000</v>
      </c>
      <c r="L14" s="20">
        <f>IFERROR(__xludf.DUMMYFUNCTION("""COMPUTED_VALUE"""),1600000.0)</f>
        <v>1600000</v>
      </c>
      <c r="M14" s="20">
        <f>IFERROR(__xludf.DUMMYFUNCTION("""COMPUTED_VALUE"""),1900000.0)</f>
        <v>1900000</v>
      </c>
      <c r="N14" s="27"/>
      <c r="O14" s="45"/>
      <c r="P14" s="45"/>
      <c r="Q14" s="45"/>
      <c r="R14" s="45"/>
      <c r="S14" s="45"/>
      <c r="T14" s="45"/>
      <c r="U14" s="45"/>
      <c r="V14" s="45"/>
      <c r="W14" s="45"/>
    </row>
    <row r="15">
      <c r="A15" s="17">
        <f>IFERROR(__xludf.DUMMYFUNCTION("""COMPUTED_VALUE"""),12.0)</f>
        <v>12</v>
      </c>
      <c r="B15" s="18" t="str">
        <f>IFERROR(__xludf.DUMMYFUNCTION("""COMPUTED_VALUE"""),"rachma.fira")</f>
        <v>rachma.fira</v>
      </c>
      <c r="C15" s="23">
        <f>IFERROR(__xludf.DUMMYFUNCTION("""COMPUTED_VALUE"""),25600.0)</f>
        <v>25600</v>
      </c>
      <c r="D15" s="17" t="str">
        <f>IFERROR(__xludf.DUMMYFUNCTION("""COMPUTED_VALUE"""),"Micro")</f>
        <v>Micro</v>
      </c>
      <c r="E15" s="18" t="str">
        <f>IFERROR(__xludf.DUMMYFUNCTION("""COMPUTED_VALUE"""),"rachmafira12")</f>
        <v>rachmafira12</v>
      </c>
      <c r="F15" s="19">
        <f>IFERROR(__xludf.DUMMYFUNCTION("""COMPUTED_VALUE"""),1100000.0)</f>
        <v>1100000</v>
      </c>
      <c r="G15" s="17" t="str">
        <f>IFERROR(__xludf.DUMMYFUNCTION("""COMPUTED_VALUE"""),"Mega")</f>
        <v>Mega</v>
      </c>
      <c r="H15" s="17" t="str">
        <f>IFERROR(__xludf.DUMMYFUNCTION("""COMPUTED_VALUE"""),"Yogyakarta")</f>
        <v>Yogyakarta</v>
      </c>
      <c r="I15" s="20">
        <f>IFERROR(__xludf.DUMMYFUNCTION("""COMPUTED_VALUE"""),950000.0)</f>
        <v>950000</v>
      </c>
      <c r="J15" s="20">
        <f>IFERROR(__xludf.DUMMYFUNCTION("""COMPUTED_VALUE"""),1000000.0)</f>
        <v>1000000</v>
      </c>
      <c r="K15" s="20">
        <f>IFERROR(__xludf.DUMMYFUNCTION("""COMPUTED_VALUE"""),1600000.0)</f>
        <v>1600000</v>
      </c>
      <c r="L15" s="20">
        <f>IFERROR(__xludf.DUMMYFUNCTION("""COMPUTED_VALUE"""),3600000.0)</f>
        <v>3600000</v>
      </c>
      <c r="M15" s="20">
        <f>IFERROR(__xludf.DUMMYFUNCTION("""COMPUTED_VALUE"""),3800000.0)</f>
        <v>3800000</v>
      </c>
      <c r="N15" s="27"/>
      <c r="O15" s="45"/>
      <c r="P15" s="45"/>
      <c r="Q15" s="45"/>
      <c r="R15" s="45"/>
      <c r="S15" s="45"/>
      <c r="T15" s="45"/>
      <c r="U15" s="45"/>
      <c r="V15" s="45"/>
      <c r="W15" s="45"/>
    </row>
    <row r="16">
      <c r="A16" s="17">
        <f>IFERROR(__xludf.DUMMYFUNCTION("""COMPUTED_VALUE"""),13.0)</f>
        <v>13</v>
      </c>
      <c r="B16" s="18" t="str">
        <f>IFERROR(__xludf.DUMMYFUNCTION("""COMPUTED_VALUE"""),"nadiladrn")</f>
        <v>nadiladrn</v>
      </c>
      <c r="C16" s="23">
        <f>IFERROR(__xludf.DUMMYFUNCTION("""COMPUTED_VALUE"""),509000.0)</f>
        <v>509000</v>
      </c>
      <c r="D16" s="17" t="str">
        <f>IFERROR(__xludf.DUMMYFUNCTION("""COMPUTED_VALUE"""),"Macro")</f>
        <v>Macro</v>
      </c>
      <c r="E16" s="18" t="str">
        <f>IFERROR(__xludf.DUMMYFUNCTION("""COMPUTED_VALUE"""),"dileeedrn")</f>
        <v>dileeedrn</v>
      </c>
      <c r="F16" s="23">
        <f>IFERROR(__xludf.DUMMYFUNCTION("""COMPUTED_VALUE"""),168200.0)</f>
        <v>168200</v>
      </c>
      <c r="G16" s="17" t="str">
        <f>IFERROR(__xludf.DUMMYFUNCTION("""COMPUTED_VALUE"""),"Mid")</f>
        <v>Mid</v>
      </c>
      <c r="H16" s="17" t="str">
        <f>IFERROR(__xludf.DUMMYFUNCTION("""COMPUTED_VALUE"""),"Siantar")</f>
        <v>Siantar</v>
      </c>
      <c r="I16" s="20">
        <f>IFERROR(__xludf.DUMMYFUNCTION("""COMPUTED_VALUE"""),2000000.0)</f>
        <v>2000000</v>
      </c>
      <c r="J16" s="20">
        <f>IFERROR(__xludf.DUMMYFUNCTION("""COMPUTED_VALUE"""),2350000.0)</f>
        <v>2350000</v>
      </c>
      <c r="K16" s="20">
        <f>IFERROR(__xludf.DUMMYFUNCTION("""COMPUTED_VALUE"""),2500000.0)</f>
        <v>2500000</v>
      </c>
      <c r="L16" s="20">
        <f>IFERROR(__xludf.DUMMYFUNCTION("""COMPUTED_VALUE"""),2250000.0)</f>
        <v>2250000</v>
      </c>
      <c r="M16" s="20">
        <f>IFERROR(__xludf.DUMMYFUNCTION("""COMPUTED_VALUE"""),3000000.0)</f>
        <v>3000000</v>
      </c>
      <c r="N16" s="27"/>
      <c r="O16" s="45"/>
      <c r="P16" s="45"/>
      <c r="Q16" s="45"/>
      <c r="R16" s="45"/>
      <c r="S16" s="45"/>
      <c r="T16" s="45"/>
      <c r="U16" s="45"/>
      <c r="V16" s="45"/>
      <c r="W16" s="45"/>
    </row>
    <row r="17">
      <c r="A17" s="17">
        <f>IFERROR(__xludf.DUMMYFUNCTION("""COMPUTED_VALUE"""),14.0)</f>
        <v>14</v>
      </c>
      <c r="B17" s="18" t="str">
        <f>IFERROR(__xludf.DUMMYFUNCTION("""COMPUTED_VALUE"""),"imasfahriaty_")</f>
        <v>imasfahriaty_</v>
      </c>
      <c r="C17" s="23">
        <f>IFERROR(__xludf.DUMMYFUNCTION("""COMPUTED_VALUE"""),879000.0)</f>
        <v>879000</v>
      </c>
      <c r="D17" s="17" t="str">
        <f>IFERROR(__xludf.DUMMYFUNCTION("""COMPUTED_VALUE"""),"Macro")</f>
        <v>Macro</v>
      </c>
      <c r="E17" s="18" t="str">
        <f>IFERROR(__xludf.DUMMYFUNCTION("""COMPUTED_VALUE"""),"imasfahriaty_")</f>
        <v>imasfahriaty_</v>
      </c>
      <c r="F17" s="19">
        <f>IFERROR(__xludf.DUMMYFUNCTION("""COMPUTED_VALUE"""),3800000.0)</f>
        <v>3800000</v>
      </c>
      <c r="G17" s="17" t="str">
        <f>IFERROR(__xludf.DUMMYFUNCTION("""COMPUTED_VALUE"""),"Mega")</f>
        <v>Mega</v>
      </c>
      <c r="H17" s="17" t="str">
        <f>IFERROR(__xludf.DUMMYFUNCTION("""COMPUTED_VALUE"""),"Tangerang")</f>
        <v>Tangerang</v>
      </c>
      <c r="I17" s="20" t="str">
        <f>IFERROR(__xludf.DUMMYFUNCTION("""COMPUTED_VALUE"""),"Rp4,500,000 (Jabodetabek)
Rp5,500,000 (Luar Jabodetabek)")</f>
        <v>Rp4,500,000 (Jabodetabek)
Rp5,500,000 (Luar Jabodetabek)</v>
      </c>
      <c r="J17" s="20" t="str">
        <f>IFERROR(__xludf.DUMMYFUNCTION("""COMPUTED_VALUE"""),"Rp7,000,000 (Jabodetabek)
Rp8,000,000 (Luar Jabodetabek)")</f>
        <v>Rp7,000,000 (Jabodetabek)
Rp8,000,000 (Luar Jabodetabek)</v>
      </c>
      <c r="K17" s="20" t="str">
        <f>IFERROR(__xludf.DUMMYFUNCTION("""COMPUTED_VALUE"""),"Rp16,000,000 (Jabodetabek)
Rp17,000,000 (Luar Jabodetabek)")</f>
        <v>Rp16,000,000 (Jabodetabek)
Rp17,000,000 (Luar Jabodetabek)</v>
      </c>
      <c r="L17" s="20" t="str">
        <f>IFERROR(__xludf.DUMMYFUNCTION("""COMPUTED_VALUE"""),"Rp17,000,000 (Jabodetabek)
Rp18,000,000 (Luar Jabodetabek)")</f>
        <v>Rp17,000,000 (Jabodetabek)
Rp18,000,000 (Luar Jabodetabek)</v>
      </c>
      <c r="M17" s="20" t="str">
        <f>IFERROR(__xludf.DUMMYFUNCTION("""COMPUTED_VALUE"""),"Rp21,000,000 (Jabodetabek)
Rp22,000,000 (Luar Jabodetabek)")</f>
        <v>Rp21,000,000 (Jabodetabek)
Rp22,000,000 (Luar Jabodetabek)</v>
      </c>
      <c r="N17" s="27"/>
      <c r="O17" s="45"/>
      <c r="P17" s="45"/>
      <c r="Q17" s="45"/>
      <c r="R17" s="45"/>
      <c r="S17" s="45"/>
      <c r="T17" s="45"/>
      <c r="U17" s="45"/>
      <c r="V17" s="45"/>
      <c r="W17" s="45"/>
    </row>
    <row r="18">
      <c r="A18" s="17">
        <f>IFERROR(__xludf.DUMMYFUNCTION("""COMPUTED_VALUE"""),15.0)</f>
        <v>15</v>
      </c>
      <c r="B18" s="18" t="str">
        <f>IFERROR(__xludf.DUMMYFUNCTION("""COMPUTED_VALUE"""),"putrinahari")</f>
        <v>putrinahari</v>
      </c>
      <c r="C18" s="23">
        <f>IFERROR(__xludf.DUMMYFUNCTION("""COMPUTED_VALUE"""),589000.0)</f>
        <v>589000</v>
      </c>
      <c r="D18" s="17" t="str">
        <f>IFERROR(__xludf.DUMMYFUNCTION("""COMPUTED_VALUE"""),"Macro")</f>
        <v>Macro</v>
      </c>
      <c r="E18" s="18" t="str">
        <f>IFERROR(__xludf.DUMMYFUNCTION("""COMPUTED_VALUE"""),"putrinaharira")</f>
        <v>putrinaharira</v>
      </c>
      <c r="F18" s="23">
        <f>IFERROR(__xludf.DUMMYFUNCTION("""COMPUTED_VALUE"""),201700.0)</f>
        <v>201700</v>
      </c>
      <c r="G18" s="17" t="str">
        <f>IFERROR(__xludf.DUMMYFUNCTION("""COMPUTED_VALUE"""),"Mid")</f>
        <v>Mid</v>
      </c>
      <c r="H18" s="17" t="str">
        <f>IFERROR(__xludf.DUMMYFUNCTION("""COMPUTED_VALUE"""),"Tangerang")</f>
        <v>Tangerang</v>
      </c>
      <c r="I18" s="20">
        <f>IFERROR(__xludf.DUMMYFUNCTION("""COMPUTED_VALUE"""),3000000.0)</f>
        <v>3000000</v>
      </c>
      <c r="J18" s="20">
        <f>IFERROR(__xludf.DUMMYFUNCTION("""COMPUTED_VALUE"""),5500000.0)</f>
        <v>5500000</v>
      </c>
      <c r="K18" s="20">
        <f>IFERROR(__xludf.DUMMYFUNCTION("""COMPUTED_VALUE"""),7500000.0)</f>
        <v>7500000</v>
      </c>
      <c r="L18" s="20">
        <f>IFERROR(__xludf.DUMMYFUNCTION("""COMPUTED_VALUE"""),1.15E7)</f>
        <v>11500000</v>
      </c>
      <c r="M18" s="20" t="str">
        <f>IFERROR(__xludf.DUMMYFUNCTION("""COMPUTED_VALUE"""),"FREE")</f>
        <v>FREE</v>
      </c>
      <c r="N18" s="27"/>
      <c r="O18" s="45"/>
      <c r="P18" s="45"/>
      <c r="Q18" s="45"/>
      <c r="R18" s="45"/>
      <c r="S18" s="45"/>
      <c r="T18" s="45"/>
      <c r="U18" s="45"/>
      <c r="V18" s="45"/>
      <c r="W18" s="45"/>
    </row>
    <row r="19">
      <c r="A19" s="17">
        <f>IFERROR(__xludf.DUMMYFUNCTION("""COMPUTED_VALUE"""),16.0)</f>
        <v>16</v>
      </c>
      <c r="B19" s="18" t="str">
        <f>IFERROR(__xludf.DUMMYFUNCTION("""COMPUTED_VALUE"""),"trishaazia")</f>
        <v>trishaazia</v>
      </c>
      <c r="C19" s="23">
        <f>IFERROR(__xludf.DUMMYFUNCTION("""COMPUTED_VALUE"""),571000.0)</f>
        <v>571000</v>
      </c>
      <c r="D19" s="17" t="str">
        <f>IFERROR(__xludf.DUMMYFUNCTION("""COMPUTED_VALUE"""),"Macro")</f>
        <v>Macro</v>
      </c>
      <c r="E19" s="18" t="str">
        <f>IFERROR(__xludf.DUMMYFUNCTION("""COMPUTED_VALUE"""),"trishaaazia")</f>
        <v>trishaaazia</v>
      </c>
      <c r="F19" s="19">
        <f>IFERROR(__xludf.DUMMYFUNCTION("""COMPUTED_VALUE"""),9500000.0)</f>
        <v>9500000</v>
      </c>
      <c r="G19" s="17" t="str">
        <f>IFERROR(__xludf.DUMMYFUNCTION("""COMPUTED_VALUE"""),"Mega")</f>
        <v>Mega</v>
      </c>
      <c r="H19" s="17" t="str">
        <f>IFERROR(__xludf.DUMMYFUNCTION("""COMPUTED_VALUE"""),"Depok")</f>
        <v>Depok</v>
      </c>
      <c r="I19" s="20">
        <f>IFERROR(__xludf.DUMMYFUNCTION("""COMPUTED_VALUE"""),2000000.0)</f>
        <v>2000000</v>
      </c>
      <c r="J19" s="20">
        <f>IFERROR(__xludf.DUMMYFUNCTION("""COMPUTED_VALUE"""),6000000.0)</f>
        <v>6000000</v>
      </c>
      <c r="K19" s="20">
        <f>IFERROR(__xludf.DUMMYFUNCTION("""COMPUTED_VALUE"""),9000000.0)</f>
        <v>9000000</v>
      </c>
      <c r="L19" s="20">
        <f>IFERROR(__xludf.DUMMYFUNCTION("""COMPUTED_VALUE"""),1.6E7)</f>
        <v>16000000</v>
      </c>
      <c r="M19" s="20">
        <f>IFERROR(__xludf.DUMMYFUNCTION("""COMPUTED_VALUE"""),1.9E7)</f>
        <v>19000000</v>
      </c>
      <c r="N19" s="27"/>
      <c r="O19" s="45"/>
      <c r="P19" s="45"/>
      <c r="Q19" s="45"/>
      <c r="R19" s="45"/>
      <c r="S19" s="45"/>
      <c r="T19" s="45"/>
      <c r="U19" s="45"/>
      <c r="V19" s="45"/>
      <c r="W19" s="45"/>
    </row>
    <row r="20">
      <c r="A20" s="17">
        <f>IFERROR(__xludf.DUMMYFUNCTION("""COMPUTED_VALUE"""),17.0)</f>
        <v>17</v>
      </c>
      <c r="B20" s="18" t="str">
        <f>IFERROR(__xludf.DUMMYFUNCTION("""COMPUTED_VALUE"""),"fazmifebriana_")</f>
        <v>fazmifebriana_</v>
      </c>
      <c r="C20" s="23">
        <f>IFERROR(__xludf.DUMMYFUNCTION("""COMPUTED_VALUE"""),457000.0)</f>
        <v>457000</v>
      </c>
      <c r="D20" s="17" t="str">
        <f>IFERROR(__xludf.DUMMYFUNCTION("""COMPUTED_VALUE"""),"Mid")</f>
        <v>Mid</v>
      </c>
      <c r="E20" s="18" t="str">
        <f>IFERROR(__xludf.DUMMYFUNCTION("""COMPUTED_VALUE"""),"fazmif_")</f>
        <v>fazmif_</v>
      </c>
      <c r="F20" s="23">
        <f>IFERROR(__xludf.DUMMYFUNCTION("""COMPUTED_VALUE"""),779900.0)</f>
        <v>779900</v>
      </c>
      <c r="G20" s="17" t="str">
        <f>IFERROR(__xludf.DUMMYFUNCTION("""COMPUTED_VALUE"""),"Macro")</f>
        <v>Macro</v>
      </c>
      <c r="H20" s="17" t="str">
        <f>IFERROR(__xludf.DUMMYFUNCTION("""COMPUTED_VALUE"""),"Bogor")</f>
        <v>Bogor</v>
      </c>
      <c r="I20" s="17"/>
      <c r="J20" s="20">
        <f>IFERROR(__xludf.DUMMYFUNCTION("""COMPUTED_VALUE"""),8000000.0)</f>
        <v>8000000</v>
      </c>
      <c r="K20" s="20">
        <f>IFERROR(__xludf.DUMMYFUNCTION("""COMPUTED_VALUE"""),9000000.0)</f>
        <v>9000000</v>
      </c>
      <c r="L20" s="20">
        <f>IFERROR(__xludf.DUMMYFUNCTION("""COMPUTED_VALUE"""),9000000.0)</f>
        <v>9000000</v>
      </c>
      <c r="M20" s="17"/>
      <c r="N20" s="27"/>
      <c r="O20" s="45"/>
      <c r="P20" s="45"/>
      <c r="Q20" s="45"/>
      <c r="R20" s="45"/>
      <c r="S20" s="45"/>
      <c r="T20" s="45"/>
      <c r="U20" s="45"/>
      <c r="V20" s="45"/>
      <c r="W20" s="45"/>
    </row>
    <row r="21">
      <c r="A21" s="17">
        <f>IFERROR(__xludf.DUMMYFUNCTION("""COMPUTED_VALUE"""),18.0)</f>
        <v>18</v>
      </c>
      <c r="B21" s="18" t="str">
        <f>IFERROR(__xludf.DUMMYFUNCTION("""COMPUTED_VALUE"""),"aisyafputri")</f>
        <v>aisyafputri</v>
      </c>
      <c r="C21" s="23">
        <f>IFERROR(__xludf.DUMMYFUNCTION("""COMPUTED_VALUE"""),456000.0)</f>
        <v>456000</v>
      </c>
      <c r="D21" s="17" t="str">
        <f>IFERROR(__xludf.DUMMYFUNCTION("""COMPUTED_VALUE"""),"Mid")</f>
        <v>Mid</v>
      </c>
      <c r="E21" s="18" t="str">
        <f>IFERROR(__xludf.DUMMYFUNCTION("""COMPUTED_VALUE"""),"aisyafputri")</f>
        <v>aisyafputri</v>
      </c>
      <c r="F21" s="19">
        <f>IFERROR(__xludf.DUMMYFUNCTION("""COMPUTED_VALUE"""),986500.0)</f>
        <v>986500</v>
      </c>
      <c r="G21" s="17" t="str">
        <f>IFERROR(__xludf.DUMMYFUNCTION("""COMPUTED_VALUE"""),"Macro")</f>
        <v>Macro</v>
      </c>
      <c r="H21" s="17" t="str">
        <f>IFERROR(__xludf.DUMMYFUNCTION("""COMPUTED_VALUE"""),"Bogor")</f>
        <v>Bogor</v>
      </c>
      <c r="I21" s="20">
        <f>IFERROR(__xludf.DUMMYFUNCTION("""COMPUTED_VALUE"""),4500000.0)</f>
        <v>4500000</v>
      </c>
      <c r="J21" s="20">
        <f>IFERROR(__xludf.DUMMYFUNCTION("""COMPUTED_VALUE"""),6000000.0)</f>
        <v>6000000</v>
      </c>
      <c r="K21" s="20">
        <f>IFERROR(__xludf.DUMMYFUNCTION("""COMPUTED_VALUE"""),9000000.0)</f>
        <v>9000000</v>
      </c>
      <c r="L21" s="20">
        <f>IFERROR(__xludf.DUMMYFUNCTION("""COMPUTED_VALUE"""),8500000.0)</f>
        <v>8500000</v>
      </c>
      <c r="M21" s="20">
        <f>IFERROR(__xludf.DUMMYFUNCTION("""COMPUTED_VALUE"""),1.15E7)</f>
        <v>11500000</v>
      </c>
      <c r="N21" s="27"/>
      <c r="O21" s="45"/>
      <c r="P21" s="45"/>
      <c r="Q21" s="45"/>
      <c r="R21" s="45"/>
      <c r="S21" s="45"/>
      <c r="T21" s="45"/>
      <c r="U21" s="45"/>
      <c r="V21" s="45"/>
      <c r="W21" s="45"/>
    </row>
    <row r="22">
      <c r="A22" s="17">
        <f>IFERROR(__xludf.DUMMYFUNCTION("""COMPUTED_VALUE"""),19.0)</f>
        <v>19</v>
      </c>
      <c r="B22" s="18" t="str">
        <f>IFERROR(__xludf.DUMMYFUNCTION("""COMPUTED_VALUE"""),"aisyah_putri17")</f>
        <v>aisyah_putri17</v>
      </c>
      <c r="C22" s="23">
        <f>IFERROR(__xludf.DUMMYFUNCTION("""COMPUTED_VALUE"""),440000.0)</f>
        <v>440000</v>
      </c>
      <c r="D22" s="17" t="str">
        <f>IFERROR(__xludf.DUMMYFUNCTION("""COMPUTED_VALUE"""),"Mid")</f>
        <v>Mid</v>
      </c>
      <c r="E22" s="18" t="str">
        <f>IFERROR(__xludf.DUMMYFUNCTION("""COMPUTED_VALUE"""),"aisyah_wanitakalem")</f>
        <v>aisyah_wanitakalem</v>
      </c>
      <c r="F22" s="19">
        <f>IFERROR(__xludf.DUMMYFUNCTION("""COMPUTED_VALUE"""),2200000.0)</f>
        <v>2200000</v>
      </c>
      <c r="G22" s="17" t="str">
        <f>IFERROR(__xludf.DUMMYFUNCTION("""COMPUTED_VALUE"""),"Mega")</f>
        <v>Mega</v>
      </c>
      <c r="H22" s="17" t="str">
        <f>IFERROR(__xludf.DUMMYFUNCTION("""COMPUTED_VALUE"""),"Jakarta")</f>
        <v>Jakarta</v>
      </c>
      <c r="I22" s="20">
        <f>IFERROR(__xludf.DUMMYFUNCTION("""COMPUTED_VALUE"""),5000000.0)</f>
        <v>5000000</v>
      </c>
      <c r="J22" s="20">
        <f>IFERROR(__xludf.DUMMYFUNCTION("""COMPUTED_VALUE"""),8000000.0)</f>
        <v>8000000</v>
      </c>
      <c r="K22" s="20">
        <f>IFERROR(__xludf.DUMMYFUNCTION("""COMPUTED_VALUE"""),1.3E7)</f>
        <v>13000000</v>
      </c>
      <c r="L22" s="20">
        <f>IFERROR(__xludf.DUMMYFUNCTION("""COMPUTED_VALUE"""),1.8E7)</f>
        <v>18000000</v>
      </c>
      <c r="M22" s="20">
        <f>IFERROR(__xludf.DUMMYFUNCTION("""COMPUTED_VALUE"""),2.3E7)</f>
        <v>23000000</v>
      </c>
      <c r="N22" s="27"/>
      <c r="O22" s="45"/>
      <c r="P22" s="45"/>
      <c r="Q22" s="45"/>
      <c r="R22" s="45"/>
      <c r="S22" s="45"/>
      <c r="T22" s="45"/>
      <c r="U22" s="45"/>
      <c r="V22" s="45"/>
      <c r="W22" s="45"/>
    </row>
    <row r="23">
      <c r="A23" s="17">
        <f>IFERROR(__xludf.DUMMYFUNCTION("""COMPUTED_VALUE"""),20.0)</f>
        <v>20</v>
      </c>
      <c r="B23" s="18" t="str">
        <f>IFERROR(__xludf.DUMMYFUNCTION("""COMPUTED_VALUE"""),"nabilabellai_")</f>
        <v>nabilabellai_</v>
      </c>
      <c r="C23" s="23">
        <f>IFERROR(__xludf.DUMMYFUNCTION("""COMPUTED_VALUE"""),420000.0)</f>
        <v>420000</v>
      </c>
      <c r="D23" s="17" t="str">
        <f>IFERROR(__xludf.DUMMYFUNCTION("""COMPUTED_VALUE"""),"Mid")</f>
        <v>Mid</v>
      </c>
      <c r="E23" s="18" t="str">
        <f>IFERROR(__xludf.DUMMYFUNCTION("""COMPUTED_VALUE"""),"nabilabellai_")</f>
        <v>nabilabellai_</v>
      </c>
      <c r="F23" s="23">
        <f>IFERROR(__xludf.DUMMYFUNCTION("""COMPUTED_VALUE"""),106700.0)</f>
        <v>106700</v>
      </c>
      <c r="G23" s="17" t="str">
        <f>IFERROR(__xludf.DUMMYFUNCTION("""COMPUTED_VALUE"""),"Mid")</f>
        <v>Mid</v>
      </c>
      <c r="H23" s="17" t="str">
        <f>IFERROR(__xludf.DUMMYFUNCTION("""COMPUTED_VALUE"""),"Bandung")</f>
        <v>Bandung</v>
      </c>
      <c r="I23" s="20">
        <f>IFERROR(__xludf.DUMMYFUNCTION("""COMPUTED_VALUE"""),1.2E7)</f>
        <v>12000000</v>
      </c>
      <c r="J23" s="20">
        <f>IFERROR(__xludf.DUMMYFUNCTION("""COMPUTED_VALUE"""),1.2E7)</f>
        <v>12000000</v>
      </c>
      <c r="K23" s="20">
        <f>IFERROR(__xludf.DUMMYFUNCTION("""COMPUTED_VALUE"""),2.0E7)</f>
        <v>20000000</v>
      </c>
      <c r="L23" s="20">
        <f>IFERROR(__xludf.DUMMYFUNCTION("""COMPUTED_VALUE"""),1.3E7)</f>
        <v>13000000</v>
      </c>
      <c r="M23" s="20">
        <f>IFERROR(__xludf.DUMMYFUNCTION("""COMPUTED_VALUE"""),2.0E7)</f>
        <v>20000000</v>
      </c>
      <c r="N23" s="27"/>
      <c r="O23" s="45"/>
      <c r="P23" s="45"/>
      <c r="Q23" s="45"/>
      <c r="R23" s="45"/>
      <c r="S23" s="45"/>
      <c r="T23" s="45"/>
      <c r="U23" s="45"/>
      <c r="V23" s="45"/>
      <c r="W23" s="45"/>
    </row>
    <row r="24">
      <c r="A24" s="17">
        <f>IFERROR(__xludf.DUMMYFUNCTION("""COMPUTED_VALUE"""),21.0)</f>
        <v>21</v>
      </c>
      <c r="B24" s="18" t="str">
        <f>IFERROR(__xludf.DUMMYFUNCTION("""COMPUTED_VALUE"""),"seviqfebinita")</f>
        <v>seviqfebinita</v>
      </c>
      <c r="C24" s="23">
        <f>IFERROR(__xludf.DUMMYFUNCTION("""COMPUTED_VALUE"""),417000.0)</f>
        <v>417000</v>
      </c>
      <c r="D24" s="17" t="str">
        <f>IFERROR(__xludf.DUMMYFUNCTION("""COMPUTED_VALUE"""),"Mid")</f>
        <v>Mid</v>
      </c>
      <c r="E24" s="18" t="str">
        <f>IFERROR(__xludf.DUMMYFUNCTION("""COMPUTED_VALUE"""),"seviqfebinita")</f>
        <v>seviqfebinita</v>
      </c>
      <c r="F24" s="23">
        <f>IFERROR(__xludf.DUMMYFUNCTION("""COMPUTED_VALUE"""),103500.0)</f>
        <v>103500</v>
      </c>
      <c r="G24" s="17" t="str">
        <f>IFERROR(__xludf.DUMMYFUNCTION("""COMPUTED_VALUE"""),"Mid")</f>
        <v>Mid</v>
      </c>
      <c r="H24" s="17" t="str">
        <f>IFERROR(__xludf.DUMMYFUNCTION("""COMPUTED_VALUE"""),"Jakarta")</f>
        <v>Jakarta</v>
      </c>
      <c r="I24" s="20">
        <f>IFERROR(__xludf.DUMMYFUNCTION("""COMPUTED_VALUE"""),6000000.0)</f>
        <v>6000000</v>
      </c>
      <c r="J24" s="20">
        <f>IFERROR(__xludf.DUMMYFUNCTION("""COMPUTED_VALUE"""),8000000.0)</f>
        <v>8000000</v>
      </c>
      <c r="K24" s="20">
        <f>IFERROR(__xludf.DUMMYFUNCTION("""COMPUTED_VALUE"""),1.5E7)</f>
        <v>15000000</v>
      </c>
      <c r="L24" s="20">
        <f>IFERROR(__xludf.DUMMYFUNCTION("""COMPUTED_VALUE"""),1.25E7)</f>
        <v>12500000</v>
      </c>
      <c r="M24" s="17"/>
      <c r="N24" s="27"/>
      <c r="O24" s="45"/>
      <c r="P24" s="45"/>
      <c r="Q24" s="45"/>
      <c r="R24" s="45"/>
      <c r="S24" s="45"/>
      <c r="T24" s="45"/>
      <c r="U24" s="45"/>
      <c r="V24" s="45"/>
      <c r="W24" s="45"/>
    </row>
    <row r="25">
      <c r="A25" s="17">
        <f>IFERROR(__xludf.DUMMYFUNCTION("""COMPUTED_VALUE"""),22.0)</f>
        <v>22</v>
      </c>
      <c r="B25" s="18" t="str">
        <f>IFERROR(__xludf.DUMMYFUNCTION("""COMPUTED_VALUE"""),"alminetaaz")</f>
        <v>alminetaaz</v>
      </c>
      <c r="C25" s="23">
        <f>IFERROR(__xludf.DUMMYFUNCTION("""COMPUTED_VALUE"""),382000.0)</f>
        <v>382000</v>
      </c>
      <c r="D25" s="17" t="str">
        <f>IFERROR(__xludf.DUMMYFUNCTION("""COMPUTED_VALUE"""),"Mid")</f>
        <v>Mid</v>
      </c>
      <c r="E25" s="18" t="str">
        <f>IFERROR(__xludf.DUMMYFUNCTION("""COMPUTED_VALUE"""),"almineta")</f>
        <v>almineta</v>
      </c>
      <c r="F25" s="19">
        <f>IFERROR(__xludf.DUMMYFUNCTION("""COMPUTED_VALUE"""),2800000.0)</f>
        <v>2800000</v>
      </c>
      <c r="G25" s="17" t="str">
        <f>IFERROR(__xludf.DUMMYFUNCTION("""COMPUTED_VALUE"""),"Mega")</f>
        <v>Mega</v>
      </c>
      <c r="H25" s="17" t="str">
        <f>IFERROR(__xludf.DUMMYFUNCTION("""COMPUTED_VALUE"""),"Jakarta")</f>
        <v>Jakarta</v>
      </c>
      <c r="I25" s="20">
        <f>IFERROR(__xludf.DUMMYFUNCTION("""COMPUTED_VALUE"""),8500000.0)</f>
        <v>8500000</v>
      </c>
      <c r="J25" s="20">
        <f>IFERROR(__xludf.DUMMYFUNCTION("""COMPUTED_VALUE"""),7500000.0)</f>
        <v>7500000</v>
      </c>
      <c r="K25" s="20">
        <f>IFERROR(__xludf.DUMMYFUNCTION("""COMPUTED_VALUE"""),1.5E7)</f>
        <v>15000000</v>
      </c>
      <c r="L25" s="20">
        <f>IFERROR(__xludf.DUMMYFUNCTION("""COMPUTED_VALUE"""),2.5E7)</f>
        <v>25000000</v>
      </c>
      <c r="M25" s="20">
        <f>IFERROR(__xludf.DUMMYFUNCTION("""COMPUTED_VALUE"""),1.3E7)</f>
        <v>13000000</v>
      </c>
      <c r="N25" s="27"/>
      <c r="O25" s="45"/>
      <c r="P25" s="45"/>
      <c r="Q25" s="45"/>
      <c r="R25" s="45"/>
      <c r="S25" s="45"/>
      <c r="T25" s="45"/>
      <c r="U25" s="45"/>
      <c r="V25" s="45"/>
      <c r="W25" s="45"/>
    </row>
    <row r="26">
      <c r="A26" s="17">
        <f>IFERROR(__xludf.DUMMYFUNCTION("""COMPUTED_VALUE"""),23.0)</f>
        <v>23</v>
      </c>
      <c r="B26" s="18" t="str">
        <f>IFERROR(__xludf.DUMMYFUNCTION("""COMPUTED_VALUE"""),"faridnuralimm_")</f>
        <v>faridnuralimm_</v>
      </c>
      <c r="C26" s="23">
        <f>IFERROR(__xludf.DUMMYFUNCTION("""COMPUTED_VALUE"""),303000.0)</f>
        <v>303000</v>
      </c>
      <c r="D26" s="17" t="str">
        <f>IFERROR(__xludf.DUMMYFUNCTION("""COMPUTED_VALUE"""),"Mid")</f>
        <v>Mid</v>
      </c>
      <c r="E26" s="18" t="str">
        <f>IFERROR(__xludf.DUMMYFUNCTION("""COMPUTED_VALUE"""),"aidnnn2")</f>
        <v>aidnnn2</v>
      </c>
      <c r="F26" s="23">
        <f>IFERROR(__xludf.DUMMYFUNCTION("""COMPUTED_VALUE"""),238100.0)</f>
        <v>238100</v>
      </c>
      <c r="G26" s="17" t="str">
        <f>IFERROR(__xludf.DUMMYFUNCTION("""COMPUTED_VALUE"""),"Mid")</f>
        <v>Mid</v>
      </c>
      <c r="H26" s="17" t="str">
        <f>IFERROR(__xludf.DUMMYFUNCTION("""COMPUTED_VALUE"""),"Bandung")</f>
        <v>Bandung</v>
      </c>
      <c r="I26" s="17"/>
      <c r="J26" s="20" t="str">
        <f>IFERROR(__xludf.DUMMYFUNCTION("""COMPUTED_VALUE"""),"Rp6,500,000 (Jabodetabek)
Rp5,500,000 (Bandung)")</f>
        <v>Rp6,500,000 (Jabodetabek)
Rp5,500,000 (Bandung)</v>
      </c>
      <c r="K26" s="20" t="str">
        <f>IFERROR(__xludf.DUMMYFUNCTION("""COMPUTED_VALUE"""),"Rp9,000,000 (Jabodetabek)
Rp8,000,000 (Bandung)")</f>
        <v>Rp9,000,000 (Jabodetabek)
Rp8,000,000 (Bandung)</v>
      </c>
      <c r="L26" s="20" t="str">
        <f>IFERROR(__xludf.DUMMYFUNCTION("""COMPUTED_VALUE"""),"Rp7,000,000 (Jabodetabek)
Rp6,000,000 (Bandung)")</f>
        <v>Rp7,000,000 (Jabodetabek)
Rp6,000,000 (Bandung)</v>
      </c>
      <c r="M26" s="17"/>
      <c r="N26" s="27"/>
      <c r="O26" s="45"/>
      <c r="P26" s="45"/>
      <c r="Q26" s="45"/>
      <c r="R26" s="45"/>
      <c r="S26" s="45"/>
      <c r="T26" s="45"/>
      <c r="U26" s="45"/>
      <c r="V26" s="45"/>
      <c r="W26" s="45"/>
    </row>
    <row r="27">
      <c r="A27" s="17">
        <f>IFERROR(__xludf.DUMMYFUNCTION("""COMPUTED_VALUE"""),24.0)</f>
        <v>24</v>
      </c>
      <c r="B27" s="18" t="str">
        <f>IFERROR(__xludf.DUMMYFUNCTION("""COMPUTED_VALUE"""),"hellodhanii")</f>
        <v>hellodhanii</v>
      </c>
      <c r="C27" s="23">
        <f>IFERROR(__xludf.DUMMYFUNCTION("""COMPUTED_VALUE"""),299000.0)</f>
        <v>299000</v>
      </c>
      <c r="D27" s="17" t="str">
        <f>IFERROR(__xludf.DUMMYFUNCTION("""COMPUTED_VALUE"""),"Mid")</f>
        <v>Mid</v>
      </c>
      <c r="E27" s="24" t="str">
        <f>IFERROR(__xludf.DUMMYFUNCTION("""COMPUTED_VALUE"""),"hellodhani")</f>
        <v>hellodhani</v>
      </c>
      <c r="F27" s="19">
        <f>IFERROR(__xludf.DUMMYFUNCTION("""COMPUTED_VALUE"""),2300000.0)</f>
        <v>2300000</v>
      </c>
      <c r="G27" s="17" t="str">
        <f>IFERROR(__xludf.DUMMYFUNCTION("""COMPUTED_VALUE"""),"Mega")</f>
        <v>Mega</v>
      </c>
      <c r="H27" s="20" t="str">
        <f>IFERROR(__xludf.DUMMYFUNCTION("""COMPUTED_VALUE"""),"Jakarta")</f>
        <v>Jakarta</v>
      </c>
      <c r="I27" s="20">
        <f>IFERROR(__xludf.DUMMYFUNCTION("""COMPUTED_VALUE"""),4000000.0)</f>
        <v>4000000</v>
      </c>
      <c r="J27" s="20">
        <f>IFERROR(__xludf.DUMMYFUNCTION("""COMPUTED_VALUE"""),4500000.0)</f>
        <v>4500000</v>
      </c>
      <c r="K27" s="20">
        <f>IFERROR(__xludf.DUMMYFUNCTION("""COMPUTED_VALUE"""),1.0E7)</f>
        <v>10000000</v>
      </c>
      <c r="L27" s="20">
        <f>IFERROR(__xludf.DUMMYFUNCTION("""COMPUTED_VALUE"""),8000000.0)</f>
        <v>8000000</v>
      </c>
      <c r="M27" s="20">
        <f>IFERROR(__xludf.DUMMYFUNCTION("""COMPUTED_VALUE"""),1.25E7)</f>
        <v>12500000</v>
      </c>
      <c r="N27" s="27"/>
      <c r="O27" s="45"/>
      <c r="P27" s="45"/>
      <c r="Q27" s="45"/>
      <c r="R27" s="45"/>
      <c r="S27" s="45"/>
      <c r="T27" s="45"/>
      <c r="U27" s="45"/>
      <c r="V27" s="45"/>
      <c r="W27" s="45"/>
    </row>
    <row r="28">
      <c r="A28" s="17">
        <f>IFERROR(__xludf.DUMMYFUNCTION("""COMPUTED_VALUE"""),25.0)</f>
        <v>25</v>
      </c>
      <c r="B28" s="18" t="str">
        <f>IFERROR(__xludf.DUMMYFUNCTION("""COMPUTED_VALUE"""),"jelitawidiaw")</f>
        <v>jelitawidiaw</v>
      </c>
      <c r="C28" s="23">
        <f>IFERROR(__xludf.DUMMYFUNCTION("""COMPUTED_VALUE"""),297000.0)</f>
        <v>297000</v>
      </c>
      <c r="D28" s="17" t="str">
        <f>IFERROR(__xludf.DUMMYFUNCTION("""COMPUTED_VALUE"""),"Mid")</f>
        <v>Mid</v>
      </c>
      <c r="E28" s="18" t="str">
        <f>IFERROR(__xludf.DUMMYFUNCTION("""COMPUTED_VALUE"""),"jelitawidiaw")</f>
        <v>jelitawidiaw</v>
      </c>
      <c r="F28" s="19">
        <f>IFERROR(__xludf.DUMMYFUNCTION("""COMPUTED_VALUE"""),4800000.0)</f>
        <v>4800000</v>
      </c>
      <c r="G28" s="17" t="str">
        <f>IFERROR(__xludf.DUMMYFUNCTION("""COMPUTED_VALUE"""),"Mega")</f>
        <v>Mega</v>
      </c>
      <c r="H28" s="17" t="str">
        <f>IFERROR(__xludf.DUMMYFUNCTION("""COMPUTED_VALUE"""),"Tangerang")</f>
        <v>Tangerang</v>
      </c>
      <c r="I28" s="20">
        <f>IFERROR(__xludf.DUMMYFUNCTION("""COMPUTED_VALUE"""),3000000.0)</f>
        <v>3000000</v>
      </c>
      <c r="J28" s="20">
        <f>IFERROR(__xludf.DUMMYFUNCTION("""COMPUTED_VALUE"""),3500000.0)</f>
        <v>3500000</v>
      </c>
      <c r="K28" s="20">
        <f>IFERROR(__xludf.DUMMYFUNCTION("""COMPUTED_VALUE"""),8000000.0)</f>
        <v>8000000</v>
      </c>
      <c r="L28" s="20">
        <f>IFERROR(__xludf.DUMMYFUNCTION("""COMPUTED_VALUE"""),1.8E7)</f>
        <v>18000000</v>
      </c>
      <c r="M28" s="20">
        <f>IFERROR(__xludf.DUMMYFUNCTION("""COMPUTED_VALUE"""),2.1E7)</f>
        <v>21000000</v>
      </c>
      <c r="N28" s="27"/>
      <c r="O28" s="45"/>
      <c r="P28" s="45"/>
      <c r="Q28" s="45"/>
      <c r="R28" s="45"/>
      <c r="S28" s="45"/>
      <c r="T28" s="45"/>
      <c r="U28" s="45"/>
      <c r="V28" s="45"/>
      <c r="W28" s="45"/>
    </row>
    <row r="29">
      <c r="A29" s="17">
        <f>IFERROR(__xludf.DUMMYFUNCTION("""COMPUTED_VALUE"""),26.0)</f>
        <v>26</v>
      </c>
      <c r="B29" s="18" t="str">
        <f>IFERROR(__xludf.DUMMYFUNCTION("""COMPUTED_VALUE"""),"elnandautomo")</f>
        <v>elnandautomo</v>
      </c>
      <c r="C29" s="23">
        <f>IFERROR(__xludf.DUMMYFUNCTION("""COMPUTED_VALUE"""),286000.0)</f>
        <v>286000</v>
      </c>
      <c r="D29" s="17" t="str">
        <f>IFERROR(__xludf.DUMMYFUNCTION("""COMPUTED_VALUE"""),"Mid")</f>
        <v>Mid</v>
      </c>
      <c r="E29" s="18" t="str">
        <f>IFERROR(__xludf.DUMMYFUNCTION("""COMPUTED_VALUE"""),"elnandautomoo")</f>
        <v>elnandautomoo</v>
      </c>
      <c r="F29" s="23">
        <f>IFERROR(__xludf.DUMMYFUNCTION("""COMPUTED_VALUE"""),61300.0)</f>
        <v>61300</v>
      </c>
      <c r="G29" s="17" t="str">
        <f>IFERROR(__xludf.DUMMYFUNCTION("""COMPUTED_VALUE"""),"Micro")</f>
        <v>Micro</v>
      </c>
      <c r="H29" s="17" t="str">
        <f>IFERROR(__xludf.DUMMYFUNCTION("""COMPUTED_VALUE"""),"Jakarta")</f>
        <v>Jakarta</v>
      </c>
      <c r="I29" s="20">
        <f>IFERROR(__xludf.DUMMYFUNCTION("""COMPUTED_VALUE"""),6000000.0)</f>
        <v>6000000</v>
      </c>
      <c r="J29" s="20">
        <f>IFERROR(__xludf.DUMMYFUNCTION("""COMPUTED_VALUE"""),9000000.0)</f>
        <v>9000000</v>
      </c>
      <c r="K29" s="20">
        <f>IFERROR(__xludf.DUMMYFUNCTION("""COMPUTED_VALUE"""),1.6E7)</f>
        <v>16000000</v>
      </c>
      <c r="L29" s="20">
        <f>IFERROR(__xludf.DUMMYFUNCTION("""COMPUTED_VALUE"""),1.2E7)</f>
        <v>12000000</v>
      </c>
      <c r="M29" s="17"/>
      <c r="N29" s="27"/>
      <c r="O29" s="45"/>
      <c r="P29" s="45"/>
      <c r="Q29" s="45"/>
      <c r="R29" s="45"/>
      <c r="S29" s="45"/>
      <c r="T29" s="45"/>
      <c r="U29" s="45"/>
      <c r="V29" s="45"/>
      <c r="W29" s="45"/>
    </row>
    <row r="30">
      <c r="A30" s="17">
        <f>IFERROR(__xludf.DUMMYFUNCTION("""COMPUTED_VALUE"""),27.0)</f>
        <v>27</v>
      </c>
      <c r="B30" s="18" t="str">
        <f>IFERROR(__xludf.DUMMYFUNCTION("""COMPUTED_VALUE"""),"nennyzoe")</f>
        <v>nennyzoe</v>
      </c>
      <c r="C30" s="23">
        <f>IFERROR(__xludf.DUMMYFUNCTION("""COMPUTED_VALUE"""),270000.0)</f>
        <v>270000</v>
      </c>
      <c r="D30" s="17" t="str">
        <f>IFERROR(__xludf.DUMMYFUNCTION("""COMPUTED_VALUE"""),"Mid")</f>
        <v>Mid</v>
      </c>
      <c r="E30" s="18" t="str">
        <f>IFERROR(__xludf.DUMMYFUNCTION("""COMPUTED_VALUE"""),"nennyzoe")</f>
        <v>nennyzoe</v>
      </c>
      <c r="F30" s="19">
        <f>IFERROR(__xludf.DUMMYFUNCTION("""COMPUTED_VALUE"""),1100000.0)</f>
        <v>1100000</v>
      </c>
      <c r="G30" s="17" t="str">
        <f>IFERROR(__xludf.DUMMYFUNCTION("""COMPUTED_VALUE"""),"Mega")</f>
        <v>Mega</v>
      </c>
      <c r="H30" s="17" t="str">
        <f>IFERROR(__xludf.DUMMYFUNCTION("""COMPUTED_VALUE"""),"Bandung")</f>
        <v>Bandung</v>
      </c>
      <c r="I30" s="20">
        <f>IFERROR(__xludf.DUMMYFUNCTION("""COMPUTED_VALUE"""),4000000.0)</f>
        <v>4000000</v>
      </c>
      <c r="J30" s="20">
        <f>IFERROR(__xludf.DUMMYFUNCTION("""COMPUTED_VALUE"""),5500000.0)</f>
        <v>5500000</v>
      </c>
      <c r="K30" s="20">
        <f>IFERROR(__xludf.DUMMYFUNCTION("""COMPUTED_VALUE"""),9500000.0)</f>
        <v>9500000</v>
      </c>
      <c r="L30" s="20">
        <f>IFERROR(__xludf.DUMMYFUNCTION("""COMPUTED_VALUE"""),1.2E7)</f>
        <v>12000000</v>
      </c>
      <c r="M30" s="20">
        <f>IFERROR(__xludf.DUMMYFUNCTION("""COMPUTED_VALUE"""),1.7E7)</f>
        <v>17000000</v>
      </c>
      <c r="N30" s="27"/>
      <c r="O30" s="45"/>
      <c r="P30" s="45"/>
      <c r="Q30" s="45"/>
      <c r="R30" s="45"/>
      <c r="S30" s="45"/>
      <c r="T30" s="45"/>
      <c r="U30" s="45"/>
      <c r="V30" s="45"/>
      <c r="W30" s="45"/>
    </row>
    <row r="31">
      <c r="A31" s="17">
        <f>IFERROR(__xludf.DUMMYFUNCTION("""COMPUTED_VALUE"""),28.0)</f>
        <v>28</v>
      </c>
      <c r="B31" s="18" t="str">
        <f>IFERROR(__xludf.DUMMYFUNCTION("""COMPUTED_VALUE"""),"angelicamanopo")</f>
        <v>angelicamanopo</v>
      </c>
      <c r="C31" s="23">
        <f>IFERROR(__xludf.DUMMYFUNCTION("""COMPUTED_VALUE"""),231000.0)</f>
        <v>231000</v>
      </c>
      <c r="D31" s="17" t="str">
        <f>IFERROR(__xludf.DUMMYFUNCTION("""COMPUTED_VALUE"""),"Mid")</f>
        <v>Mid</v>
      </c>
      <c r="E31" s="18" t="str">
        <f>IFERROR(__xludf.DUMMYFUNCTION("""COMPUTED_VALUE"""),"angelicamanopo")</f>
        <v>angelicamanopo</v>
      </c>
      <c r="F31" s="23">
        <f>IFERROR(__xludf.DUMMYFUNCTION("""COMPUTED_VALUE"""),100600.0)</f>
        <v>100600</v>
      </c>
      <c r="G31" s="17" t="str">
        <f>IFERROR(__xludf.DUMMYFUNCTION("""COMPUTED_VALUE"""),"Mid")</f>
        <v>Mid</v>
      </c>
      <c r="H31" s="17" t="str">
        <f>IFERROR(__xludf.DUMMYFUNCTION("""COMPUTED_VALUE"""),"Jakarta Timur")</f>
        <v>Jakarta Timur</v>
      </c>
      <c r="I31" s="20">
        <f>IFERROR(__xludf.DUMMYFUNCTION("""COMPUTED_VALUE"""),1500000.0)</f>
        <v>1500000</v>
      </c>
      <c r="J31" s="20">
        <f>IFERROR(__xludf.DUMMYFUNCTION("""COMPUTED_VALUE"""),3000000.0)</f>
        <v>3000000</v>
      </c>
      <c r="K31" s="20">
        <f>IFERROR(__xludf.DUMMYFUNCTION("""COMPUTED_VALUE"""),5000000.0)</f>
        <v>5000000</v>
      </c>
      <c r="L31" s="20">
        <f>IFERROR(__xludf.DUMMYFUNCTION("""COMPUTED_VALUE"""),4500000.0)</f>
        <v>4500000</v>
      </c>
      <c r="M31" s="17"/>
      <c r="N31" s="27"/>
      <c r="O31" s="45"/>
      <c r="P31" s="45"/>
      <c r="Q31" s="45"/>
      <c r="R31" s="45"/>
      <c r="S31" s="45"/>
      <c r="T31" s="45"/>
      <c r="U31" s="45"/>
      <c r="V31" s="45"/>
      <c r="W31" s="45"/>
    </row>
    <row r="32">
      <c r="A32" s="17">
        <f>IFERROR(__xludf.DUMMYFUNCTION("""COMPUTED_VALUE"""),29.0)</f>
        <v>29</v>
      </c>
      <c r="B32" s="18" t="str">
        <f>IFERROR(__xludf.DUMMYFUNCTION("""COMPUTED_VALUE"""),"juandadaly")</f>
        <v>juandadaly</v>
      </c>
      <c r="C32" s="23">
        <f>IFERROR(__xludf.DUMMYFUNCTION("""COMPUTED_VALUE"""),228000.0)</f>
        <v>228000</v>
      </c>
      <c r="D32" s="17" t="str">
        <f>IFERROR(__xludf.DUMMYFUNCTION("""COMPUTED_VALUE"""),"Mid")</f>
        <v>Mid</v>
      </c>
      <c r="E32" s="18" t="str">
        <f>IFERROR(__xludf.DUMMYFUNCTION("""COMPUTED_VALUE"""),"juandadaly")</f>
        <v>juandadaly</v>
      </c>
      <c r="F32" s="19">
        <f>IFERROR(__xludf.DUMMYFUNCTION("""COMPUTED_VALUE"""),1700000.0)</f>
        <v>1700000</v>
      </c>
      <c r="G32" s="17" t="str">
        <f>IFERROR(__xludf.DUMMYFUNCTION("""COMPUTED_VALUE"""),"Mega")</f>
        <v>Mega</v>
      </c>
      <c r="H32" s="17" t="str">
        <f>IFERROR(__xludf.DUMMYFUNCTION("""COMPUTED_VALUE"""),"Bogor")</f>
        <v>Bogor</v>
      </c>
      <c r="I32" s="20">
        <f>IFERROR(__xludf.DUMMYFUNCTION("""COMPUTED_VALUE"""),2000000.0)</f>
        <v>2000000</v>
      </c>
      <c r="J32" s="20">
        <f>IFERROR(__xludf.DUMMYFUNCTION("""COMPUTED_VALUE"""),3500000.0)</f>
        <v>3500000</v>
      </c>
      <c r="K32" s="20">
        <f>IFERROR(__xludf.DUMMYFUNCTION("""COMPUTED_VALUE"""),5000000.0)</f>
        <v>5000000</v>
      </c>
      <c r="L32" s="20">
        <f>IFERROR(__xludf.DUMMYFUNCTION("""COMPUTED_VALUE"""),5500000.0)</f>
        <v>5500000</v>
      </c>
      <c r="M32" s="20">
        <f>IFERROR(__xludf.DUMMYFUNCTION("""COMPUTED_VALUE"""),6500000.0)</f>
        <v>6500000</v>
      </c>
      <c r="N32" s="27"/>
      <c r="O32" s="45"/>
      <c r="P32" s="45"/>
      <c r="Q32" s="45"/>
      <c r="R32" s="45"/>
      <c r="S32" s="45"/>
      <c r="T32" s="45"/>
      <c r="U32" s="45"/>
      <c r="V32" s="45"/>
      <c r="W32" s="45"/>
    </row>
    <row r="33">
      <c r="A33" s="17">
        <f>IFERROR(__xludf.DUMMYFUNCTION("""COMPUTED_VALUE"""),30.0)</f>
        <v>30</v>
      </c>
      <c r="B33" s="18" t="str">
        <f>IFERROR(__xludf.DUMMYFUNCTION("""COMPUTED_VALUE"""),"viaazulviani")</f>
        <v>viaazulviani</v>
      </c>
      <c r="C33" s="23">
        <f>IFERROR(__xludf.DUMMYFUNCTION("""COMPUTED_VALUE"""),205000.0)</f>
        <v>205000</v>
      </c>
      <c r="D33" s="17" t="str">
        <f>IFERROR(__xludf.DUMMYFUNCTION("""COMPUTED_VALUE"""),"Mid")</f>
        <v>Mid</v>
      </c>
      <c r="E33" s="18" t="str">
        <f>IFERROR(__xludf.DUMMYFUNCTION("""COMPUTED_VALUE"""),"viaazulviani")</f>
        <v>viaazulviani</v>
      </c>
      <c r="F33" s="23">
        <f>IFERROR(__xludf.DUMMYFUNCTION("""COMPUTED_VALUE"""),127000.0)</f>
        <v>127000</v>
      </c>
      <c r="G33" s="17" t="str">
        <f>IFERROR(__xludf.DUMMYFUNCTION("""COMPUTED_VALUE"""),"Mid")</f>
        <v>Mid</v>
      </c>
      <c r="H33" s="17" t="str">
        <f>IFERROR(__xludf.DUMMYFUNCTION("""COMPUTED_VALUE"""),"Medan")</f>
        <v>Medan</v>
      </c>
      <c r="I33" s="20">
        <f>IFERROR(__xludf.DUMMYFUNCTION("""COMPUTED_VALUE"""),2500000.0)</f>
        <v>2500000</v>
      </c>
      <c r="J33" s="20">
        <f>IFERROR(__xludf.DUMMYFUNCTION("""COMPUTED_VALUE"""),4500000.0)</f>
        <v>4500000</v>
      </c>
      <c r="K33" s="20">
        <f>IFERROR(__xludf.DUMMYFUNCTION("""COMPUTED_VALUE"""),7000000.0)</f>
        <v>7000000</v>
      </c>
      <c r="L33" s="20">
        <f>IFERROR(__xludf.DUMMYFUNCTION("""COMPUTED_VALUE"""),3500000.0)</f>
        <v>3500000</v>
      </c>
      <c r="M33" s="20">
        <f>IFERROR(__xludf.DUMMYFUNCTION("""COMPUTED_VALUE"""),8000000.0)</f>
        <v>8000000</v>
      </c>
      <c r="N33" s="27"/>
      <c r="O33" s="45"/>
      <c r="P33" s="45"/>
      <c r="Q33" s="45"/>
      <c r="R33" s="45"/>
      <c r="S33" s="45"/>
      <c r="T33" s="45"/>
      <c r="U33" s="45"/>
      <c r="V33" s="45"/>
      <c r="W33" s="45"/>
    </row>
    <row r="34">
      <c r="A34" s="17">
        <f>IFERROR(__xludf.DUMMYFUNCTION("""COMPUTED_VALUE"""),31.0)</f>
        <v>31</v>
      </c>
      <c r="B34" s="18" t="str">
        <f>IFERROR(__xludf.DUMMYFUNCTION("""COMPUTED_VALUE"""),"frdhuha")</f>
        <v>frdhuha</v>
      </c>
      <c r="C34" s="23">
        <f>IFERROR(__xludf.DUMMYFUNCTION("""COMPUTED_VALUE"""),188000.0)</f>
        <v>188000</v>
      </c>
      <c r="D34" s="17" t="str">
        <f>IFERROR(__xludf.DUMMYFUNCTION("""COMPUTED_VALUE"""),"Mid")</f>
        <v>Mid</v>
      </c>
      <c r="E34" s="18" t="str">
        <f>IFERROR(__xludf.DUMMYFUNCTION("""COMPUTED_VALUE"""),"faridahuha")</f>
        <v>faridahuha</v>
      </c>
      <c r="F34" s="19">
        <f>IFERROR(__xludf.DUMMYFUNCTION("""COMPUTED_VALUE"""),3800000.0)</f>
        <v>3800000</v>
      </c>
      <c r="G34" s="17" t="str">
        <f>IFERROR(__xludf.DUMMYFUNCTION("""COMPUTED_VALUE"""),"Mega")</f>
        <v>Mega</v>
      </c>
      <c r="H34" s="17" t="str">
        <f>IFERROR(__xludf.DUMMYFUNCTION("""COMPUTED_VALUE"""),"Jakarta")</f>
        <v>Jakarta</v>
      </c>
      <c r="I34" s="20">
        <f>IFERROR(__xludf.DUMMYFUNCTION("""COMPUTED_VALUE"""),1.6E7)</f>
        <v>16000000</v>
      </c>
      <c r="J34" s="17"/>
      <c r="K34" s="20">
        <f>IFERROR(__xludf.DUMMYFUNCTION("""COMPUTED_VALUE"""),2.0E7)</f>
        <v>20000000</v>
      </c>
      <c r="L34" s="20">
        <f>IFERROR(__xludf.DUMMYFUNCTION("""COMPUTED_VALUE"""),3.0E7)</f>
        <v>30000000</v>
      </c>
      <c r="M34" s="20">
        <f>IFERROR(__xludf.DUMMYFUNCTION("""COMPUTED_VALUE"""),3.05E7)</f>
        <v>30500000</v>
      </c>
      <c r="N34" s="27"/>
      <c r="O34" s="45"/>
      <c r="P34" s="45"/>
      <c r="Q34" s="45"/>
      <c r="R34" s="45"/>
      <c r="S34" s="45"/>
      <c r="T34" s="45"/>
      <c r="U34" s="45"/>
      <c r="V34" s="45"/>
      <c r="W34" s="45"/>
    </row>
    <row r="35">
      <c r="A35" s="17">
        <f>IFERROR(__xludf.DUMMYFUNCTION("""COMPUTED_VALUE"""),32.0)</f>
        <v>32</v>
      </c>
      <c r="B35" s="18" t="str">
        <f>IFERROR(__xludf.DUMMYFUNCTION("""COMPUTED_VALUE"""),"redcah")</f>
        <v>redcah</v>
      </c>
      <c r="C35" s="23">
        <f>IFERROR(__xludf.DUMMYFUNCTION("""COMPUTED_VALUE"""),181000.0)</f>
        <v>181000</v>
      </c>
      <c r="D35" s="17" t="str">
        <f>IFERROR(__xludf.DUMMYFUNCTION("""COMPUTED_VALUE"""),"Mid")</f>
        <v>Mid</v>
      </c>
      <c r="E35" s="18" t="str">
        <f>IFERROR(__xludf.DUMMYFUNCTION("""COMPUTED_VALUE"""),"redcah")</f>
        <v>redcah</v>
      </c>
      <c r="F35" s="23">
        <f>IFERROR(__xludf.DUMMYFUNCTION("""COMPUTED_VALUE"""),569400.0)</f>
        <v>569400</v>
      </c>
      <c r="G35" s="17" t="str">
        <f>IFERROR(__xludf.DUMMYFUNCTION("""COMPUTED_VALUE"""),"Macro")</f>
        <v>Macro</v>
      </c>
      <c r="H35" s="17" t="str">
        <f>IFERROR(__xludf.DUMMYFUNCTION("""COMPUTED_VALUE"""),"Tangerang")</f>
        <v>Tangerang</v>
      </c>
      <c r="I35" s="20">
        <f>IFERROR(__xludf.DUMMYFUNCTION("""COMPUTED_VALUE"""),1500000.0)</f>
        <v>1500000</v>
      </c>
      <c r="J35" s="20">
        <f>IFERROR(__xludf.DUMMYFUNCTION("""COMPUTED_VALUE"""),3000000.0)</f>
        <v>3000000</v>
      </c>
      <c r="K35" s="20">
        <f>IFERROR(__xludf.DUMMYFUNCTION("""COMPUTED_VALUE"""),4000000.0)</f>
        <v>4000000</v>
      </c>
      <c r="L35" s="20">
        <f>IFERROR(__xludf.DUMMYFUNCTION("""COMPUTED_VALUE"""),7000000.0)</f>
        <v>7000000</v>
      </c>
      <c r="M35" s="20">
        <f>IFERROR(__xludf.DUMMYFUNCTION("""COMPUTED_VALUE"""),8000000.0)</f>
        <v>8000000</v>
      </c>
      <c r="N35" s="27"/>
      <c r="O35" s="45"/>
      <c r="P35" s="45"/>
      <c r="Q35" s="45"/>
      <c r="R35" s="45"/>
      <c r="S35" s="45"/>
      <c r="T35" s="45"/>
      <c r="U35" s="45"/>
      <c r="V35" s="45"/>
      <c r="W35" s="45"/>
    </row>
    <row r="36">
      <c r="A36" s="17">
        <f>IFERROR(__xludf.DUMMYFUNCTION("""COMPUTED_VALUE"""),33.0)</f>
        <v>33</v>
      </c>
      <c r="B36" s="18" t="str">
        <f>IFERROR(__xludf.DUMMYFUNCTION("""COMPUTED_VALUE"""),"vsbvi")</f>
        <v>vsbvi</v>
      </c>
      <c r="C36" s="23">
        <f>IFERROR(__xludf.DUMMYFUNCTION("""COMPUTED_VALUE"""),176000.0)</f>
        <v>176000</v>
      </c>
      <c r="D36" s="17" t="str">
        <f>IFERROR(__xludf.DUMMYFUNCTION("""COMPUTED_VALUE"""),"Mid")</f>
        <v>Mid</v>
      </c>
      <c r="E36" s="18" t="str">
        <f>IFERROR(__xludf.DUMMYFUNCTION("""COMPUTED_VALUE"""),"vsbvix")</f>
        <v>vsbvix</v>
      </c>
      <c r="F36" s="23">
        <f>IFERROR(__xludf.DUMMYFUNCTION("""COMPUTED_VALUE"""),557400.0)</f>
        <v>557400</v>
      </c>
      <c r="G36" s="17" t="str">
        <f>IFERROR(__xludf.DUMMYFUNCTION("""COMPUTED_VALUE"""),"Macro")</f>
        <v>Macro</v>
      </c>
      <c r="H36" s="17" t="str">
        <f>IFERROR(__xludf.DUMMYFUNCTION("""COMPUTED_VALUE"""),"Tangerang")</f>
        <v>Tangerang</v>
      </c>
      <c r="I36" s="20">
        <f>IFERROR(__xludf.DUMMYFUNCTION("""COMPUTED_VALUE"""),1650000.0)</f>
        <v>1650000</v>
      </c>
      <c r="J36" s="20">
        <f>IFERROR(__xludf.DUMMYFUNCTION("""COMPUTED_VALUE"""),2500000.0)</f>
        <v>2500000</v>
      </c>
      <c r="K36" s="20">
        <f>IFERROR(__xludf.DUMMYFUNCTION("""COMPUTED_VALUE"""),3200000.0)</f>
        <v>3200000</v>
      </c>
      <c r="L36" s="20">
        <f>IFERROR(__xludf.DUMMYFUNCTION("""COMPUTED_VALUE"""),3200000.0)</f>
        <v>3200000</v>
      </c>
      <c r="M36" s="20">
        <f>IFERROR(__xludf.DUMMYFUNCTION("""COMPUTED_VALUE"""),4000000.0)</f>
        <v>4000000</v>
      </c>
      <c r="N36" s="27"/>
      <c r="O36" s="45"/>
      <c r="P36" s="45"/>
      <c r="Q36" s="45"/>
      <c r="R36" s="45"/>
      <c r="S36" s="45"/>
      <c r="T36" s="45"/>
      <c r="U36" s="45"/>
      <c r="V36" s="45"/>
      <c r="W36" s="45"/>
    </row>
    <row r="37">
      <c r="A37" s="17">
        <f>IFERROR(__xludf.DUMMYFUNCTION("""COMPUTED_VALUE"""),34.0)</f>
        <v>34</v>
      </c>
      <c r="B37" s="18" t="str">
        <f>IFERROR(__xludf.DUMMYFUNCTION("""COMPUTED_VALUE"""),"rizkywahyudinata_")</f>
        <v>rizkywahyudinata_</v>
      </c>
      <c r="C37" s="23">
        <f>IFERROR(__xludf.DUMMYFUNCTION("""COMPUTED_VALUE"""),142000.0)</f>
        <v>142000</v>
      </c>
      <c r="D37" s="17" t="str">
        <f>IFERROR(__xludf.DUMMYFUNCTION("""COMPUTED_VALUE"""),"Mid")</f>
        <v>Mid</v>
      </c>
      <c r="E37" s="18" t="str">
        <f>IFERROR(__xludf.DUMMYFUNCTION("""COMPUTED_VALUE"""),"amoskiduy0512")</f>
        <v>amoskiduy0512</v>
      </c>
      <c r="F37" s="23">
        <f>IFERROR(__xludf.DUMMYFUNCTION("""COMPUTED_VALUE"""),714500.0)</f>
        <v>714500</v>
      </c>
      <c r="G37" s="17" t="str">
        <f>IFERROR(__xludf.DUMMYFUNCTION("""COMPUTED_VALUE"""),"Macro")</f>
        <v>Macro</v>
      </c>
      <c r="H37" s="17" t="str">
        <f>IFERROR(__xludf.DUMMYFUNCTION("""COMPUTED_VALUE"""),"Tangerang")</f>
        <v>Tangerang</v>
      </c>
      <c r="I37" s="20">
        <f>IFERROR(__xludf.DUMMYFUNCTION("""COMPUTED_VALUE"""),3000000.0)</f>
        <v>3000000</v>
      </c>
      <c r="J37" s="20">
        <f>IFERROR(__xludf.DUMMYFUNCTION("""COMPUTED_VALUE"""),3000000.0)</f>
        <v>3000000</v>
      </c>
      <c r="K37" s="20">
        <f>IFERROR(__xludf.DUMMYFUNCTION("""COMPUTED_VALUE"""),6000000.0)</f>
        <v>6000000</v>
      </c>
      <c r="L37" s="20">
        <f>IFERROR(__xludf.DUMMYFUNCTION("""COMPUTED_VALUE"""),6000000.0)</f>
        <v>6000000</v>
      </c>
      <c r="M37" s="20">
        <f>IFERROR(__xludf.DUMMYFUNCTION("""COMPUTED_VALUE"""),7000000.0)</f>
        <v>7000000</v>
      </c>
      <c r="N37" s="27"/>
      <c r="O37" s="45"/>
      <c r="P37" s="45"/>
      <c r="Q37" s="45"/>
      <c r="R37" s="45"/>
      <c r="S37" s="45"/>
      <c r="T37" s="45"/>
      <c r="U37" s="45"/>
      <c r="V37" s="45"/>
      <c r="W37" s="45"/>
    </row>
    <row r="38">
      <c r="A38" s="17">
        <f>IFERROR(__xludf.DUMMYFUNCTION("""COMPUTED_VALUE"""),35.0)</f>
        <v>35</v>
      </c>
      <c r="B38" s="18" t="str">
        <f>IFERROR(__xludf.DUMMYFUNCTION("""COMPUTED_VALUE"""),"Keziagc")</f>
        <v>Keziagc</v>
      </c>
      <c r="C38" s="23">
        <f>IFERROR(__xludf.DUMMYFUNCTION("""COMPUTED_VALUE"""),148000.0)</f>
        <v>148000</v>
      </c>
      <c r="D38" s="17" t="str">
        <f>IFERROR(__xludf.DUMMYFUNCTION("""COMPUTED_VALUE"""),"Mid")</f>
        <v>Mid</v>
      </c>
      <c r="E38" s="18" t="str">
        <f>IFERROR(__xludf.DUMMYFUNCTION("""COMPUTED_VALUE"""),"keziagc")</f>
        <v>keziagc</v>
      </c>
      <c r="F38" s="23">
        <f>IFERROR(__xludf.DUMMYFUNCTION("""COMPUTED_VALUE"""),14000.0)</f>
        <v>14000</v>
      </c>
      <c r="G38" s="17" t="str">
        <f>IFERROR(__xludf.DUMMYFUNCTION("""COMPUTED_VALUE"""),"Micro")</f>
        <v>Micro</v>
      </c>
      <c r="H38" s="17" t="str">
        <f>IFERROR(__xludf.DUMMYFUNCTION("""COMPUTED_VALUE"""),"Tangerang")</f>
        <v>Tangerang</v>
      </c>
      <c r="I38" s="20">
        <f>IFERROR(__xludf.DUMMYFUNCTION("""COMPUTED_VALUE"""),3760000.0)</f>
        <v>3760000</v>
      </c>
      <c r="J38" s="20">
        <f>IFERROR(__xludf.DUMMYFUNCTION("""COMPUTED_VALUE"""),5960000.0)</f>
        <v>5960000</v>
      </c>
      <c r="K38" s="20">
        <f>IFERROR(__xludf.DUMMYFUNCTION("""COMPUTED_VALUE"""),7560000.0)</f>
        <v>7560000</v>
      </c>
      <c r="L38" s="17"/>
      <c r="M38" s="17"/>
      <c r="N38" s="27"/>
      <c r="O38" s="45"/>
      <c r="P38" s="45"/>
      <c r="Q38" s="45"/>
      <c r="R38" s="45"/>
      <c r="S38" s="45"/>
      <c r="T38" s="45"/>
      <c r="U38" s="45"/>
      <c r="V38" s="45"/>
      <c r="W38" s="45"/>
    </row>
    <row r="39">
      <c r="A39" s="17">
        <f>IFERROR(__xludf.DUMMYFUNCTION("""COMPUTED_VALUE"""),36.0)</f>
        <v>36</v>
      </c>
      <c r="B39" s="18" t="str">
        <f>IFERROR(__xludf.DUMMYFUNCTION("""COMPUTED_VALUE"""),"ulyaslsss__")</f>
        <v>ulyaslsss__</v>
      </c>
      <c r="C39" s="23">
        <f>IFERROR(__xludf.DUMMYFUNCTION("""COMPUTED_VALUE"""),114000.0)</f>
        <v>114000</v>
      </c>
      <c r="D39" s="17" t="str">
        <f>IFERROR(__xludf.DUMMYFUNCTION("""COMPUTED_VALUE"""),"Mid")</f>
        <v>Mid</v>
      </c>
      <c r="E39" s="18" t="str">
        <f>IFERROR(__xludf.DUMMYFUNCTION("""COMPUTED_VALUE"""),"ulyasalsabilaa")</f>
        <v>ulyasalsabilaa</v>
      </c>
      <c r="F39" s="23">
        <f>IFERROR(__xludf.DUMMYFUNCTION("""COMPUTED_VALUE"""),14500.0)</f>
        <v>14500</v>
      </c>
      <c r="G39" s="17" t="str">
        <f>IFERROR(__xludf.DUMMYFUNCTION("""COMPUTED_VALUE"""),"Micro")</f>
        <v>Micro</v>
      </c>
      <c r="H39" s="17" t="str">
        <f>IFERROR(__xludf.DUMMYFUNCTION("""COMPUTED_VALUE"""),"Bandung")</f>
        <v>Bandung</v>
      </c>
      <c r="I39" s="20">
        <f>IFERROR(__xludf.DUMMYFUNCTION("""COMPUTED_VALUE"""),800000.0)</f>
        <v>800000</v>
      </c>
      <c r="J39" s="20">
        <f>IFERROR(__xludf.DUMMYFUNCTION("""COMPUTED_VALUE"""),1500000.0)</f>
        <v>1500000</v>
      </c>
      <c r="K39" s="20">
        <f>IFERROR(__xludf.DUMMYFUNCTION("""COMPUTED_VALUE"""),2500000.0)</f>
        <v>2500000</v>
      </c>
      <c r="L39" s="20">
        <f>IFERROR(__xludf.DUMMYFUNCTION("""COMPUTED_VALUE"""),1500000.0)</f>
        <v>1500000</v>
      </c>
      <c r="M39" s="17"/>
      <c r="N39" s="27"/>
      <c r="O39" s="45"/>
      <c r="P39" s="45"/>
      <c r="Q39" s="45"/>
      <c r="R39" s="45"/>
      <c r="S39" s="45"/>
      <c r="T39" s="45"/>
      <c r="U39" s="45"/>
      <c r="V39" s="45"/>
      <c r="W39" s="45"/>
    </row>
    <row r="40">
      <c r="A40" s="17">
        <f>IFERROR(__xludf.DUMMYFUNCTION("""COMPUTED_VALUE"""),37.0)</f>
        <v>37</v>
      </c>
      <c r="B40" s="18" t="str">
        <f>IFERROR(__xludf.DUMMYFUNCTION("""COMPUTED_VALUE"""),"mutiarasgt")</f>
        <v>mutiarasgt</v>
      </c>
      <c r="C40" s="23">
        <f>IFERROR(__xludf.DUMMYFUNCTION("""COMPUTED_VALUE"""),107000.0)</f>
        <v>107000</v>
      </c>
      <c r="D40" s="17" t="str">
        <f>IFERROR(__xludf.DUMMYFUNCTION("""COMPUTED_VALUE"""),"Mid")</f>
        <v>Mid</v>
      </c>
      <c r="E40" s="18" t="str">
        <f>IFERROR(__xludf.DUMMYFUNCTION("""COMPUTED_VALUE"""),"mutiarsh")</f>
        <v>mutiarsh</v>
      </c>
      <c r="F40" s="23">
        <f>IFERROR(__xludf.DUMMYFUNCTION("""COMPUTED_VALUE"""),6735.0)</f>
        <v>6735</v>
      </c>
      <c r="G40" s="17" t="str">
        <f>IFERROR(__xludf.DUMMYFUNCTION("""COMPUTED_VALUE"""),"Nano")</f>
        <v>Nano</v>
      </c>
      <c r="H40" s="17" t="str">
        <f>IFERROR(__xludf.DUMMYFUNCTION("""COMPUTED_VALUE"""),"Bekasi")</f>
        <v>Bekasi</v>
      </c>
      <c r="I40" s="20">
        <f>IFERROR(__xludf.DUMMYFUNCTION("""COMPUTED_VALUE"""),2300000.0)</f>
        <v>2300000</v>
      </c>
      <c r="J40" s="20">
        <f>IFERROR(__xludf.DUMMYFUNCTION("""COMPUTED_VALUE"""),2400000.0)</f>
        <v>2400000</v>
      </c>
      <c r="K40" s="20">
        <f>IFERROR(__xludf.DUMMYFUNCTION("""COMPUTED_VALUE"""),2700000.0)</f>
        <v>2700000</v>
      </c>
      <c r="L40" s="20">
        <f>IFERROR(__xludf.DUMMYFUNCTION("""COMPUTED_VALUE"""),2500000.0)</f>
        <v>2500000</v>
      </c>
      <c r="M40" s="20">
        <f>IFERROR(__xludf.DUMMYFUNCTION("""COMPUTED_VALUE"""),2900000.0)</f>
        <v>2900000</v>
      </c>
      <c r="N40" s="27"/>
      <c r="O40" s="45"/>
      <c r="P40" s="45"/>
      <c r="Q40" s="45"/>
      <c r="R40" s="45"/>
      <c r="S40" s="45"/>
      <c r="T40" s="45"/>
      <c r="U40" s="45"/>
      <c r="V40" s="45"/>
      <c r="W40" s="45"/>
    </row>
    <row r="41">
      <c r="A41" s="17">
        <f>IFERROR(__xludf.DUMMYFUNCTION("""COMPUTED_VALUE"""),38.0)</f>
        <v>38</v>
      </c>
      <c r="B41" s="18" t="str">
        <f>IFERROR(__xludf.DUMMYFUNCTION("""COMPUTED_VALUE"""),"sasyaclarissa")</f>
        <v>sasyaclarissa</v>
      </c>
      <c r="C41" s="23">
        <f>IFERROR(__xludf.DUMMYFUNCTION("""COMPUTED_VALUE"""),39300.0)</f>
        <v>39300</v>
      </c>
      <c r="D41" s="17" t="str">
        <f>IFERROR(__xludf.DUMMYFUNCTION("""COMPUTED_VALUE"""),"Micro")</f>
        <v>Micro</v>
      </c>
      <c r="E41" s="18" t="str">
        <f>IFERROR(__xludf.DUMMYFUNCTION("""COMPUTED_VALUE"""),"sasyaclarissa_")</f>
        <v>sasyaclarissa_</v>
      </c>
      <c r="F41" s="23">
        <f>IFERROR(__xludf.DUMMYFUNCTION("""COMPUTED_VALUE"""),118700.0)</f>
        <v>118700</v>
      </c>
      <c r="G41" s="17" t="str">
        <f>IFERROR(__xludf.DUMMYFUNCTION("""COMPUTED_VALUE"""),"Mid")</f>
        <v>Mid</v>
      </c>
      <c r="H41" s="17" t="str">
        <f>IFERROR(__xludf.DUMMYFUNCTION("""COMPUTED_VALUE"""),"Bekasi")</f>
        <v>Bekasi</v>
      </c>
      <c r="I41" s="20">
        <f>IFERROR(__xludf.DUMMYFUNCTION("""COMPUTED_VALUE"""),1050000.0)</f>
        <v>1050000</v>
      </c>
      <c r="J41" s="20">
        <f>IFERROR(__xludf.DUMMYFUNCTION("""COMPUTED_VALUE"""),1150000.0)</f>
        <v>1150000</v>
      </c>
      <c r="K41" s="20">
        <f>IFERROR(__xludf.DUMMYFUNCTION("""COMPUTED_VALUE"""),1750000.0)</f>
        <v>1750000</v>
      </c>
      <c r="L41" s="20">
        <f>IFERROR(__xludf.DUMMYFUNCTION("""COMPUTED_VALUE"""),1700000.0)</f>
        <v>1700000</v>
      </c>
      <c r="M41" s="20">
        <f>IFERROR(__xludf.DUMMYFUNCTION("""COMPUTED_VALUE"""),2000000.0)</f>
        <v>2000000</v>
      </c>
      <c r="N41" s="27"/>
      <c r="O41" s="45"/>
      <c r="P41" s="45"/>
      <c r="Q41" s="45"/>
      <c r="R41" s="45"/>
      <c r="S41" s="45"/>
      <c r="T41" s="45"/>
      <c r="U41" s="45"/>
      <c r="V41" s="45"/>
      <c r="W41" s="45"/>
    </row>
    <row r="42">
      <c r="A42" s="17">
        <f>IFERROR(__xludf.DUMMYFUNCTION("""COMPUTED_VALUE"""),39.0)</f>
        <v>39</v>
      </c>
      <c r="B42" s="18" t="str">
        <f>IFERROR(__xludf.DUMMYFUNCTION("""COMPUTED_VALUE"""),"salmaristiana")</f>
        <v>salmaristiana</v>
      </c>
      <c r="C42" s="23">
        <f>IFERROR(__xludf.DUMMYFUNCTION("""COMPUTED_VALUE"""),39000.0)</f>
        <v>39000</v>
      </c>
      <c r="D42" s="17" t="str">
        <f>IFERROR(__xludf.DUMMYFUNCTION("""COMPUTED_VALUE"""),"Micro")</f>
        <v>Micro</v>
      </c>
      <c r="E42" s="18" t="str">
        <f>IFERROR(__xludf.DUMMYFUNCTION("""COMPUTED_VALUE"""),"salmaaristiana")</f>
        <v>salmaaristiana</v>
      </c>
      <c r="F42" s="19">
        <f>IFERROR(__xludf.DUMMYFUNCTION("""COMPUTED_VALUE"""),2200000.0)</f>
        <v>2200000</v>
      </c>
      <c r="G42" s="17" t="str">
        <f>IFERROR(__xludf.DUMMYFUNCTION("""COMPUTED_VALUE"""),"Mega")</f>
        <v>Mega</v>
      </c>
      <c r="H42" s="17" t="str">
        <f>IFERROR(__xludf.DUMMYFUNCTION("""COMPUTED_VALUE"""),"Bogor")</f>
        <v>Bogor</v>
      </c>
      <c r="I42" s="17"/>
      <c r="J42" s="20">
        <f>IFERROR(__xludf.DUMMYFUNCTION("""COMPUTED_VALUE"""),1500000.0)</f>
        <v>1500000</v>
      </c>
      <c r="K42" s="20">
        <f>IFERROR(__xludf.DUMMYFUNCTION("""COMPUTED_VALUE"""),2500000.0)</f>
        <v>2500000</v>
      </c>
      <c r="L42" s="20">
        <f>IFERROR(__xludf.DUMMYFUNCTION("""COMPUTED_VALUE"""),6000000.0)</f>
        <v>6000000</v>
      </c>
      <c r="M42" s="17"/>
      <c r="N42" s="27"/>
      <c r="O42" s="45"/>
      <c r="P42" s="45"/>
      <c r="Q42" s="45"/>
      <c r="R42" s="45"/>
      <c r="S42" s="45"/>
      <c r="T42" s="45"/>
      <c r="U42" s="45"/>
      <c r="V42" s="45"/>
      <c r="W42" s="45"/>
    </row>
    <row r="43">
      <c r="A43" s="17">
        <f>IFERROR(__xludf.DUMMYFUNCTION("""COMPUTED_VALUE"""),40.0)</f>
        <v>40</v>
      </c>
      <c r="B43" s="18" t="str">
        <f>IFERROR(__xludf.DUMMYFUNCTION("""COMPUTED_VALUE"""),"Kezhialverta")</f>
        <v>Kezhialverta</v>
      </c>
      <c r="C43" s="23">
        <f>IFERROR(__xludf.DUMMYFUNCTION("""COMPUTED_VALUE"""),1962.0)</f>
        <v>1962</v>
      </c>
      <c r="D43" s="17" t="str">
        <f>IFERROR(__xludf.DUMMYFUNCTION("""COMPUTED_VALUE"""),"Nano")</f>
        <v>Nano</v>
      </c>
      <c r="E43" s="18" t="str">
        <f>IFERROR(__xludf.DUMMYFUNCTION("""COMPUTED_VALUE"""),"kezhialverta")</f>
        <v>kezhialverta</v>
      </c>
      <c r="F43" s="23">
        <f>IFERROR(__xludf.DUMMYFUNCTION("""COMPUTED_VALUE"""),251700.0)</f>
        <v>251700</v>
      </c>
      <c r="G43" s="17" t="str">
        <f>IFERROR(__xludf.DUMMYFUNCTION("""COMPUTED_VALUE"""),"Mid")</f>
        <v>Mid</v>
      </c>
      <c r="H43" s="17" t="str">
        <f>IFERROR(__xludf.DUMMYFUNCTION("""COMPUTED_VALUE"""),"Jakarta")</f>
        <v>Jakarta</v>
      </c>
      <c r="I43" s="17"/>
      <c r="J43" s="17"/>
      <c r="K43" s="20">
        <f>IFERROR(__xludf.DUMMYFUNCTION("""COMPUTED_VALUE"""),650000.0)</f>
        <v>650000</v>
      </c>
      <c r="L43" s="20">
        <f>IFERROR(__xludf.DUMMYFUNCTION("""COMPUTED_VALUE"""),1000000.0)</f>
        <v>1000000</v>
      </c>
      <c r="M43" s="20">
        <f>IFERROR(__xludf.DUMMYFUNCTION("""COMPUTED_VALUE"""),1300000.0)</f>
        <v>1300000</v>
      </c>
      <c r="N43" s="27" t="str">
        <f>IFERROR(__xludf.DUMMYFUNCTION("""COMPUTED_VALUE"""),"menyesuaikan")</f>
        <v>menyesuaikan</v>
      </c>
      <c r="O43" s="45"/>
      <c r="P43" s="45"/>
      <c r="Q43" s="45"/>
      <c r="R43" s="45"/>
      <c r="S43" s="45"/>
      <c r="T43" s="45"/>
      <c r="U43" s="45"/>
      <c r="V43" s="45"/>
      <c r="W43" s="45"/>
    </row>
    <row r="44" hidden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</row>
    <row r="45" hidden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</row>
    <row r="46" hidden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</row>
    <row r="47" hidden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</row>
    <row r="48" hidden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</row>
    <row r="49" hidden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 hidden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 hidden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 hidden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 hidden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 hidden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 hidden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 hidden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 hidden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hidden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</row>
    <row r="59" hidden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</row>
    <row r="60" hidden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 hidden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 hidden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 hidden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 hidden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 hidden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 hidden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 hidden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hidden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 hidden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 hidden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 hidden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 hidden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 hidden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 hidden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 hidden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 hidden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 hidden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 hidden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 hidden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 hidden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 hidden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 hidden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</row>
    <row r="83" hidden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</row>
    <row r="84" hidden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</row>
    <row r="85" hidden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</row>
    <row r="86" hidden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</row>
    <row r="87" hidden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</row>
    <row r="88" hidden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</row>
    <row r="89" hidden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</row>
    <row r="90" hidden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</row>
    <row r="91" hidden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</row>
    <row r="92" hidden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</row>
    <row r="93" hidden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</row>
    <row r="94" hidden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</row>
    <row r="95" hidden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</row>
    <row r="96" hidden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</row>
    <row r="97" hidden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</row>
    <row r="98" hidden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</row>
    <row r="99" hidden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</row>
    <row r="100" hidden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</row>
    <row r="101" hidden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</row>
    <row r="102" hidden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</row>
    <row r="103" hidden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</row>
    <row r="104" hidden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</row>
    <row r="105" hidden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</row>
    <row r="106" hidden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</row>
    <row r="107" hidden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</row>
    <row r="108" hidden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</row>
    <row r="109" hidden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</row>
    <row r="110" hidden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</row>
    <row r="111" hidden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</row>
    <row r="112" hidden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</row>
    <row r="113" hidden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</row>
    <row r="114" hidden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</row>
    <row r="115" hidden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</row>
    <row r="116" hidden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</row>
    <row r="117" hidden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</row>
    <row r="118" hidden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</row>
    <row r="119" hidden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</row>
    <row r="120" hidden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</row>
    <row r="121" hidden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</row>
    <row r="122" hidden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</row>
    <row r="123" hidden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</row>
    <row r="124" hidden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</row>
    <row r="125" hidden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</row>
    <row r="126" hidden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</row>
    <row r="127" hidden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</row>
    <row r="128" hidden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</row>
    <row r="129" hidden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</row>
    <row r="130" hidden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</row>
    <row r="131" hidden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</row>
    <row r="132" hidden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</row>
    <row r="133" hidden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</row>
    <row r="134" hidden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</row>
    <row r="135" hidden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</row>
    <row r="136" hidden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</row>
    <row r="137" hidden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</row>
    <row r="138" hidden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</row>
    <row r="139" hidden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</row>
    <row r="140" hidden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</row>
    <row r="141" hidden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</row>
    <row r="142" hidden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</row>
    <row r="143" hidden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</row>
    <row r="144" hidden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</row>
    <row r="145" hidden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</row>
    <row r="146" hidden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</row>
    <row r="147" hidden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</row>
    <row r="148" hidden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</row>
    <row r="149" hidden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</row>
    <row r="150" hidden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</row>
    <row r="151" hidden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</row>
    <row r="152" hidden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</row>
    <row r="153" hidden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</row>
    <row r="154" hidden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</row>
    <row r="155" hidden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</row>
    <row r="156" hidden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</row>
    <row r="157" hidden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</row>
    <row r="158" hidden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</row>
    <row r="159" hidden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</row>
    <row r="160" hidden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</row>
    <row r="161" hidden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</row>
    <row r="162" hidden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</row>
    <row r="163" hidden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</row>
    <row r="164" hidden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</row>
    <row r="165" hidden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</row>
    <row r="166" hidden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</row>
    <row r="167" hidden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</row>
    <row r="168" hidden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</row>
    <row r="169" hidden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</row>
    <row r="170" hidden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</row>
    <row r="171" hidden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</row>
    <row r="172" hidden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</row>
    <row r="173" hidden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</row>
    <row r="174" hidden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</row>
    <row r="175" hidden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</row>
    <row r="176" hidden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</row>
    <row r="177" hidden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</row>
    <row r="178" hidden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</row>
    <row r="179" hidden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</row>
    <row r="180" hidden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</row>
    <row r="181" hidden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</row>
    <row r="182" hidden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</row>
    <row r="183" hidden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</row>
    <row r="184" hidden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</row>
    <row r="185" hidden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</row>
    <row r="186" hidden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</row>
    <row r="187" hidden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</row>
    <row r="188" hidden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</row>
    <row r="189" hidden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</row>
    <row r="190" hidden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</row>
    <row r="191" hidden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</row>
    <row r="192" hidden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</row>
    <row r="193" hidden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</row>
    <row r="194" hidden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</row>
    <row r="195" hidden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</row>
    <row r="196" hidden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</row>
    <row r="197" hidden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</row>
    <row r="198" hidden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</row>
    <row r="199" hidden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</row>
    <row r="200" hidden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</row>
    <row r="201" hidden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</row>
    <row r="202" hidden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</row>
    <row r="203" hidden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</row>
    <row r="204" hidden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</row>
    <row r="205" hidden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</row>
    <row r="206" hidden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</row>
    <row r="207" hidden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</row>
    <row r="208" hidden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</row>
    <row r="209" hidden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</row>
    <row r="210" hidden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</row>
    <row r="211" hidden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</row>
    <row r="212" hidden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</row>
    <row r="213" hidden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</row>
    <row r="214" hidden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</row>
    <row r="215" hidden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</row>
    <row r="216" hidden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</row>
    <row r="217" hidden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</row>
    <row r="218" hidden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</row>
    <row r="219" hidden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</row>
    <row r="220" hidden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</row>
    <row r="221" hidden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</row>
    <row r="222" hidden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</row>
    <row r="223" hidden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</row>
    <row r="224" hidden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</row>
    <row r="225" hidden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</row>
    <row r="226" hidden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</row>
    <row r="227" hidden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</row>
    <row r="228" hidden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</row>
    <row r="229" hidden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</row>
    <row r="230" hidden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</row>
    <row r="231" hidden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</row>
    <row r="232" hidden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</row>
    <row r="233" hidden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</row>
    <row r="234" hidden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</row>
    <row r="235" hidden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</row>
    <row r="236" hidden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</row>
    <row r="237" hidden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</row>
    <row r="238" hidden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</row>
    <row r="239" hidden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</row>
    <row r="240" hidden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</row>
    <row r="241" hidden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</row>
    <row r="242" hidden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</row>
    <row r="243" hidden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</row>
    <row r="244" hidden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</row>
    <row r="245" hidden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</row>
    <row r="246" hidden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</row>
    <row r="247" hidden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</row>
    <row r="248" hidden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</row>
    <row r="249" hidden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</row>
    <row r="250" hidden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</row>
    <row r="251" hidden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</row>
    <row r="252" hidden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</row>
    <row r="253" hidden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</row>
    <row r="254" hidden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</row>
    <row r="255" hidden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</row>
    <row r="256" hidden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</row>
    <row r="257" hidden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</row>
    <row r="258" hidden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</row>
    <row r="259" hidden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</row>
    <row r="260" hidden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</row>
    <row r="261" hidden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</row>
    <row r="262" hidden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</row>
    <row r="263" hidden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</row>
    <row r="264" hidden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</row>
    <row r="265" hidden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</row>
    <row r="266" hidden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</row>
    <row r="267" hidden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</row>
    <row r="268" hidden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</row>
    <row r="269" hidden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</row>
    <row r="270" hidden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</row>
    <row r="271" hidden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</row>
    <row r="272" hidden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</row>
    <row r="273" hidden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</row>
    <row r="274" hidden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</row>
    <row r="275" hidden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</row>
    <row r="276" hidden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</row>
    <row r="277" hidden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</row>
    <row r="278" hidden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</row>
    <row r="279" hidden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</row>
    <row r="280" hidden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</row>
    <row r="281" hidden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</row>
    <row r="282" hidden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</row>
    <row r="283" hidden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</row>
    <row r="284" hidden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</row>
    <row r="285" hidden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</row>
    <row r="286" hidden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</row>
    <row r="287" hidden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</row>
    <row r="288" hidden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</row>
    <row r="289" hidden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</row>
    <row r="290" hidden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</row>
    <row r="291" hidden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</row>
    <row r="292" hidden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</row>
    <row r="293" hidden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</row>
    <row r="294" hidden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</row>
    <row r="295" hidden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</row>
    <row r="296" hidden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</row>
    <row r="297" hidden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</row>
    <row r="298" hidden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</row>
    <row r="299" hidden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</row>
    <row r="300" hidden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</row>
    <row r="301" hidden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</row>
    <row r="302" hidden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</row>
    <row r="303" hidden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</row>
    <row r="304" hidden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</row>
    <row r="305" hidden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</row>
    <row r="306" hidden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</row>
    <row r="307" hidden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</row>
    <row r="308" hidden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</row>
    <row r="309" hidden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</row>
    <row r="310" hidden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</row>
    <row r="311" hidden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</row>
    <row r="312" hidden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</row>
    <row r="313" hidden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</row>
    <row r="314" hidden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</row>
    <row r="315" hidden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</row>
    <row r="316" hidden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</row>
    <row r="317" hidden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</row>
    <row r="318" hidden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</row>
    <row r="319" hidden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</row>
    <row r="320" hidden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</row>
    <row r="321" hidden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</row>
    <row r="322" hidden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</row>
    <row r="323" hidden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</row>
    <row r="324" hidden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</row>
    <row r="325" hidden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</row>
    <row r="326" hidden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</row>
    <row r="327" hidden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</row>
    <row r="328" hidden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</row>
    <row r="329" hidden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</row>
    <row r="330" hidden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</row>
    <row r="331" hidden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</row>
    <row r="332" hidden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</row>
    <row r="333" hidden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</row>
    <row r="334" hidden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</row>
    <row r="335" hidden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</row>
    <row r="336" hidden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</row>
    <row r="337" hidden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</row>
    <row r="338" hidden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</row>
    <row r="339" hidden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</row>
    <row r="340" hidden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</row>
    <row r="341" hidden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</row>
    <row r="342" hidden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</row>
    <row r="343" hidden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</row>
    <row r="344" hidden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</row>
    <row r="345" hidden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</row>
    <row r="346" hidden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</row>
    <row r="347" hidden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</row>
    <row r="348" hidden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</row>
    <row r="349" hidden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</row>
    <row r="350" hidden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</row>
    <row r="351" hidden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</row>
    <row r="352" hidden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</row>
    <row r="353" hidden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</row>
    <row r="354" hidden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</row>
    <row r="355" hidden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</row>
    <row r="356" hidden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</row>
    <row r="357" hidden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</row>
    <row r="358" hidden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</row>
    <row r="359" hidden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</row>
    <row r="360" hidden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</row>
    <row r="361" hidden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</row>
    <row r="362" hidden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</row>
    <row r="363" hidden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</row>
    <row r="364" hidden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</row>
    <row r="365" hidden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</row>
    <row r="366" hidden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</row>
    <row r="367" hidden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</row>
    <row r="368" hidden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</row>
    <row r="369" hidden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</row>
    <row r="370" hidden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</row>
    <row r="371" hidden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</row>
    <row r="372" hidden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</row>
    <row r="373" hidden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</row>
    <row r="374" hidden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</row>
    <row r="375" hidden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</row>
    <row r="376" hidden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</row>
    <row r="377" hidden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</row>
    <row r="378" hidden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</row>
    <row r="379" hidden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</row>
    <row r="380" hidden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</row>
    <row r="381" hidden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</row>
    <row r="382" hidden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</row>
    <row r="383" hidden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</row>
    <row r="384" hidden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</row>
    <row r="385" hidden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</row>
    <row r="386" hidden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</row>
    <row r="387" hidden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</row>
    <row r="388" hidden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</row>
    <row r="389" hidden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</row>
    <row r="390" hidden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</row>
    <row r="391" hidden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</row>
    <row r="392" hidden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</row>
    <row r="393" hidden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</row>
    <row r="394" hidden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</row>
    <row r="395" hidden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</row>
    <row r="396" hidden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</row>
    <row r="397" hidden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</row>
    <row r="398" hidden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</row>
    <row r="399" hidden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</row>
    <row r="400" hidden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</row>
    <row r="401" hidden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</row>
    <row r="402" hidden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</row>
    <row r="403" hidden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</row>
    <row r="404" hidden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</row>
    <row r="405" hidden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</row>
    <row r="406" hidden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</row>
    <row r="407" hidden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</row>
    <row r="408" hidden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</row>
    <row r="409" hidden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</row>
    <row r="410" hidden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</row>
    <row r="411" hidden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</row>
    <row r="412" hidden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</row>
    <row r="413" hidden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</row>
    <row r="414" hidden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</row>
    <row r="415" hidden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</row>
    <row r="416" hidden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</row>
    <row r="417" hidden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</row>
    <row r="418" hidden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</row>
    <row r="419" hidden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</row>
    <row r="420" hidden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</row>
    <row r="421" hidden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</row>
    <row r="422" hidden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</row>
    <row r="423" hidden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</row>
    <row r="424" hidden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</row>
    <row r="425" hidden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</row>
    <row r="426" hidden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</row>
    <row r="427" hidden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</row>
    <row r="428" hidden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</row>
    <row r="429" hidden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</row>
    <row r="430" hidden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</row>
    <row r="431" hidden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</row>
    <row r="432" hidden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</row>
    <row r="433" hidden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</row>
    <row r="434" hidden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</row>
    <row r="435" hidden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</row>
    <row r="436" hidden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</row>
    <row r="437" hidden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</row>
    <row r="438" hidden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</row>
    <row r="439" hidden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</row>
    <row r="440" hidden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</row>
    <row r="441" hidden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</row>
    <row r="442" hidden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</row>
    <row r="443" hidden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</row>
    <row r="444" hidden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</row>
    <row r="445" hidden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</row>
    <row r="446" hidden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</row>
    <row r="447" hidden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</row>
    <row r="448" hidden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</row>
    <row r="449" hidden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</row>
    <row r="450" hidden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</row>
    <row r="451" hidden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</row>
    <row r="452" hidden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</row>
    <row r="453" hidden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</row>
    <row r="454" hidden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</row>
    <row r="455" hidden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</row>
    <row r="456" hidden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</row>
    <row r="457" hidden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</row>
    <row r="458" hidden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</row>
    <row r="459" hidden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</row>
    <row r="460" hidden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</row>
    <row r="461" hidden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</row>
    <row r="462" hidden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</row>
    <row r="463" hidden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</row>
    <row r="464" hidden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</row>
    <row r="465" hidden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</row>
    <row r="466" hidden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</row>
    <row r="467" hidden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</row>
    <row r="468" hidden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</row>
    <row r="469" hidden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</row>
    <row r="470" hidden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</row>
    <row r="471" hidden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</row>
    <row r="472" hidden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</row>
    <row r="473" hidden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</row>
    <row r="474" hidden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</row>
    <row r="475" hidden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</row>
    <row r="476" hidden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</row>
    <row r="477" hidden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</row>
    <row r="478" hidden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</row>
    <row r="479" hidden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</row>
    <row r="480" hidden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</row>
    <row r="481" hidden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</row>
    <row r="482" hidden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</row>
    <row r="483" hidden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</row>
    <row r="484" hidden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</row>
    <row r="485" hidden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</row>
    <row r="486" hidden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</row>
    <row r="487" hidden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</row>
    <row r="488" hidden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</row>
    <row r="489" hidden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</row>
    <row r="490" hidden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</row>
    <row r="491" hidden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</row>
    <row r="492" hidden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</row>
    <row r="493" hidden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</row>
    <row r="494" hidden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</row>
    <row r="495" hidden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</row>
    <row r="496" hidden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</row>
    <row r="497" hidden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</row>
    <row r="498" hidden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</row>
    <row r="499" hidden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</row>
    <row r="500" hidden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</row>
    <row r="501" hidden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</row>
    <row r="502" hidden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</row>
    <row r="503" hidden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</row>
    <row r="504" hidden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</row>
    <row r="505" hidden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</row>
    <row r="506" hidden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</row>
    <row r="507" hidden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</row>
    <row r="508" hidden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</row>
    <row r="509" hidden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</row>
    <row r="510" hidden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</row>
    <row r="511" hidden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</row>
    <row r="512" hidden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</row>
    <row r="513" hidden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</row>
    <row r="514" hidden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</row>
    <row r="515" hidden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</row>
    <row r="516" hidden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</row>
    <row r="517" hidden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</row>
    <row r="518" hidden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</row>
    <row r="519" hidden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</row>
    <row r="520" hidden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</row>
    <row r="521" hidden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</row>
    <row r="522" hidden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</row>
    <row r="523" hidden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</row>
    <row r="524" hidden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</row>
    <row r="525" hidden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</row>
    <row r="526" hidden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</row>
    <row r="527" hidden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</row>
    <row r="528" hidden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</row>
    <row r="529" hidden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</row>
    <row r="530" hidden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</row>
    <row r="531" hidden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</row>
    <row r="532" hidden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</row>
    <row r="533" hidden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</row>
    <row r="534" hidden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</row>
    <row r="535" hidden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</row>
    <row r="536" hidden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</row>
    <row r="537" hidden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</row>
    <row r="538" hidden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</row>
    <row r="539" hidden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</row>
    <row r="540" hidden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</row>
    <row r="541" hidden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</row>
    <row r="542" hidden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</row>
    <row r="543" hidden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</row>
    <row r="544" hidden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</row>
    <row r="545" hidden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</row>
    <row r="546" hidden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</row>
    <row r="547" hidden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</row>
    <row r="548" hidden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</row>
    <row r="549" hidden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</row>
    <row r="550" hidden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</row>
    <row r="551" hidden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</row>
    <row r="552" hidden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</row>
    <row r="553" hidden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</row>
    <row r="554" hidden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</row>
    <row r="555" hidden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</row>
    <row r="556" hidden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</row>
    <row r="557" hidden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</row>
    <row r="558" hidden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</row>
    <row r="559" hidden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</row>
    <row r="560" hidden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</row>
    <row r="561" hidden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</row>
    <row r="562" hidden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</row>
    <row r="563" hidden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</row>
    <row r="564" hidden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</row>
    <row r="565" hidden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</row>
    <row r="566" hidden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</row>
    <row r="567" hidden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</row>
    <row r="568" hidden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</row>
    <row r="569" hidden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</row>
    <row r="570" hidden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</row>
    <row r="571" hidden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</row>
    <row r="572" hidden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</row>
    <row r="573" hidden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</row>
    <row r="574" hidden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</row>
    <row r="575" hidden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</row>
    <row r="576" hidden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</row>
    <row r="577" hidden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</row>
    <row r="578" hidden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</row>
    <row r="579" hidden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</row>
    <row r="580" hidden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</row>
    <row r="581" hidden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</row>
    <row r="582" hidden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</row>
    <row r="583" hidden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</row>
    <row r="584" hidden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</row>
    <row r="585" hidden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</row>
    <row r="586" hidden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</row>
    <row r="587" hidden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</row>
    <row r="588" hidden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</row>
    <row r="589" hidden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</row>
    <row r="590" hidden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</row>
    <row r="591" hidden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</row>
    <row r="592" hidden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</row>
    <row r="593" hidden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</row>
    <row r="594" hidden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</row>
    <row r="595" hidden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</row>
    <row r="596" hidden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</row>
    <row r="597" hidden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</row>
    <row r="598" hidden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</row>
    <row r="599" hidden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</row>
    <row r="600" hidden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</row>
    <row r="601" hidden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</row>
    <row r="602" hidden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</row>
    <row r="603" hidden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</row>
    <row r="604" hidden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</row>
    <row r="605" hidden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</row>
    <row r="606" hidden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</row>
    <row r="607" hidden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</row>
    <row r="608" hidden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</row>
    <row r="609" hidden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</row>
    <row r="610" hidden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</row>
    <row r="611" hidden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</row>
    <row r="612" hidden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</row>
    <row r="613" hidden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</row>
    <row r="614" hidden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</row>
    <row r="615" hidden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</row>
    <row r="616" hidden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</row>
    <row r="617" hidden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</row>
    <row r="618" hidden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</row>
    <row r="619" hidden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</row>
    <row r="620" hidden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</row>
    <row r="621" hidden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</row>
    <row r="622" hidden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</row>
    <row r="623" hidden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</row>
    <row r="624" hidden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</row>
    <row r="625" hidden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</row>
    <row r="626" hidden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</row>
    <row r="627" hidden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</row>
    <row r="628" hidden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</row>
    <row r="629" hidden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</row>
    <row r="630" hidden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</row>
    <row r="631" hidden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</row>
    <row r="632" hidden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</row>
    <row r="633" hidden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</row>
    <row r="634" hidden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</row>
    <row r="635" hidden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</row>
    <row r="636" hidden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</row>
    <row r="637" hidden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</row>
    <row r="638" hidden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</row>
    <row r="639" hidden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</row>
    <row r="640" hidden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</row>
    <row r="641" hidden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</row>
    <row r="642" hidden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</row>
    <row r="643" hidden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</row>
    <row r="644" hidden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</row>
    <row r="645" hidden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</row>
    <row r="646" hidden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</row>
    <row r="647" hidden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</row>
    <row r="648" hidden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</row>
    <row r="649" hidden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</row>
    <row r="650" hidden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</row>
    <row r="651" hidden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</row>
    <row r="652" hidden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</row>
    <row r="653" hidden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</row>
    <row r="654" hidden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</row>
    <row r="655" hidden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</row>
    <row r="656" hidden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</row>
    <row r="657" hidden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</row>
    <row r="658" hidden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</row>
    <row r="659" hidden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</row>
    <row r="660" hidden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</row>
    <row r="661" hidden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</row>
    <row r="662" hidden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</row>
    <row r="663" hidden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</row>
    <row r="664" hidden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</row>
    <row r="665" hidden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</row>
    <row r="666" hidden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</row>
    <row r="667" hidden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</row>
    <row r="668" hidden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</row>
    <row r="669" hidden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</row>
    <row r="670" hidden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</row>
    <row r="671" hidden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</row>
    <row r="672" hidden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</row>
    <row r="673" hidden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</row>
    <row r="674" hidden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</row>
    <row r="675" hidden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</row>
    <row r="676" hidden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</row>
    <row r="677" hidden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</row>
    <row r="678" hidden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</row>
    <row r="679" hidden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</row>
    <row r="680" hidden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</row>
    <row r="681" hidden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</row>
    <row r="682" hidden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</row>
    <row r="683" hidden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</row>
    <row r="684" hidden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</row>
    <row r="685" hidden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</row>
    <row r="686" hidden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</row>
    <row r="687" hidden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</row>
    <row r="688" hidden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</row>
    <row r="689" hidden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</row>
    <row r="690" hidden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</row>
    <row r="691" hidden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</row>
    <row r="692" hidden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</row>
    <row r="693" hidden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</row>
    <row r="694" hidden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</row>
    <row r="695" hidden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</row>
    <row r="696" hidden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</row>
    <row r="697" hidden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</row>
    <row r="698" hidden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</row>
    <row r="699" hidden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</row>
    <row r="700" hidden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</row>
    <row r="701" hidden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</row>
    <row r="702" hidden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</row>
    <row r="703" hidden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</row>
    <row r="704" hidden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</row>
    <row r="705" hidden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</row>
    <row r="706" hidden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</row>
    <row r="707" hidden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</row>
    <row r="708" hidden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</row>
    <row r="709" hidden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</row>
    <row r="710" hidden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</row>
    <row r="711" hidden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</row>
    <row r="712" hidden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</row>
    <row r="713" hidden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</row>
    <row r="714" hidden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</row>
    <row r="715" hidden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</row>
    <row r="716" hidden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</row>
    <row r="717" hidden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</row>
    <row r="718" hidden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</row>
    <row r="719" hidden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</row>
    <row r="720" hidden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</row>
    <row r="721" hidden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</row>
    <row r="722" hidden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</row>
    <row r="723" hidden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</row>
    <row r="724" hidden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</row>
    <row r="725" hidden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</row>
    <row r="726" hidden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</row>
    <row r="727" hidden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</row>
    <row r="728" hidden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</row>
    <row r="729" hidden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</row>
    <row r="730" hidden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</row>
    <row r="731" hidden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</row>
    <row r="732" hidden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</row>
    <row r="733" hidden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</row>
    <row r="734" hidden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</row>
    <row r="735" hidden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</row>
    <row r="736" hidden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</row>
    <row r="737" hidden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</row>
    <row r="738" hidden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</row>
    <row r="739" hidden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</row>
    <row r="740" hidden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</row>
    <row r="741" hidden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</row>
    <row r="742" hidden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</row>
    <row r="743" hidden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</row>
    <row r="744" hidden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</row>
    <row r="745" hidden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</row>
    <row r="746" hidden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</row>
    <row r="747" hidden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</row>
    <row r="748" hidden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</row>
    <row r="749" hidden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</row>
    <row r="750" hidden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</row>
    <row r="751" hidden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</row>
    <row r="752" hidden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</row>
    <row r="753" hidden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</row>
    <row r="754" hidden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</row>
    <row r="755" hidden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</row>
    <row r="756" hidden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</row>
    <row r="757" hidden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</row>
    <row r="758" hidden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</row>
    <row r="759" hidden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</row>
    <row r="760" hidden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</row>
    <row r="761" hidden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</row>
    <row r="762" hidden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</row>
    <row r="763" hidden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</row>
    <row r="764" hidden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</row>
    <row r="765" hidden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</row>
    <row r="766" hidden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</row>
    <row r="767" hidden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</row>
    <row r="768" hidden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</row>
    <row r="769" hidden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</row>
    <row r="770" hidden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</row>
    <row r="771" hidden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</row>
    <row r="772" hidden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</row>
    <row r="773" hidden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</row>
    <row r="774" hidden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</row>
    <row r="775" hidden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</row>
    <row r="776" hidden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</row>
    <row r="777" hidden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</row>
    <row r="778" hidden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</row>
    <row r="779" hidden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</row>
    <row r="780" hidden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</row>
    <row r="781" hidden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</row>
    <row r="782" hidden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</row>
    <row r="783" hidden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</row>
    <row r="784" hidden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</row>
    <row r="785" hidden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</row>
    <row r="786" hidden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</row>
    <row r="787" hidden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</row>
    <row r="788" hidden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</row>
    <row r="789" hidden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</row>
    <row r="790" hidden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</row>
    <row r="791" hidden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</row>
    <row r="792" hidden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</row>
    <row r="793" hidden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</row>
    <row r="794" hidden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</row>
    <row r="795" hidden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</row>
    <row r="796" hidden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</row>
    <row r="797" hidden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</row>
    <row r="798" hidden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</row>
    <row r="799" hidden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</row>
    <row r="800" hidden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</row>
    <row r="801" hidden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</row>
    <row r="802" hidden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</row>
    <row r="803" hidden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</row>
    <row r="804" hidden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</row>
    <row r="805" hidden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</row>
    <row r="806" hidden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</row>
    <row r="807" hidden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</row>
    <row r="808" hidden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</row>
    <row r="809" hidden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</row>
    <row r="810" hidden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</row>
    <row r="811" hidden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</row>
    <row r="812" hidden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</row>
    <row r="813" hidden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</row>
    <row r="814" hidden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</row>
    <row r="815" hidden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</row>
    <row r="816" hidden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</row>
    <row r="817" hidden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</row>
    <row r="818" hidden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</row>
    <row r="819" hidden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</row>
    <row r="820" hidden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</row>
    <row r="821" hidden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</row>
    <row r="822" hidden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</row>
    <row r="823" hidden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</row>
    <row r="824" hidden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</row>
    <row r="825" hidden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</row>
    <row r="826" hidden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</row>
    <row r="827" hidden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</row>
    <row r="828" hidden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</row>
    <row r="829" hidden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</row>
    <row r="830" hidden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</row>
    <row r="831" hidden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</row>
    <row r="832" hidden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</row>
    <row r="833" hidden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</row>
    <row r="834" hidden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</row>
    <row r="835" hidden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</row>
    <row r="836" hidden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</row>
    <row r="837" hidden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</row>
    <row r="838" hidden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</row>
    <row r="839" hidden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</row>
    <row r="840" hidden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</row>
    <row r="841" hidden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</row>
    <row r="842" hidden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</row>
    <row r="843" hidden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</row>
    <row r="844" hidden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</row>
    <row r="845" hidden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</row>
    <row r="846" hidden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</row>
    <row r="847" hidden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</row>
    <row r="848" hidden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</row>
    <row r="849" hidden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</row>
    <row r="850" hidden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</row>
    <row r="851" hidden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</row>
    <row r="852" hidden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</row>
    <row r="853" hidden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</row>
    <row r="854" hidden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</row>
    <row r="855" hidden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</row>
    <row r="856" hidden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</row>
    <row r="857" hidden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</row>
    <row r="858" hidden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</row>
    <row r="859" hidden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</row>
    <row r="860" hidden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</row>
    <row r="861" hidden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</row>
    <row r="862" hidden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</row>
    <row r="863" hidden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</row>
    <row r="864" hidden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</row>
    <row r="865" hidden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</row>
    <row r="866" hidden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</row>
    <row r="867" hidden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</row>
    <row r="868" hidden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</row>
    <row r="869" hidden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</row>
    <row r="870" hidden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</row>
    <row r="871" hidden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</row>
    <row r="872" hidden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</row>
    <row r="873" hidden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</row>
    <row r="874" hidden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</row>
    <row r="875" hidden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</row>
    <row r="876" hidden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</row>
    <row r="877" hidden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</row>
    <row r="878" hidden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</row>
    <row r="879" hidden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</row>
    <row r="880" hidden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</row>
    <row r="881" hidden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</row>
    <row r="882" hidden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</row>
    <row r="883" hidden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</row>
    <row r="884" hidden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</row>
    <row r="885" hidden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</row>
    <row r="886" hidden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</row>
    <row r="887" hidden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</row>
    <row r="888" hidden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</row>
    <row r="889" hidden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</row>
    <row r="890" hidden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</row>
    <row r="891" hidden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</row>
    <row r="892" hidden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</row>
    <row r="893" hidden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</row>
    <row r="894" hidden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</row>
    <row r="895" hidden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</row>
    <row r="896" hidden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</row>
    <row r="897" hidden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</row>
    <row r="898" hidden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</row>
    <row r="899" hidden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</row>
    <row r="900" hidden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</row>
    <row r="901" hidden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</row>
    <row r="902" hidden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</row>
    <row r="903" hidden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</row>
    <row r="904" hidden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</row>
    <row r="905" hidden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</row>
    <row r="906" hidden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</row>
    <row r="907" hidden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</row>
    <row r="908" hidden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</row>
    <row r="909" hidden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</row>
    <row r="910" hidden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</row>
    <row r="911" hidden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</row>
    <row r="912" hidden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</row>
    <row r="913" hidden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</row>
    <row r="914" hidden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</row>
    <row r="915" hidden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</row>
    <row r="916" hidden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</row>
    <row r="917" hidden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</row>
    <row r="918" hidden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</row>
    <row r="919" hidden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</row>
    <row r="920" hidden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</row>
    <row r="921" hidden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</row>
    <row r="922" hidden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</row>
    <row r="923" hidden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</row>
    <row r="924" hidden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</row>
    <row r="925" hidden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</row>
    <row r="926" hidden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</row>
    <row r="927" hidden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</row>
    <row r="928" hidden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</row>
    <row r="929" hidden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</row>
    <row r="930" hidden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</row>
    <row r="931" hidden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</row>
    <row r="932" hidden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</row>
    <row r="933" hidden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</row>
    <row r="934" hidden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</row>
    <row r="935" hidden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</row>
    <row r="936" hidden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</row>
    <row r="937" hidden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</row>
    <row r="938" hidden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</row>
    <row r="939" hidden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</row>
    <row r="940" hidden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</row>
    <row r="941" hidden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</row>
    <row r="942" hidden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</row>
    <row r="943" hidden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</row>
    <row r="944" hidden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</row>
    <row r="945" hidden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</row>
    <row r="946" hidden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</row>
    <row r="947" hidden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</row>
    <row r="948" hidden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</row>
    <row r="949" hidden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</row>
    <row r="950" hidden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</row>
    <row r="951" hidden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</row>
    <row r="952" hidden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</row>
    <row r="953" hidden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</row>
    <row r="954" hidden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</row>
    <row r="955" hidden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</row>
    <row r="956" hidden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</row>
    <row r="957" hidden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</row>
    <row r="958" hidden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</row>
    <row r="959" hidden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</row>
    <row r="960" hidden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</row>
    <row r="961" hidden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</row>
    <row r="962" hidden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</row>
    <row r="963" hidden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</row>
    <row r="964" hidden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</row>
    <row r="965" hidden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</row>
    <row r="966" hidden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</row>
    <row r="967" hidden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</row>
    <row r="968" hidden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</row>
    <row r="969" hidden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</row>
    <row r="970" hidden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</row>
    <row r="971" hidden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</row>
    <row r="972" hidden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</row>
    <row r="973" hidden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</row>
    <row r="974" hidden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</row>
    <row r="975" hidden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</row>
    <row r="976" hidden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</row>
    <row r="977" hidden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</row>
    <row r="978" hidden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</row>
    <row r="979" hidden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</row>
    <row r="980" hidden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</row>
    <row r="981" hidden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</row>
    <row r="982" hidden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</row>
    <row r="983" hidden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</row>
    <row r="984" hidden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</row>
    <row r="985" hidden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</row>
    <row r="986" hidden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</row>
    <row r="987" hidden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</row>
    <row r="988" hidden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</row>
    <row r="989" hidden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</row>
    <row r="990" hidden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</row>
    <row r="991" hidden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</row>
    <row r="992" hidden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</row>
    <row r="993" hidden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</row>
    <row r="994" hidden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</row>
    <row r="995" hidden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</row>
    <row r="996" hidden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</row>
    <row r="997" hidden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</row>
    <row r="998" hidden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</row>
    <row r="999" hidden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</row>
    <row r="1000" hidden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</row>
  </sheetData>
  <mergeCells count="16">
    <mergeCell ref="F2:F3"/>
    <mergeCell ref="G2:G3"/>
    <mergeCell ref="H2:H3"/>
    <mergeCell ref="I2:I3"/>
    <mergeCell ref="J2:J3"/>
    <mergeCell ref="K2:K3"/>
    <mergeCell ref="L2:L3"/>
    <mergeCell ref="M2:M3"/>
    <mergeCell ref="I5:M5"/>
    <mergeCell ref="A1:H1"/>
    <mergeCell ref="I1:M1"/>
    <mergeCell ref="A2:A3"/>
    <mergeCell ref="B2:B3"/>
    <mergeCell ref="C2:C3"/>
    <mergeCell ref="D2:D3"/>
    <mergeCell ref="E2:E3"/>
  </mergeCells>
  <conditionalFormatting sqref="A1:M1000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  <hyperlink r:id="rId47" ref="B27"/>
    <hyperlink r:id="rId48" ref="E27"/>
    <hyperlink r:id="rId49" ref="B28"/>
    <hyperlink r:id="rId50" ref="E28"/>
    <hyperlink r:id="rId51" ref="B29"/>
    <hyperlink r:id="rId52" ref="E29"/>
    <hyperlink r:id="rId53" ref="B30"/>
    <hyperlink r:id="rId54" ref="E30"/>
    <hyperlink r:id="rId55" ref="B31"/>
    <hyperlink r:id="rId56" ref="E31"/>
    <hyperlink r:id="rId57" ref="B32"/>
    <hyperlink r:id="rId58" ref="E32"/>
    <hyperlink r:id="rId59" ref="B33"/>
    <hyperlink r:id="rId60" ref="E33"/>
    <hyperlink r:id="rId61" ref="B34"/>
    <hyperlink r:id="rId62" ref="E34"/>
    <hyperlink r:id="rId63" ref="B35"/>
    <hyperlink r:id="rId64" ref="E35"/>
    <hyperlink r:id="rId65" ref="B36"/>
    <hyperlink r:id="rId66" ref="E36"/>
    <hyperlink r:id="rId67" ref="B37"/>
    <hyperlink r:id="rId68" ref="E37"/>
    <hyperlink r:id="rId69" ref="B38"/>
    <hyperlink r:id="rId70" ref="E38"/>
    <hyperlink r:id="rId71" ref="B39"/>
    <hyperlink r:id="rId72" ref="E39"/>
    <hyperlink r:id="rId73" ref="B40"/>
    <hyperlink r:id="rId74" ref="E40"/>
    <hyperlink r:id="rId75" ref="B41"/>
    <hyperlink r:id="rId76" ref="E41"/>
    <hyperlink r:id="rId77" ref="B42"/>
    <hyperlink r:id="rId78" ref="E42"/>
    <hyperlink r:id="rId79" ref="B43"/>
    <hyperlink r:id="rId80" ref="E43"/>
  </hyperlinks>
  <drawing r:id="rId8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4.0"/>
    <col customWidth="1" min="2" max="2" width="16.63"/>
    <col customWidth="1" min="3" max="3" width="8.75"/>
    <col customWidth="1" min="5" max="5" width="15.38"/>
    <col customWidth="1" min="6" max="6" width="8.75"/>
    <col customWidth="1" min="8" max="8" width="12.63"/>
    <col customWidth="1" min="9" max="9" width="21.13"/>
    <col customWidth="1" min="10" max="10" width="14.13"/>
    <col customWidth="1" min="20" max="20" width="15.75"/>
    <col customWidth="1" min="22" max="22" width="16.88"/>
    <col customWidth="1" min="24" max="25" width="22.0"/>
  </cols>
  <sheetData>
    <row r="1">
      <c r="A1" s="38"/>
      <c r="B1" s="3"/>
      <c r="C1" s="3"/>
      <c r="D1" s="3"/>
      <c r="E1" s="3"/>
      <c r="F1" s="3"/>
      <c r="G1" s="3"/>
      <c r="H1" s="3"/>
      <c r="I1" s="4"/>
      <c r="J1" s="47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8"/>
    </row>
    <row r="2">
      <c r="A2" s="49" t="s">
        <v>2</v>
      </c>
      <c r="B2" s="50" t="s">
        <v>3</v>
      </c>
      <c r="C2" s="3"/>
      <c r="D2" s="3"/>
      <c r="E2" s="3"/>
      <c r="F2" s="3"/>
      <c r="G2" s="3"/>
      <c r="H2" s="3"/>
      <c r="I2" s="4"/>
      <c r="J2" s="51" t="s">
        <v>4</v>
      </c>
      <c r="K2" s="52" t="s">
        <v>5</v>
      </c>
      <c r="L2" s="3"/>
      <c r="M2" s="3"/>
      <c r="N2" s="3"/>
      <c r="O2" s="3"/>
      <c r="P2" s="3"/>
      <c r="Q2" s="4"/>
      <c r="R2" s="53" t="s">
        <v>6</v>
      </c>
      <c r="S2" s="3"/>
      <c r="T2" s="3"/>
      <c r="U2" s="3"/>
      <c r="V2" s="3"/>
      <c r="W2" s="3"/>
      <c r="X2" s="4"/>
      <c r="Y2" s="54" t="s">
        <v>36</v>
      </c>
    </row>
    <row r="3">
      <c r="A3" s="12"/>
      <c r="B3" s="55" t="s">
        <v>7</v>
      </c>
      <c r="C3" s="55" t="s">
        <v>8</v>
      </c>
      <c r="D3" s="55" t="s">
        <v>9</v>
      </c>
      <c r="E3" s="55" t="s">
        <v>10</v>
      </c>
      <c r="F3" s="56" t="s">
        <v>8</v>
      </c>
      <c r="G3" s="55" t="s">
        <v>9</v>
      </c>
      <c r="H3" s="55" t="s">
        <v>11</v>
      </c>
      <c r="I3" s="55" t="s">
        <v>12</v>
      </c>
      <c r="J3" s="57" t="s">
        <v>13</v>
      </c>
      <c r="K3" s="57" t="s">
        <v>14</v>
      </c>
      <c r="L3" s="57" t="s">
        <v>15</v>
      </c>
      <c r="M3" s="58" t="s">
        <v>16</v>
      </c>
      <c r="N3" s="57" t="s">
        <v>17</v>
      </c>
      <c r="O3" s="57" t="s">
        <v>18</v>
      </c>
      <c r="P3" s="57" t="s">
        <v>19</v>
      </c>
      <c r="Q3" s="58" t="s">
        <v>20</v>
      </c>
      <c r="R3" s="57" t="s">
        <v>10</v>
      </c>
      <c r="S3" s="57" t="s">
        <v>21</v>
      </c>
      <c r="T3" s="57" t="s">
        <v>22</v>
      </c>
      <c r="U3" s="58" t="s">
        <v>23</v>
      </c>
      <c r="V3" s="58" t="s">
        <v>24</v>
      </c>
      <c r="W3" s="58" t="s">
        <v>25</v>
      </c>
      <c r="X3" s="58" t="s">
        <v>26</v>
      </c>
      <c r="Y3" s="59" t="s">
        <v>37</v>
      </c>
    </row>
    <row r="4">
      <c r="A4" s="60">
        <v>1.0</v>
      </c>
      <c r="B4" s="61" t="s">
        <v>38</v>
      </c>
      <c r="C4" s="62">
        <v>7000000.0</v>
      </c>
      <c r="D4" s="63" t="str">
        <f t="shared" ref="D4:D12" si="1">ifs(C4&lt;10000, "Nano", C4&lt;=100000, "Micro", C4&lt;=500000, "Mid", C4&lt;=1000000, "Macro", C4&gt;1000000, "Mega")</f>
        <v>Mega</v>
      </c>
      <c r="E4" s="64" t="s">
        <v>38</v>
      </c>
      <c r="F4" s="65">
        <v>6100000.0</v>
      </c>
      <c r="G4" s="63" t="str">
        <f t="shared" ref="G4:G12" si="2">ifs(F4&lt;10000, "Nano", F4&lt;=100000, "Micro", F4&lt;=500000, "Mid", F4&lt;=1000000, "Macro", F4&gt;1000000, "Mega")</f>
        <v>Mega</v>
      </c>
      <c r="H4" s="63" t="s">
        <v>39</v>
      </c>
      <c r="I4" s="63" t="s">
        <v>40</v>
      </c>
      <c r="J4" s="66"/>
      <c r="K4" s="66" t="s">
        <v>41</v>
      </c>
      <c r="L4" s="66"/>
      <c r="M4" s="66"/>
      <c r="N4" s="66">
        <v>2.5E7</v>
      </c>
      <c r="O4" s="66"/>
      <c r="P4" s="66">
        <v>3.5E7</v>
      </c>
      <c r="Q4" s="66"/>
      <c r="R4" s="66" t="s">
        <v>42</v>
      </c>
      <c r="S4" s="67">
        <v>0.5</v>
      </c>
      <c r="T4" s="66" t="s">
        <v>43</v>
      </c>
      <c r="U4" s="66"/>
      <c r="V4" s="67">
        <v>0.5</v>
      </c>
      <c r="W4" s="66"/>
      <c r="X4" s="66"/>
      <c r="Y4" s="66"/>
    </row>
    <row r="5">
      <c r="A5" s="60">
        <v>2.0</v>
      </c>
      <c r="B5" s="61" t="s">
        <v>44</v>
      </c>
      <c r="C5" s="68">
        <v>6700000.0</v>
      </c>
      <c r="D5" s="63" t="str">
        <f t="shared" si="1"/>
        <v>Mega</v>
      </c>
      <c r="E5" s="64" t="s">
        <v>45</v>
      </c>
      <c r="F5" s="68">
        <v>2800000.0</v>
      </c>
      <c r="G5" s="63" t="str">
        <f t="shared" si="2"/>
        <v>Mega</v>
      </c>
      <c r="H5" s="63" t="s">
        <v>46</v>
      </c>
      <c r="I5" s="63" t="s">
        <v>47</v>
      </c>
      <c r="J5" s="66"/>
      <c r="K5" s="66">
        <v>2.0E7</v>
      </c>
      <c r="L5" s="66">
        <v>3.5E7</v>
      </c>
      <c r="M5" s="66">
        <v>5000000.0</v>
      </c>
      <c r="N5" s="66">
        <v>3.0E7</v>
      </c>
      <c r="O5" s="66">
        <v>4.5E7</v>
      </c>
      <c r="P5" s="66">
        <v>4.5E7</v>
      </c>
      <c r="Q5" s="66">
        <v>1.0E7</v>
      </c>
      <c r="R5" s="66">
        <v>4.5E7</v>
      </c>
      <c r="S5" s="66">
        <v>6.5E7</v>
      </c>
      <c r="T5" s="66">
        <v>4.5E7</v>
      </c>
      <c r="U5" s="66">
        <v>1.0E7</v>
      </c>
      <c r="V5" s="66">
        <v>1.0E7</v>
      </c>
      <c r="W5" s="66"/>
      <c r="X5" s="66"/>
      <c r="Y5" s="66"/>
    </row>
    <row r="6">
      <c r="A6" s="60">
        <v>3.0</v>
      </c>
      <c r="B6" s="61" t="s">
        <v>48</v>
      </c>
      <c r="C6" s="69">
        <v>999000.0</v>
      </c>
      <c r="D6" s="63" t="str">
        <f t="shared" si="1"/>
        <v>Macro</v>
      </c>
      <c r="E6" s="61" t="s">
        <v>49</v>
      </c>
      <c r="F6" s="69">
        <v>89900.0</v>
      </c>
      <c r="G6" s="63" t="str">
        <f t="shared" si="2"/>
        <v>Micro</v>
      </c>
      <c r="H6" s="63" t="s">
        <v>50</v>
      </c>
      <c r="I6" s="70" t="s">
        <v>51</v>
      </c>
      <c r="J6" s="66">
        <v>2000000.0</v>
      </c>
      <c r="K6" s="66">
        <v>3500000.0</v>
      </c>
      <c r="L6" s="66">
        <v>6500000.0</v>
      </c>
      <c r="M6" s="71" t="s">
        <v>52</v>
      </c>
      <c r="N6" s="66">
        <v>8000000.0</v>
      </c>
      <c r="O6" s="66">
        <v>1000000.0</v>
      </c>
      <c r="P6" s="66">
        <v>1.3E7</v>
      </c>
      <c r="Q6" s="66">
        <v>1000000.0</v>
      </c>
      <c r="R6" s="66">
        <v>8000000.0</v>
      </c>
      <c r="S6" s="66">
        <v>1.9E7</v>
      </c>
      <c r="T6" s="66">
        <v>1.0E7</v>
      </c>
      <c r="U6" s="67">
        <v>0.5</v>
      </c>
      <c r="V6" s="66">
        <v>1000000.0</v>
      </c>
      <c r="W6" s="66">
        <v>1000000.0</v>
      </c>
      <c r="X6" s="66">
        <v>5000000.0</v>
      </c>
      <c r="Y6" s="66"/>
    </row>
    <row r="7">
      <c r="A7" s="60">
        <v>4.0</v>
      </c>
      <c r="B7" s="61" t="s">
        <v>53</v>
      </c>
      <c r="C7" s="69">
        <v>988000.0</v>
      </c>
      <c r="D7" s="63" t="str">
        <f t="shared" si="1"/>
        <v>Macro</v>
      </c>
      <c r="E7" s="61" t="s">
        <v>54</v>
      </c>
      <c r="F7" s="69">
        <v>601100.0</v>
      </c>
      <c r="G7" s="63" t="str">
        <f t="shared" si="2"/>
        <v>Macro</v>
      </c>
      <c r="H7" s="63" t="s">
        <v>50</v>
      </c>
      <c r="I7" s="63" t="s">
        <v>55</v>
      </c>
      <c r="J7" s="66">
        <v>500000.0</v>
      </c>
      <c r="K7" s="66">
        <v>3000000.0</v>
      </c>
      <c r="L7" s="66">
        <v>3500000.0</v>
      </c>
      <c r="M7" s="71" t="s">
        <v>52</v>
      </c>
      <c r="N7" s="66">
        <v>4000000.0</v>
      </c>
      <c r="O7" s="66"/>
      <c r="P7" s="66">
        <v>5000000.0</v>
      </c>
      <c r="Q7" s="71" t="s">
        <v>52</v>
      </c>
      <c r="R7" s="66">
        <v>1500000.0</v>
      </c>
      <c r="S7" s="66">
        <v>6000000.0</v>
      </c>
      <c r="T7" s="66"/>
      <c r="U7" s="66"/>
      <c r="V7" s="66"/>
      <c r="W7" s="71" t="s">
        <v>52</v>
      </c>
      <c r="X7" s="66"/>
      <c r="Y7" s="66"/>
    </row>
    <row r="8">
      <c r="A8" s="60">
        <v>5.0</v>
      </c>
      <c r="B8" s="61" t="s">
        <v>56</v>
      </c>
      <c r="C8" s="69">
        <v>922000.0</v>
      </c>
      <c r="D8" s="63" t="str">
        <f t="shared" si="1"/>
        <v>Macro</v>
      </c>
      <c r="E8" s="61" t="s">
        <v>57</v>
      </c>
      <c r="F8" s="68">
        <v>4400000.0</v>
      </c>
      <c r="G8" s="63" t="str">
        <f t="shared" si="2"/>
        <v>Mega</v>
      </c>
      <c r="H8" s="63" t="s">
        <v>58</v>
      </c>
      <c r="I8" s="63" t="s">
        <v>59</v>
      </c>
      <c r="J8" s="66">
        <v>5000000.0</v>
      </c>
      <c r="K8" s="66">
        <v>5000000.0</v>
      </c>
      <c r="L8" s="66">
        <v>7000000.0</v>
      </c>
      <c r="M8" s="66">
        <v>500000.0</v>
      </c>
      <c r="N8" s="66">
        <v>7000000.0</v>
      </c>
      <c r="O8" s="66">
        <v>8000000.0</v>
      </c>
      <c r="P8" s="66">
        <v>2.0E7</v>
      </c>
      <c r="Q8" s="66">
        <v>500000.0</v>
      </c>
      <c r="R8" s="66">
        <v>2.5E7</v>
      </c>
      <c r="S8" s="66">
        <v>5000000.0</v>
      </c>
      <c r="T8" s="66">
        <v>7000000.0</v>
      </c>
      <c r="U8" s="72">
        <v>0.5</v>
      </c>
      <c r="V8" s="66">
        <v>2000000.0</v>
      </c>
      <c r="W8" s="66">
        <v>2000000.0</v>
      </c>
      <c r="X8" s="66">
        <v>1.0E7</v>
      </c>
      <c r="Y8" s="66"/>
    </row>
    <row r="9">
      <c r="A9" s="60">
        <v>6.0</v>
      </c>
      <c r="B9" s="61" t="s">
        <v>60</v>
      </c>
      <c r="C9" s="69">
        <v>887000.0</v>
      </c>
      <c r="D9" s="63" t="str">
        <f t="shared" si="1"/>
        <v>Macro</v>
      </c>
      <c r="E9" s="61" t="s">
        <v>60</v>
      </c>
      <c r="F9" s="68">
        <v>3800000.0</v>
      </c>
      <c r="G9" s="63" t="str">
        <f t="shared" si="2"/>
        <v>Mega</v>
      </c>
      <c r="H9" s="63" t="s">
        <v>46</v>
      </c>
      <c r="I9" s="63" t="s">
        <v>61</v>
      </c>
      <c r="J9" s="66">
        <v>2000000.0</v>
      </c>
      <c r="K9" s="66">
        <v>3500000.0</v>
      </c>
      <c r="L9" s="66">
        <v>5000000.0</v>
      </c>
      <c r="M9" s="66" t="s">
        <v>52</v>
      </c>
      <c r="N9" s="66">
        <v>6000000.0</v>
      </c>
      <c r="O9" s="66">
        <v>1.0E7</v>
      </c>
      <c r="P9" s="66">
        <v>1.5E7</v>
      </c>
      <c r="Q9" s="66">
        <v>1000000.0</v>
      </c>
      <c r="R9" s="66">
        <v>1.6E7</v>
      </c>
      <c r="S9" s="66">
        <v>2.0E7</v>
      </c>
      <c r="T9" s="66" t="s">
        <v>62</v>
      </c>
      <c r="U9" s="66" t="s">
        <v>63</v>
      </c>
      <c r="V9" s="66" t="s">
        <v>52</v>
      </c>
      <c r="W9" s="66">
        <v>1000000.0</v>
      </c>
      <c r="X9" s="66" t="s">
        <v>64</v>
      </c>
      <c r="Y9" s="66"/>
    </row>
    <row r="10">
      <c r="A10" s="60">
        <v>7.0</v>
      </c>
      <c r="B10" s="61" t="s">
        <v>65</v>
      </c>
      <c r="C10" s="69">
        <v>668000.0</v>
      </c>
      <c r="D10" s="63" t="str">
        <f t="shared" si="1"/>
        <v>Macro</v>
      </c>
      <c r="E10" s="61" t="s">
        <v>65</v>
      </c>
      <c r="F10" s="68">
        <v>1000001.0</v>
      </c>
      <c r="G10" s="63" t="str">
        <f t="shared" si="2"/>
        <v>Mega</v>
      </c>
      <c r="H10" s="63" t="s">
        <v>66</v>
      </c>
      <c r="I10" s="63" t="s">
        <v>67</v>
      </c>
      <c r="J10" s="66">
        <v>2500000.0</v>
      </c>
      <c r="K10" s="66">
        <v>2500000.0</v>
      </c>
      <c r="L10" s="66">
        <v>7500000.0</v>
      </c>
      <c r="M10" s="71" t="s">
        <v>52</v>
      </c>
      <c r="N10" s="66">
        <v>4000000.0</v>
      </c>
      <c r="O10" s="66">
        <v>7500000.0</v>
      </c>
      <c r="P10" s="66">
        <v>1.1E7</v>
      </c>
      <c r="Q10" s="66">
        <v>2000000.0</v>
      </c>
      <c r="R10" s="66">
        <v>1.2E7</v>
      </c>
      <c r="S10" s="66">
        <v>1.9E7</v>
      </c>
      <c r="T10" s="66"/>
      <c r="U10" s="66">
        <v>3000000.0</v>
      </c>
      <c r="V10" s="66">
        <v>1000000.0</v>
      </c>
      <c r="W10" s="66"/>
      <c r="X10" s="66">
        <v>4000000.0</v>
      </c>
      <c r="Y10" s="66"/>
    </row>
    <row r="11">
      <c r="A11" s="60">
        <v>8.0</v>
      </c>
      <c r="B11" s="61" t="s">
        <v>68</v>
      </c>
      <c r="C11" s="69">
        <v>587000.0</v>
      </c>
      <c r="D11" s="63" t="str">
        <f t="shared" si="1"/>
        <v>Macro</v>
      </c>
      <c r="E11" s="61" t="s">
        <v>68</v>
      </c>
      <c r="F11" s="69">
        <v>210000.0</v>
      </c>
      <c r="G11" s="63" t="str">
        <f t="shared" si="2"/>
        <v>Mid</v>
      </c>
      <c r="H11" s="63" t="s">
        <v>46</v>
      </c>
      <c r="I11" s="63" t="s">
        <v>69</v>
      </c>
      <c r="J11" s="66">
        <v>750000.0</v>
      </c>
      <c r="K11" s="66">
        <v>1500000.0</v>
      </c>
      <c r="L11" s="66">
        <v>2000000.0</v>
      </c>
      <c r="M11" s="71" t="s">
        <v>52</v>
      </c>
      <c r="N11" s="66">
        <v>4000000.0</v>
      </c>
      <c r="O11" s="66">
        <v>4000000.0</v>
      </c>
      <c r="P11" s="66">
        <v>6000000.0</v>
      </c>
      <c r="Q11" s="71" t="s">
        <v>52</v>
      </c>
      <c r="R11" s="66">
        <v>1.0E7</v>
      </c>
      <c r="S11" s="71" t="s">
        <v>52</v>
      </c>
      <c r="T11" s="66">
        <v>3000000.0</v>
      </c>
      <c r="U11" s="71" t="s">
        <v>52</v>
      </c>
      <c r="V11" s="71" t="s">
        <v>52</v>
      </c>
      <c r="W11" s="71" t="s">
        <v>52</v>
      </c>
      <c r="X11" s="66">
        <v>1500000.0</v>
      </c>
      <c r="Y11" s="66"/>
    </row>
    <row r="12">
      <c r="A12" s="60">
        <v>9.0</v>
      </c>
      <c r="B12" s="61" t="s">
        <v>70</v>
      </c>
      <c r="C12" s="69">
        <v>554000.0</v>
      </c>
      <c r="D12" s="63" t="str">
        <f t="shared" si="1"/>
        <v>Macro</v>
      </c>
      <c r="E12" s="61" t="s">
        <v>71</v>
      </c>
      <c r="F12" s="65">
        <v>9500000.0</v>
      </c>
      <c r="G12" s="63" t="str">
        <f t="shared" si="2"/>
        <v>Mega</v>
      </c>
      <c r="H12" s="63" t="s">
        <v>72</v>
      </c>
      <c r="I12" s="63" t="s">
        <v>73</v>
      </c>
      <c r="J12" s="66">
        <v>500000.0</v>
      </c>
      <c r="K12" s="66">
        <v>1000000.0</v>
      </c>
      <c r="L12" s="66">
        <v>1500000.0</v>
      </c>
      <c r="M12" s="71" t="s">
        <v>52</v>
      </c>
      <c r="N12" s="66">
        <v>5000000.0</v>
      </c>
      <c r="O12" s="66">
        <v>5500000.0</v>
      </c>
      <c r="P12" s="66">
        <v>8000000.0</v>
      </c>
      <c r="Q12" s="71" t="s">
        <v>52</v>
      </c>
      <c r="R12" s="66">
        <v>1.5E7</v>
      </c>
      <c r="S12" s="66">
        <v>1.8E7</v>
      </c>
      <c r="T12" s="66">
        <v>5000000.0</v>
      </c>
      <c r="U12" s="71" t="s">
        <v>52</v>
      </c>
      <c r="V12" s="66">
        <v>1000000.0</v>
      </c>
      <c r="W12" s="71" t="s">
        <v>52</v>
      </c>
      <c r="X12" s="66">
        <v>1000000.0</v>
      </c>
      <c r="Y12" s="66"/>
    </row>
    <row r="13">
      <c r="A13" s="60">
        <v>10.0</v>
      </c>
      <c r="B13" s="73" t="s">
        <v>74</v>
      </c>
      <c r="C13" s="74" t="s">
        <v>75</v>
      </c>
      <c r="D13" s="63" t="s">
        <v>76</v>
      </c>
      <c r="E13" s="73" t="s">
        <v>77</v>
      </c>
      <c r="F13" s="75" t="s">
        <v>78</v>
      </c>
      <c r="G13" s="63" t="s">
        <v>79</v>
      </c>
      <c r="H13" s="63" t="s">
        <v>39</v>
      </c>
      <c r="I13" s="63" t="s">
        <v>80</v>
      </c>
      <c r="J13" s="76"/>
      <c r="K13" s="66">
        <v>2500000.0</v>
      </c>
      <c r="L13" s="66">
        <v>3000000.0</v>
      </c>
      <c r="M13" s="76"/>
      <c r="N13" s="66">
        <v>5000000.0</v>
      </c>
      <c r="O13" s="66">
        <v>6000000.0</v>
      </c>
      <c r="P13" s="66">
        <v>1.5E7</v>
      </c>
      <c r="Q13" s="76"/>
      <c r="R13" s="66">
        <v>2.0E7</v>
      </c>
      <c r="S13" s="66">
        <v>2.5E7</v>
      </c>
      <c r="T13" s="76"/>
      <c r="U13" s="66">
        <v>1.5E7</v>
      </c>
      <c r="V13" s="66">
        <v>2000000.0</v>
      </c>
      <c r="W13" s="76"/>
      <c r="X13" s="76"/>
      <c r="Y13" s="76"/>
    </row>
    <row r="14">
      <c r="A14" s="60">
        <v>11.0</v>
      </c>
      <c r="B14" s="61" t="s">
        <v>81</v>
      </c>
      <c r="C14" s="69">
        <v>532000.0</v>
      </c>
      <c r="D14" s="63" t="str">
        <f t="shared" ref="D14:D54" si="3">ifs(C14&lt;10000, "Nano", C14&lt;=100000, "Micro", C14&lt;=500000, "Mid", C14&lt;=1000000, "Macro", C14&gt;1000000, "Mega")</f>
        <v>Macro</v>
      </c>
      <c r="E14" s="61" t="s">
        <v>82</v>
      </c>
      <c r="F14" s="65">
        <v>3200000.0</v>
      </c>
      <c r="G14" s="63" t="str">
        <f t="shared" ref="G14:G54" si="4">ifs(F14&lt;10000, "Nano", F14&lt;=100000, "Micro", F14&lt;=500000, "Mid", F14&lt;=1000000, "Macro", F14&gt;1000000, "Mega")</f>
        <v>Mega</v>
      </c>
      <c r="H14" s="63" t="s">
        <v>83</v>
      </c>
      <c r="I14" s="63" t="s">
        <v>84</v>
      </c>
      <c r="J14" s="66">
        <v>500000.0</v>
      </c>
      <c r="K14" s="66">
        <v>1300000.0</v>
      </c>
      <c r="L14" s="66"/>
      <c r="M14" s="71" t="s">
        <v>52</v>
      </c>
      <c r="N14" s="66">
        <v>2700000.0</v>
      </c>
      <c r="O14" s="66"/>
      <c r="P14" s="66">
        <v>3700000.0</v>
      </c>
      <c r="Q14" s="71" t="s">
        <v>52</v>
      </c>
      <c r="R14" s="66">
        <v>5500000.0</v>
      </c>
      <c r="S14" s="66">
        <v>7000000.0</v>
      </c>
      <c r="T14" s="66"/>
      <c r="U14" s="66">
        <v>2000000.0</v>
      </c>
      <c r="V14" s="66"/>
      <c r="W14" s="71" t="s">
        <v>52</v>
      </c>
      <c r="X14" s="66">
        <v>1500000.0</v>
      </c>
      <c r="Y14" s="66"/>
    </row>
    <row r="15">
      <c r="A15" s="60">
        <v>12.0</v>
      </c>
      <c r="B15" s="61" t="s">
        <v>85</v>
      </c>
      <c r="C15" s="69">
        <v>519000.0</v>
      </c>
      <c r="D15" s="63" t="str">
        <f t="shared" si="3"/>
        <v>Macro</v>
      </c>
      <c r="E15" s="61" t="s">
        <v>86</v>
      </c>
      <c r="F15" s="69">
        <v>170700.0</v>
      </c>
      <c r="G15" s="63" t="str">
        <f t="shared" si="4"/>
        <v>Mid</v>
      </c>
      <c r="H15" s="63" t="s">
        <v>87</v>
      </c>
      <c r="I15" s="63" t="s">
        <v>88</v>
      </c>
      <c r="J15" s="66">
        <v>400000.0</v>
      </c>
      <c r="K15" s="66">
        <v>500000.0</v>
      </c>
      <c r="L15" s="66">
        <v>650000.0</v>
      </c>
      <c r="M15" s="71" t="s">
        <v>52</v>
      </c>
      <c r="N15" s="66">
        <v>850000.0</v>
      </c>
      <c r="O15" s="66">
        <v>950000.0</v>
      </c>
      <c r="P15" s="66">
        <v>1000000.0</v>
      </c>
      <c r="Q15" s="71" t="s">
        <v>52</v>
      </c>
      <c r="R15" s="66">
        <v>750000.0</v>
      </c>
      <c r="S15" s="66">
        <v>1500000.0</v>
      </c>
      <c r="T15" s="66"/>
      <c r="U15" s="71" t="s">
        <v>52</v>
      </c>
      <c r="V15" s="66"/>
      <c r="W15" s="71" t="s">
        <v>52</v>
      </c>
      <c r="X15" s="66" t="s">
        <v>89</v>
      </c>
      <c r="Y15" s="66"/>
    </row>
    <row r="16">
      <c r="A16" s="60">
        <v>13.0</v>
      </c>
      <c r="B16" s="61" t="s">
        <v>90</v>
      </c>
      <c r="C16" s="69">
        <v>477000.0</v>
      </c>
      <c r="D16" s="63" t="str">
        <f t="shared" si="3"/>
        <v>Mid</v>
      </c>
      <c r="E16" s="61" t="s">
        <v>91</v>
      </c>
      <c r="F16" s="69">
        <v>810000.0</v>
      </c>
      <c r="G16" s="63" t="str">
        <f t="shared" si="4"/>
        <v>Macro</v>
      </c>
      <c r="H16" s="63" t="s">
        <v>66</v>
      </c>
      <c r="I16" s="63" t="s">
        <v>92</v>
      </c>
      <c r="J16" s="66"/>
      <c r="K16" s="66">
        <v>500000.0</v>
      </c>
      <c r="L16" s="66"/>
      <c r="M16" s="71" t="s">
        <v>52</v>
      </c>
      <c r="N16" s="66">
        <v>2000000.0</v>
      </c>
      <c r="O16" s="66"/>
      <c r="P16" s="66">
        <v>3500000.0</v>
      </c>
      <c r="Q16" s="71" t="s">
        <v>52</v>
      </c>
      <c r="R16" s="66">
        <v>2500000.0</v>
      </c>
      <c r="S16" s="66">
        <v>4000000.0</v>
      </c>
      <c r="T16" s="66">
        <v>4000000.0</v>
      </c>
      <c r="U16" s="66">
        <v>2000000.0</v>
      </c>
      <c r="V16" s="66">
        <v>1000000.0</v>
      </c>
      <c r="W16" s="71" t="s">
        <v>52</v>
      </c>
      <c r="X16" s="66">
        <v>5000000.0</v>
      </c>
      <c r="Y16" s="66"/>
    </row>
    <row r="17">
      <c r="A17" s="60">
        <v>14.0</v>
      </c>
      <c r="B17" s="61" t="s">
        <v>93</v>
      </c>
      <c r="C17" s="69">
        <v>446000.0</v>
      </c>
      <c r="D17" s="63" t="str">
        <f t="shared" si="3"/>
        <v>Mid</v>
      </c>
      <c r="E17" s="61" t="s">
        <v>93</v>
      </c>
      <c r="F17" s="68">
        <v>1000001.0</v>
      </c>
      <c r="G17" s="63" t="str">
        <f t="shared" si="4"/>
        <v>Mega</v>
      </c>
      <c r="H17" s="63" t="s">
        <v>66</v>
      </c>
      <c r="I17" s="63" t="s">
        <v>94</v>
      </c>
      <c r="J17" s="66">
        <v>500000.0</v>
      </c>
      <c r="K17" s="66">
        <v>3000000.0</v>
      </c>
      <c r="L17" s="66">
        <v>5000000.0</v>
      </c>
      <c r="M17" s="71" t="s">
        <v>52</v>
      </c>
      <c r="N17" s="66">
        <v>4500000.0</v>
      </c>
      <c r="O17" s="66">
        <v>5000000.0</v>
      </c>
      <c r="P17" s="66">
        <v>7500000.0</v>
      </c>
      <c r="Q17" s="71" t="s">
        <v>52</v>
      </c>
      <c r="R17" s="66">
        <v>7000000.0</v>
      </c>
      <c r="S17" s="66">
        <v>3000000.0</v>
      </c>
      <c r="T17" s="66"/>
      <c r="U17" s="66">
        <v>3000000.0</v>
      </c>
      <c r="V17" s="66">
        <v>1500000.0</v>
      </c>
      <c r="W17" s="66">
        <v>500000.0</v>
      </c>
      <c r="X17" s="66">
        <v>1500000.0</v>
      </c>
      <c r="Y17" s="66"/>
    </row>
    <row r="18">
      <c r="A18" s="60">
        <v>15.0</v>
      </c>
      <c r="B18" s="61" t="s">
        <v>95</v>
      </c>
      <c r="C18" s="69">
        <v>442000.0</v>
      </c>
      <c r="D18" s="63" t="str">
        <f t="shared" si="3"/>
        <v>Mid</v>
      </c>
      <c r="E18" s="61" t="s">
        <v>95</v>
      </c>
      <c r="F18" s="68">
        <v>2100000.0</v>
      </c>
      <c r="G18" s="63" t="str">
        <f t="shared" si="4"/>
        <v>Mega</v>
      </c>
      <c r="H18" s="63" t="s">
        <v>46</v>
      </c>
      <c r="I18" s="66" t="s">
        <v>96</v>
      </c>
      <c r="J18" s="66">
        <v>500000.0</v>
      </c>
      <c r="K18" s="66">
        <v>500000.0</v>
      </c>
      <c r="L18" s="66" t="s">
        <v>97</v>
      </c>
      <c r="M18" s="71">
        <v>500000.0</v>
      </c>
      <c r="N18" s="66">
        <v>4000000.0</v>
      </c>
      <c r="O18" s="77" t="s">
        <v>98</v>
      </c>
      <c r="P18" s="66">
        <v>5000000.0</v>
      </c>
      <c r="Q18" s="71" t="s">
        <v>52</v>
      </c>
      <c r="R18" s="66">
        <v>8000000.0</v>
      </c>
      <c r="S18" s="66">
        <v>1.0E7</v>
      </c>
      <c r="T18" s="66" t="s">
        <v>99</v>
      </c>
      <c r="U18" s="72">
        <v>0.4</v>
      </c>
      <c r="V18" s="66" t="s">
        <v>100</v>
      </c>
      <c r="W18" s="66" t="s">
        <v>101</v>
      </c>
      <c r="X18" s="66" t="s">
        <v>102</v>
      </c>
      <c r="Y18" s="78">
        <v>7000000.0</v>
      </c>
    </row>
    <row r="19">
      <c r="A19" s="60">
        <v>16.0</v>
      </c>
      <c r="B19" s="61" t="s">
        <v>103</v>
      </c>
      <c r="C19" s="69">
        <v>438000.0</v>
      </c>
      <c r="D19" s="63" t="str">
        <f t="shared" si="3"/>
        <v>Mid</v>
      </c>
      <c r="E19" s="61" t="s">
        <v>103</v>
      </c>
      <c r="F19" s="69">
        <v>459000.0</v>
      </c>
      <c r="G19" s="63" t="str">
        <f t="shared" si="4"/>
        <v>Mid</v>
      </c>
      <c r="H19" s="63" t="s">
        <v>66</v>
      </c>
      <c r="I19" s="63" t="s">
        <v>104</v>
      </c>
      <c r="J19" s="66">
        <v>2500000.0</v>
      </c>
      <c r="K19" s="66">
        <v>2500000.0</v>
      </c>
      <c r="L19" s="66">
        <v>7500000.0</v>
      </c>
      <c r="M19" s="71" t="s">
        <v>52</v>
      </c>
      <c r="N19" s="66">
        <v>4000000.0</v>
      </c>
      <c r="O19" s="66">
        <v>7500000.0</v>
      </c>
      <c r="P19" s="66">
        <v>9000000.0</v>
      </c>
      <c r="Q19" s="66">
        <v>2000000.0</v>
      </c>
      <c r="R19" s="66">
        <v>8000000.0</v>
      </c>
      <c r="S19" s="66">
        <v>1.3E7</v>
      </c>
      <c r="T19" s="66"/>
      <c r="U19" s="66">
        <v>3000000.0</v>
      </c>
      <c r="V19" s="66">
        <v>1000000.0</v>
      </c>
      <c r="W19" s="66">
        <v>3000000.0</v>
      </c>
      <c r="X19" s="66">
        <v>4000000.0</v>
      </c>
      <c r="Y19" s="66"/>
    </row>
    <row r="20">
      <c r="A20" s="60">
        <v>17.0</v>
      </c>
      <c r="B20" s="61" t="s">
        <v>105</v>
      </c>
      <c r="C20" s="69">
        <v>425000.0</v>
      </c>
      <c r="D20" s="63" t="str">
        <f t="shared" si="3"/>
        <v>Mid</v>
      </c>
      <c r="E20" s="61" t="s">
        <v>105</v>
      </c>
      <c r="F20" s="69">
        <v>108300.0</v>
      </c>
      <c r="G20" s="63" t="str">
        <f t="shared" si="4"/>
        <v>Mid</v>
      </c>
      <c r="H20" s="63" t="s">
        <v>50</v>
      </c>
      <c r="I20" s="63" t="s">
        <v>106</v>
      </c>
      <c r="J20" s="66">
        <v>600000.0</v>
      </c>
      <c r="K20" s="66">
        <v>7000000.0</v>
      </c>
      <c r="L20" s="66">
        <v>8000000.0</v>
      </c>
      <c r="M20" s="71" t="s">
        <v>52</v>
      </c>
      <c r="N20" s="66">
        <v>7000000.0</v>
      </c>
      <c r="O20" s="66">
        <v>8000000.0</v>
      </c>
      <c r="P20" s="66">
        <v>1.5E7</v>
      </c>
      <c r="Q20" s="71" t="s">
        <v>52</v>
      </c>
      <c r="R20" s="66">
        <v>8000000.0</v>
      </c>
      <c r="S20" s="66">
        <v>1.5E7</v>
      </c>
      <c r="T20" s="66">
        <v>5000000.0</v>
      </c>
      <c r="U20" s="71" t="s">
        <v>52</v>
      </c>
      <c r="V20" s="66" t="s">
        <v>107</v>
      </c>
      <c r="W20" s="66">
        <v>1000000.0</v>
      </c>
      <c r="X20" s="66">
        <v>5000000.0</v>
      </c>
      <c r="Y20" s="66"/>
    </row>
    <row r="21">
      <c r="A21" s="60">
        <v>18.0</v>
      </c>
      <c r="B21" s="61" t="s">
        <v>108</v>
      </c>
      <c r="C21" s="69">
        <v>400000.0</v>
      </c>
      <c r="D21" s="63" t="str">
        <f t="shared" si="3"/>
        <v>Mid</v>
      </c>
      <c r="E21" s="61" t="s">
        <v>108</v>
      </c>
      <c r="F21" s="69">
        <v>61300.0</v>
      </c>
      <c r="G21" s="63" t="str">
        <f t="shared" si="4"/>
        <v>Micro</v>
      </c>
      <c r="H21" s="63" t="s">
        <v>39</v>
      </c>
      <c r="I21" s="63" t="s">
        <v>109</v>
      </c>
      <c r="J21" s="66">
        <v>1000000.0</v>
      </c>
      <c r="K21" s="66">
        <v>5000000.0</v>
      </c>
      <c r="L21" s="66">
        <v>7500000.0</v>
      </c>
      <c r="M21" s="71" t="s">
        <v>52</v>
      </c>
      <c r="N21" s="66">
        <v>8000000.0</v>
      </c>
      <c r="O21" s="66">
        <v>1.0E7</v>
      </c>
      <c r="P21" s="66">
        <v>1.5E7</v>
      </c>
      <c r="Q21" s="71" t="s">
        <v>52</v>
      </c>
      <c r="R21" s="66">
        <v>1.0E7</v>
      </c>
      <c r="S21" s="66">
        <v>2.0E7</v>
      </c>
      <c r="T21" s="66" t="s">
        <v>110</v>
      </c>
      <c r="U21" s="77" t="s">
        <v>111</v>
      </c>
      <c r="V21" s="66">
        <v>3000000.0</v>
      </c>
      <c r="W21" s="66">
        <v>3000000.0</v>
      </c>
      <c r="X21" s="66">
        <v>1.5E7</v>
      </c>
      <c r="Y21" s="66"/>
    </row>
    <row r="22">
      <c r="A22" s="60">
        <v>19.0</v>
      </c>
      <c r="B22" s="61" t="s">
        <v>112</v>
      </c>
      <c r="C22" s="69">
        <v>392000.0</v>
      </c>
      <c r="D22" s="63" t="str">
        <f t="shared" si="3"/>
        <v>Mid</v>
      </c>
      <c r="E22" s="61" t="s">
        <v>113</v>
      </c>
      <c r="F22" s="65">
        <v>2900000.0</v>
      </c>
      <c r="G22" s="63" t="str">
        <f t="shared" si="4"/>
        <v>Mega</v>
      </c>
      <c r="H22" s="63" t="s">
        <v>39</v>
      </c>
      <c r="I22" s="63" t="s">
        <v>114</v>
      </c>
      <c r="J22" s="66">
        <v>1500000.0</v>
      </c>
      <c r="K22" s="66">
        <v>5500000.0</v>
      </c>
      <c r="L22" s="66">
        <v>7000000.0</v>
      </c>
      <c r="M22" s="71" t="s">
        <v>52</v>
      </c>
      <c r="N22" s="66">
        <v>4500000.0</v>
      </c>
      <c r="O22" s="66" t="s">
        <v>115</v>
      </c>
      <c r="P22" s="66">
        <v>1.2E7</v>
      </c>
      <c r="Q22" s="66">
        <v>1500000.0</v>
      </c>
      <c r="R22" s="66">
        <v>2.2E7</v>
      </c>
      <c r="S22" s="66">
        <v>1.0E7</v>
      </c>
      <c r="T22" s="66">
        <v>1.0E7</v>
      </c>
      <c r="U22" s="66">
        <v>3.5E7</v>
      </c>
      <c r="V22" s="72">
        <v>0.5</v>
      </c>
      <c r="W22" s="66">
        <v>1500000.0</v>
      </c>
      <c r="X22" s="66">
        <v>3000000.0</v>
      </c>
      <c r="Y22" s="66"/>
    </row>
    <row r="23">
      <c r="A23" s="60">
        <v>20.0</v>
      </c>
      <c r="B23" s="61" t="s">
        <v>116</v>
      </c>
      <c r="C23" s="69">
        <v>379000.0</v>
      </c>
      <c r="D23" s="63" t="str">
        <f t="shared" si="3"/>
        <v>Mid</v>
      </c>
      <c r="E23" s="61" t="s">
        <v>117</v>
      </c>
      <c r="F23" s="69">
        <v>78000.0</v>
      </c>
      <c r="G23" s="63" t="str">
        <f t="shared" si="4"/>
        <v>Micro</v>
      </c>
      <c r="H23" s="63" t="s">
        <v>118</v>
      </c>
      <c r="I23" s="63" t="s">
        <v>80</v>
      </c>
      <c r="J23" s="66">
        <v>200000.0</v>
      </c>
      <c r="K23" s="66">
        <v>1500000.0</v>
      </c>
      <c r="L23" s="66"/>
      <c r="M23" s="71" t="s">
        <v>52</v>
      </c>
      <c r="N23" s="66">
        <v>3000000.0</v>
      </c>
      <c r="O23" s="66"/>
      <c r="P23" s="66">
        <v>8000000.0</v>
      </c>
      <c r="Q23" s="71" t="s">
        <v>52</v>
      </c>
      <c r="R23" s="66">
        <v>3000000.0</v>
      </c>
      <c r="S23" s="66">
        <v>8000000.0</v>
      </c>
      <c r="T23" s="66"/>
      <c r="U23" s="66"/>
      <c r="V23" s="72"/>
      <c r="W23" s="66"/>
      <c r="X23" s="77" t="s">
        <v>119</v>
      </c>
      <c r="Y23" s="66"/>
    </row>
    <row r="24">
      <c r="A24" s="60">
        <v>21.0</v>
      </c>
      <c r="B24" s="61" t="s">
        <v>120</v>
      </c>
      <c r="C24" s="69">
        <v>329000.0</v>
      </c>
      <c r="D24" s="63" t="str">
        <f t="shared" si="3"/>
        <v>Mid</v>
      </c>
      <c r="E24" s="61" t="s">
        <v>121</v>
      </c>
      <c r="F24" s="69">
        <v>166700.0</v>
      </c>
      <c r="G24" s="63" t="str">
        <f t="shared" si="4"/>
        <v>Mid</v>
      </c>
      <c r="H24" s="63" t="s">
        <v>50</v>
      </c>
      <c r="I24" s="63" t="s">
        <v>122</v>
      </c>
      <c r="J24" s="66">
        <v>500000.0</v>
      </c>
      <c r="K24" s="66">
        <v>1500000.0</v>
      </c>
      <c r="L24" s="66">
        <v>2500000.0</v>
      </c>
      <c r="M24" s="71" t="s">
        <v>52</v>
      </c>
      <c r="N24" s="66">
        <v>5000000.0</v>
      </c>
      <c r="O24" s="71" t="s">
        <v>52</v>
      </c>
      <c r="P24" s="66">
        <v>7500000.0</v>
      </c>
      <c r="Q24" s="66">
        <v>2500000.0</v>
      </c>
      <c r="R24" s="66">
        <v>1.0E7</v>
      </c>
      <c r="S24" s="66">
        <v>1.2E7</v>
      </c>
      <c r="T24" s="66" t="s">
        <v>123</v>
      </c>
      <c r="U24" s="66" t="s">
        <v>124</v>
      </c>
      <c r="V24" s="66">
        <v>2500000.0</v>
      </c>
      <c r="W24" s="71" t="s">
        <v>52</v>
      </c>
      <c r="X24" s="66">
        <v>6500000.0</v>
      </c>
      <c r="Y24" s="66"/>
    </row>
    <row r="25">
      <c r="A25" s="60">
        <v>22.0</v>
      </c>
      <c r="B25" s="79" t="s">
        <v>125</v>
      </c>
      <c r="C25" s="69">
        <v>317000.0</v>
      </c>
      <c r="D25" s="80" t="str">
        <f t="shared" si="3"/>
        <v>Mid</v>
      </c>
      <c r="E25" s="64" t="s">
        <v>125</v>
      </c>
      <c r="F25" s="68">
        <v>4000000.0</v>
      </c>
      <c r="G25" s="80" t="str">
        <f t="shared" si="4"/>
        <v>Mega</v>
      </c>
      <c r="H25" s="66" t="s">
        <v>46</v>
      </c>
      <c r="I25" s="78" t="s">
        <v>80</v>
      </c>
      <c r="J25" s="78">
        <v>1000000.0</v>
      </c>
      <c r="K25" s="66">
        <v>2000000.0</v>
      </c>
      <c r="L25" s="66">
        <v>6000000.0</v>
      </c>
      <c r="M25" s="66"/>
      <c r="N25" s="66">
        <v>5000000.0</v>
      </c>
      <c r="O25" s="66">
        <v>7000000.0</v>
      </c>
      <c r="P25" s="66">
        <v>8000000.0</v>
      </c>
      <c r="Q25" s="66"/>
      <c r="R25" s="66">
        <v>1.5E7</v>
      </c>
      <c r="S25" s="78">
        <v>2.1E7</v>
      </c>
      <c r="T25" s="78">
        <v>7000000.0</v>
      </c>
      <c r="U25" s="66"/>
      <c r="V25" s="66"/>
      <c r="W25" s="78">
        <v>3000000.0</v>
      </c>
      <c r="X25" s="78">
        <v>5000000.0</v>
      </c>
      <c r="Y25" s="78"/>
    </row>
    <row r="26">
      <c r="A26" s="60">
        <v>23.0</v>
      </c>
      <c r="B26" s="61" t="s">
        <v>126</v>
      </c>
      <c r="C26" s="69">
        <v>305000.0</v>
      </c>
      <c r="D26" s="63" t="str">
        <f t="shared" si="3"/>
        <v>Mid</v>
      </c>
      <c r="E26" s="64" t="s">
        <v>127</v>
      </c>
      <c r="F26" s="69" t="s">
        <v>128</v>
      </c>
      <c r="G26" s="63" t="str">
        <f t="shared" si="4"/>
        <v>Mega</v>
      </c>
      <c r="H26" s="78" t="s">
        <v>39</v>
      </c>
      <c r="I26" s="63" t="s">
        <v>129</v>
      </c>
      <c r="J26" s="66">
        <v>1000000.0</v>
      </c>
      <c r="K26" s="66">
        <v>3000000.0</v>
      </c>
      <c r="L26" s="66">
        <v>4000000.0</v>
      </c>
      <c r="M26" s="66" t="s">
        <v>52</v>
      </c>
      <c r="N26" s="66">
        <v>3500000.0</v>
      </c>
      <c r="O26" s="71" t="s">
        <v>52</v>
      </c>
      <c r="P26" s="66">
        <v>9000000.0</v>
      </c>
      <c r="Q26" s="71" t="s">
        <v>52</v>
      </c>
      <c r="R26" s="66">
        <v>7000000.0</v>
      </c>
      <c r="S26" s="66">
        <v>4500000.0</v>
      </c>
      <c r="T26" s="66">
        <v>4000000.0</v>
      </c>
      <c r="U26" s="66" t="s">
        <v>130</v>
      </c>
      <c r="V26" s="71" t="s">
        <v>52</v>
      </c>
      <c r="W26" s="71" t="s">
        <v>52</v>
      </c>
      <c r="X26" s="66">
        <v>1000000.0</v>
      </c>
      <c r="Y26" s="66"/>
    </row>
    <row r="27">
      <c r="A27" s="60">
        <v>24.0</v>
      </c>
      <c r="B27" s="61" t="s">
        <v>131</v>
      </c>
      <c r="C27" s="69">
        <v>291000.0</v>
      </c>
      <c r="D27" s="63" t="str">
        <f t="shared" si="3"/>
        <v>Mid</v>
      </c>
      <c r="E27" s="61" t="s">
        <v>131</v>
      </c>
      <c r="F27" s="65">
        <v>4600000.0</v>
      </c>
      <c r="G27" s="63" t="str">
        <f t="shared" si="4"/>
        <v>Mega</v>
      </c>
      <c r="H27" s="63" t="s">
        <v>46</v>
      </c>
      <c r="I27" s="63" t="s">
        <v>132</v>
      </c>
      <c r="J27" s="66">
        <v>500000.0</v>
      </c>
      <c r="K27" s="66">
        <v>1000000.0</v>
      </c>
      <c r="L27" s="66">
        <v>3000000.0</v>
      </c>
      <c r="M27" s="66">
        <v>300000.0</v>
      </c>
      <c r="N27" s="66">
        <v>2500000.0</v>
      </c>
      <c r="O27" s="66"/>
      <c r="P27" s="66">
        <v>8000000.0</v>
      </c>
      <c r="Q27" s="71" t="s">
        <v>52</v>
      </c>
      <c r="R27" s="66" t="s">
        <v>133</v>
      </c>
      <c r="S27" s="66">
        <v>8000000.0</v>
      </c>
      <c r="T27" s="66">
        <v>1.4E7</v>
      </c>
      <c r="U27" s="66">
        <v>1.0E7</v>
      </c>
      <c r="V27" s="66">
        <v>6000000.0</v>
      </c>
      <c r="W27" s="71" t="s">
        <v>52</v>
      </c>
      <c r="X27" s="66">
        <v>2.3E7</v>
      </c>
      <c r="Y27" s="66"/>
    </row>
    <row r="28">
      <c r="A28" s="60">
        <v>25.0</v>
      </c>
      <c r="B28" s="61" t="s">
        <v>134</v>
      </c>
      <c r="C28" s="69">
        <v>271000.0</v>
      </c>
      <c r="D28" s="66" t="str">
        <f t="shared" si="3"/>
        <v>Mid</v>
      </c>
      <c r="E28" s="64" t="s">
        <v>134</v>
      </c>
      <c r="F28" s="65">
        <v>1100000.0</v>
      </c>
      <c r="G28" s="66" t="str">
        <f t="shared" si="4"/>
        <v>Mega</v>
      </c>
      <c r="H28" s="66" t="s">
        <v>50</v>
      </c>
      <c r="I28" s="63" t="s">
        <v>135</v>
      </c>
      <c r="J28" s="66">
        <v>400000.0</v>
      </c>
      <c r="K28" s="66">
        <v>2000000.0</v>
      </c>
      <c r="L28" s="66">
        <v>5000000.0</v>
      </c>
      <c r="M28" s="71" t="s">
        <v>52</v>
      </c>
      <c r="N28" s="66">
        <v>3500000.0</v>
      </c>
      <c r="O28" s="66">
        <v>4000000.0</v>
      </c>
      <c r="P28" s="66">
        <v>7500000.0</v>
      </c>
      <c r="Q28" s="71" t="s">
        <v>52</v>
      </c>
      <c r="R28" s="66">
        <v>1.0E7</v>
      </c>
      <c r="S28" s="66">
        <v>1.5E7</v>
      </c>
      <c r="T28" s="66">
        <v>8000000.0</v>
      </c>
      <c r="U28" s="66">
        <v>1.5E7</v>
      </c>
      <c r="V28" s="72">
        <v>0.5</v>
      </c>
      <c r="W28" s="66">
        <v>1000000.0</v>
      </c>
      <c r="X28" s="66">
        <v>2000000.0</v>
      </c>
      <c r="Y28" s="66"/>
    </row>
    <row r="29">
      <c r="A29" s="60">
        <v>26.0</v>
      </c>
      <c r="B29" s="61" t="s">
        <v>136</v>
      </c>
      <c r="C29" s="69">
        <v>270000.0</v>
      </c>
      <c r="D29" s="63" t="str">
        <f t="shared" si="3"/>
        <v>Mid</v>
      </c>
      <c r="E29" s="61" t="s">
        <v>137</v>
      </c>
      <c r="F29" s="69">
        <v>25900.0</v>
      </c>
      <c r="G29" s="63" t="str">
        <f t="shared" si="4"/>
        <v>Micro</v>
      </c>
      <c r="H29" s="63" t="s">
        <v>138</v>
      </c>
      <c r="I29" s="63" t="s">
        <v>139</v>
      </c>
      <c r="J29" s="66">
        <v>200000.0</v>
      </c>
      <c r="K29" s="66">
        <v>1000000.0</v>
      </c>
      <c r="L29" s="66"/>
      <c r="M29" s="71" t="s">
        <v>52</v>
      </c>
      <c r="N29" s="66">
        <v>1500000.0</v>
      </c>
      <c r="O29" s="66">
        <v>2000000.0</v>
      </c>
      <c r="P29" s="66">
        <v>3000000.0</v>
      </c>
      <c r="Q29" s="71" t="s">
        <v>52</v>
      </c>
      <c r="R29" s="66">
        <v>500000.0</v>
      </c>
      <c r="S29" s="66"/>
      <c r="T29" s="66"/>
      <c r="U29" s="66"/>
      <c r="V29" s="66"/>
      <c r="W29" s="71" t="s">
        <v>52</v>
      </c>
      <c r="X29" s="66"/>
      <c r="Y29" s="66"/>
    </row>
    <row r="30">
      <c r="A30" s="60">
        <v>27.0</v>
      </c>
      <c r="B30" s="61" t="s">
        <v>140</v>
      </c>
      <c r="C30" s="69">
        <v>259000.0</v>
      </c>
      <c r="D30" s="63" t="str">
        <f t="shared" si="3"/>
        <v>Mid</v>
      </c>
      <c r="E30" s="61" t="s">
        <v>140</v>
      </c>
      <c r="F30" s="68">
        <v>5300000.0</v>
      </c>
      <c r="G30" s="63" t="str">
        <f t="shared" si="4"/>
        <v>Mega</v>
      </c>
      <c r="H30" s="63" t="s">
        <v>66</v>
      </c>
      <c r="I30" s="63" t="s">
        <v>141</v>
      </c>
      <c r="J30" s="66"/>
      <c r="K30" s="66">
        <v>2500000.0</v>
      </c>
      <c r="L30" s="66">
        <v>7500000.0</v>
      </c>
      <c r="M30" s="71" t="s">
        <v>52</v>
      </c>
      <c r="N30" s="66">
        <v>4000000.0</v>
      </c>
      <c r="O30" s="66"/>
      <c r="P30" s="66">
        <v>9000000.0</v>
      </c>
      <c r="Q30" s="66">
        <v>2000000.0</v>
      </c>
      <c r="R30" s="66">
        <v>1.4E7</v>
      </c>
      <c r="S30" s="66">
        <v>2.0E7</v>
      </c>
      <c r="T30" s="66"/>
      <c r="U30" s="66"/>
      <c r="V30" s="66"/>
      <c r="W30" s="71" t="s">
        <v>52</v>
      </c>
      <c r="X30" s="66">
        <v>4000000.0</v>
      </c>
      <c r="Y30" s="66"/>
    </row>
    <row r="31">
      <c r="A31" s="60">
        <v>28.0</v>
      </c>
      <c r="B31" s="61" t="s">
        <v>142</v>
      </c>
      <c r="C31" s="69">
        <v>258000.0</v>
      </c>
      <c r="D31" s="63" t="str">
        <f t="shared" si="3"/>
        <v>Mid</v>
      </c>
      <c r="E31" s="61" t="s">
        <v>143</v>
      </c>
      <c r="F31" s="69">
        <v>54400.0</v>
      </c>
      <c r="G31" s="63" t="str">
        <f t="shared" si="4"/>
        <v>Micro</v>
      </c>
      <c r="H31" s="63" t="s">
        <v>39</v>
      </c>
      <c r="I31" s="63" t="s">
        <v>144</v>
      </c>
      <c r="J31" s="76"/>
      <c r="K31" s="66">
        <v>3000000.0</v>
      </c>
      <c r="L31" s="66">
        <v>6000000.0</v>
      </c>
      <c r="M31" s="71" t="s">
        <v>52</v>
      </c>
      <c r="N31" s="66">
        <v>4000000.0</v>
      </c>
      <c r="O31" s="66">
        <v>7000000.0</v>
      </c>
      <c r="P31" s="66">
        <v>1.0E7</v>
      </c>
      <c r="Q31" s="67">
        <v>0.3</v>
      </c>
      <c r="R31" s="66">
        <v>3000000.0</v>
      </c>
      <c r="S31" s="66">
        <v>1.2E7</v>
      </c>
      <c r="T31" s="76"/>
      <c r="U31" s="67">
        <v>0.5</v>
      </c>
      <c r="V31" s="67">
        <v>0.2</v>
      </c>
      <c r="W31" s="71" t="s">
        <v>52</v>
      </c>
      <c r="X31" s="66">
        <v>7000000.0</v>
      </c>
      <c r="Y31" s="66"/>
    </row>
    <row r="32">
      <c r="A32" s="60">
        <v>29.0</v>
      </c>
      <c r="B32" s="61" t="s">
        <v>145</v>
      </c>
      <c r="C32" s="69">
        <v>214000.0</v>
      </c>
      <c r="D32" s="63" t="str">
        <f t="shared" si="3"/>
        <v>Mid</v>
      </c>
      <c r="E32" s="61" t="s">
        <v>145</v>
      </c>
      <c r="F32" s="69">
        <v>92800.0</v>
      </c>
      <c r="G32" s="63" t="str">
        <f t="shared" si="4"/>
        <v>Micro</v>
      </c>
      <c r="H32" s="63" t="s">
        <v>146</v>
      </c>
      <c r="I32" s="63" t="s">
        <v>147</v>
      </c>
      <c r="J32" s="66">
        <v>2000000.0</v>
      </c>
      <c r="K32" s="66">
        <v>2500000.0</v>
      </c>
      <c r="L32" s="66">
        <v>3000000.0</v>
      </c>
      <c r="M32" s="71" t="s">
        <v>52</v>
      </c>
      <c r="N32" s="66">
        <v>3500000.0</v>
      </c>
      <c r="O32" s="66">
        <v>4500000.0</v>
      </c>
      <c r="P32" s="66">
        <v>5000000.0</v>
      </c>
      <c r="Q32" s="71" t="s">
        <v>52</v>
      </c>
      <c r="R32" s="66">
        <v>3500000.0</v>
      </c>
      <c r="S32" s="66">
        <v>5000000.0</v>
      </c>
      <c r="T32" s="66">
        <v>5000000.0</v>
      </c>
      <c r="U32" s="72">
        <v>0.25</v>
      </c>
      <c r="V32" s="66">
        <v>1000000.0</v>
      </c>
      <c r="W32" s="66">
        <v>1000000.0</v>
      </c>
      <c r="X32" s="66">
        <v>6000000.0</v>
      </c>
      <c r="Y32" s="66"/>
    </row>
    <row r="33">
      <c r="A33" s="60">
        <v>30.0</v>
      </c>
      <c r="B33" s="61" t="s">
        <v>148</v>
      </c>
      <c r="C33" s="69">
        <v>213000.0</v>
      </c>
      <c r="D33" s="63" t="str">
        <f t="shared" si="3"/>
        <v>Mid</v>
      </c>
      <c r="E33" s="61" t="s">
        <v>148</v>
      </c>
      <c r="F33" s="68">
        <v>1700000.0</v>
      </c>
      <c r="G33" s="63" t="str">
        <f t="shared" si="4"/>
        <v>Mega</v>
      </c>
      <c r="H33" s="63" t="s">
        <v>149</v>
      </c>
      <c r="I33" s="63" t="s">
        <v>150</v>
      </c>
      <c r="J33" s="76"/>
      <c r="K33" s="66">
        <v>1000000.0</v>
      </c>
      <c r="L33" s="66">
        <v>1500000.0</v>
      </c>
      <c r="M33" s="71" t="s">
        <v>52</v>
      </c>
      <c r="N33" s="66">
        <v>2500000.0</v>
      </c>
      <c r="O33" s="66">
        <v>3000000.0</v>
      </c>
      <c r="P33" s="66">
        <v>4000000.0</v>
      </c>
      <c r="Q33" s="71" t="s">
        <v>52</v>
      </c>
      <c r="R33" s="66">
        <v>4500000.0</v>
      </c>
      <c r="S33" s="66">
        <v>5500000.0</v>
      </c>
      <c r="T33" s="76"/>
      <c r="U33" s="66">
        <v>2000000.0</v>
      </c>
      <c r="V33" s="66">
        <v>500000.0</v>
      </c>
      <c r="W33" s="66">
        <v>500000.0</v>
      </c>
      <c r="X33" s="77" t="s">
        <v>151</v>
      </c>
      <c r="Y33" s="66"/>
    </row>
    <row r="34">
      <c r="A34" s="60">
        <v>31.0</v>
      </c>
      <c r="B34" s="61" t="s">
        <v>152</v>
      </c>
      <c r="C34" s="69">
        <v>210000.0</v>
      </c>
      <c r="D34" s="63" t="str">
        <f t="shared" si="3"/>
        <v>Mid</v>
      </c>
      <c r="E34" s="61" t="s">
        <v>152</v>
      </c>
      <c r="F34" s="69">
        <v>132400.0</v>
      </c>
      <c r="G34" s="63" t="str">
        <f t="shared" si="4"/>
        <v>Mid</v>
      </c>
      <c r="H34" s="63" t="s">
        <v>153</v>
      </c>
      <c r="I34" s="63" t="s">
        <v>154</v>
      </c>
      <c r="J34" s="66">
        <v>500000.0</v>
      </c>
      <c r="K34" s="66">
        <v>1500000.0</v>
      </c>
      <c r="L34" s="66">
        <v>3500000.0</v>
      </c>
      <c r="M34" s="71" t="s">
        <v>52</v>
      </c>
      <c r="N34" s="66">
        <v>3500000.0</v>
      </c>
      <c r="O34" s="66">
        <v>4500000.0</v>
      </c>
      <c r="P34" s="66">
        <v>6000000.0</v>
      </c>
      <c r="Q34" s="71" t="s">
        <v>52</v>
      </c>
      <c r="R34" s="66">
        <v>2500000.0</v>
      </c>
      <c r="S34" s="66">
        <v>6000000.0</v>
      </c>
      <c r="T34" s="66">
        <v>4000000.0</v>
      </c>
      <c r="U34" s="72">
        <v>0.5</v>
      </c>
      <c r="V34" s="66">
        <v>1000000.0</v>
      </c>
      <c r="W34" s="71" t="s">
        <v>52</v>
      </c>
      <c r="X34" s="66">
        <v>8000000.0</v>
      </c>
      <c r="Y34" s="66"/>
    </row>
    <row r="35">
      <c r="A35" s="60">
        <v>32.0</v>
      </c>
      <c r="B35" s="61" t="s">
        <v>155</v>
      </c>
      <c r="C35" s="69">
        <v>197000.0</v>
      </c>
      <c r="D35" s="63" t="str">
        <f t="shared" si="3"/>
        <v>Mid</v>
      </c>
      <c r="E35" s="61" t="s">
        <v>156</v>
      </c>
      <c r="F35" s="68">
        <v>1800000.0</v>
      </c>
      <c r="G35" s="63" t="str">
        <f t="shared" si="4"/>
        <v>Mega</v>
      </c>
      <c r="H35" s="63" t="s">
        <v>50</v>
      </c>
      <c r="I35" s="63" t="s">
        <v>157</v>
      </c>
      <c r="J35" s="66">
        <v>250000.0</v>
      </c>
      <c r="K35" s="66">
        <v>1500000.0</v>
      </c>
      <c r="L35" s="66">
        <v>3000000.0</v>
      </c>
      <c r="M35" s="71" t="s">
        <v>52</v>
      </c>
      <c r="N35" s="66">
        <v>5000000.0</v>
      </c>
      <c r="O35" s="66"/>
      <c r="P35" s="66">
        <v>1.1E7</v>
      </c>
      <c r="Q35" s="71" t="s">
        <v>52</v>
      </c>
      <c r="R35" s="66">
        <v>1.5E7</v>
      </c>
      <c r="S35" s="66" t="s">
        <v>158</v>
      </c>
      <c r="T35" s="66" t="s">
        <v>159</v>
      </c>
      <c r="U35" s="66"/>
      <c r="V35" s="66"/>
      <c r="W35" s="71" t="s">
        <v>52</v>
      </c>
      <c r="X35" s="66" t="s">
        <v>160</v>
      </c>
      <c r="Y35" s="66"/>
    </row>
    <row r="36">
      <c r="A36" s="60">
        <v>33.0</v>
      </c>
      <c r="B36" s="61" t="s">
        <v>161</v>
      </c>
      <c r="C36" s="69">
        <v>188000.0</v>
      </c>
      <c r="D36" s="63" t="str">
        <f t="shared" si="3"/>
        <v>Mid</v>
      </c>
      <c r="E36" s="61" t="s">
        <v>162</v>
      </c>
      <c r="F36" s="69">
        <v>550200.0</v>
      </c>
      <c r="G36" s="63" t="str">
        <f t="shared" si="4"/>
        <v>Macro</v>
      </c>
      <c r="H36" s="63" t="s">
        <v>46</v>
      </c>
      <c r="I36" s="63" t="s">
        <v>80</v>
      </c>
      <c r="J36" s="66">
        <v>250000.0</v>
      </c>
      <c r="K36" s="66">
        <v>650000.0</v>
      </c>
      <c r="L36" s="66">
        <v>1200000.0</v>
      </c>
      <c r="M36" s="71" t="s">
        <v>52</v>
      </c>
      <c r="N36" s="66">
        <v>1500000.0</v>
      </c>
      <c r="O36" s="66">
        <v>1800000.0</v>
      </c>
      <c r="P36" s="66">
        <v>2200000.0</v>
      </c>
      <c r="Q36" s="71" t="s">
        <v>52</v>
      </c>
      <c r="R36" s="66">
        <v>2200000.0</v>
      </c>
      <c r="S36" s="66">
        <v>3000000.0</v>
      </c>
      <c r="T36" s="17"/>
      <c r="U36" s="66">
        <v>500000.0</v>
      </c>
      <c r="V36" s="66">
        <v>500000.0</v>
      </c>
      <c r="W36" s="71" t="s">
        <v>52</v>
      </c>
      <c r="X36" s="66">
        <v>1000000.0</v>
      </c>
      <c r="Y36" s="66"/>
    </row>
    <row r="37">
      <c r="A37" s="60">
        <v>34.0</v>
      </c>
      <c r="B37" s="61" t="s">
        <v>163</v>
      </c>
      <c r="C37" s="69">
        <v>183000.0</v>
      </c>
      <c r="D37" s="63" t="str">
        <f t="shared" si="3"/>
        <v>Mid</v>
      </c>
      <c r="E37" s="61" t="s">
        <v>164</v>
      </c>
      <c r="F37" s="69">
        <v>153100.0</v>
      </c>
      <c r="G37" s="63" t="str">
        <f t="shared" si="4"/>
        <v>Mid</v>
      </c>
      <c r="H37" s="63" t="s">
        <v>39</v>
      </c>
      <c r="I37" s="60" t="s">
        <v>165</v>
      </c>
      <c r="J37" s="81" t="s">
        <v>166</v>
      </c>
      <c r="K37" s="3"/>
      <c r="L37" s="3"/>
      <c r="M37" s="3"/>
      <c r="N37" s="3"/>
      <c r="O37" s="3"/>
      <c r="P37" s="3"/>
      <c r="Q37" s="3"/>
      <c r="R37" s="3"/>
      <c r="S37" s="3"/>
      <c r="T37" s="4"/>
      <c r="U37" s="66">
        <v>250000.0</v>
      </c>
      <c r="V37" s="66"/>
      <c r="W37" s="66"/>
      <c r="X37" s="66"/>
      <c r="Y37" s="66"/>
    </row>
    <row r="38">
      <c r="A38" s="60">
        <v>35.0</v>
      </c>
      <c r="B38" s="61" t="s">
        <v>167</v>
      </c>
      <c r="C38" s="69">
        <v>175000.0</v>
      </c>
      <c r="D38" s="63" t="str">
        <f t="shared" si="3"/>
        <v>Mid</v>
      </c>
      <c r="E38" s="61" t="s">
        <v>167</v>
      </c>
      <c r="F38" s="69">
        <v>135600.0</v>
      </c>
      <c r="G38" s="63" t="str">
        <f t="shared" si="4"/>
        <v>Mid</v>
      </c>
      <c r="H38" s="63" t="s">
        <v>168</v>
      </c>
      <c r="I38" s="63" t="s">
        <v>139</v>
      </c>
      <c r="J38" s="66">
        <v>300000.0</v>
      </c>
      <c r="K38" s="66">
        <v>600000.0</v>
      </c>
      <c r="L38" s="66">
        <v>800000.0</v>
      </c>
      <c r="M38" s="71" t="s">
        <v>52</v>
      </c>
      <c r="N38" s="66">
        <v>1000000.0</v>
      </c>
      <c r="O38" s="71" t="s">
        <v>52</v>
      </c>
      <c r="P38" s="66" t="s">
        <v>169</v>
      </c>
      <c r="Q38" s="66">
        <v>100000.0</v>
      </c>
      <c r="R38" s="66">
        <v>1000000.0</v>
      </c>
      <c r="S38" s="66">
        <v>1800000.0</v>
      </c>
      <c r="T38" s="66" t="s">
        <v>62</v>
      </c>
      <c r="U38" s="66">
        <v>100000.0</v>
      </c>
      <c r="V38" s="66">
        <v>100000.0</v>
      </c>
      <c r="W38" s="66" t="s">
        <v>62</v>
      </c>
      <c r="X38" s="66">
        <v>1000000.0</v>
      </c>
      <c r="Y38" s="66"/>
    </row>
    <row r="39">
      <c r="A39" s="60">
        <v>36.0</v>
      </c>
      <c r="B39" s="61" t="s">
        <v>170</v>
      </c>
      <c r="C39" s="69">
        <v>175000.0</v>
      </c>
      <c r="D39" s="63" t="str">
        <f t="shared" si="3"/>
        <v>Mid</v>
      </c>
      <c r="E39" s="61" t="s">
        <v>170</v>
      </c>
      <c r="F39" s="69">
        <v>584200.0</v>
      </c>
      <c r="G39" s="63" t="str">
        <f t="shared" si="4"/>
        <v>Macro</v>
      </c>
      <c r="H39" s="63" t="s">
        <v>46</v>
      </c>
      <c r="I39" s="63" t="s">
        <v>171</v>
      </c>
      <c r="J39" s="66">
        <v>450000.0</v>
      </c>
      <c r="K39" s="66">
        <v>500000.0</v>
      </c>
      <c r="L39" s="66">
        <v>750000.0</v>
      </c>
      <c r="M39" s="71" t="s">
        <v>52</v>
      </c>
      <c r="N39" s="66">
        <v>2000000.0</v>
      </c>
      <c r="O39" s="66">
        <v>2500000.0</v>
      </c>
      <c r="P39" s="66">
        <v>3000000.0</v>
      </c>
      <c r="Q39" s="71" t="s">
        <v>52</v>
      </c>
      <c r="R39" s="66">
        <v>6000000.0</v>
      </c>
      <c r="S39" s="66">
        <v>7000000.0</v>
      </c>
      <c r="T39" s="66">
        <v>3000000.0</v>
      </c>
      <c r="U39" s="71" t="s">
        <v>52</v>
      </c>
      <c r="V39" s="71" t="s">
        <v>52</v>
      </c>
      <c r="W39" s="71" t="s">
        <v>52</v>
      </c>
      <c r="X39" s="66">
        <v>1000000.0</v>
      </c>
      <c r="Y39" s="66"/>
    </row>
    <row r="40">
      <c r="A40" s="60">
        <v>37.0</v>
      </c>
      <c r="B40" s="61" t="s">
        <v>172</v>
      </c>
      <c r="C40" s="69">
        <v>176000.0</v>
      </c>
      <c r="D40" s="63" t="str">
        <f t="shared" si="3"/>
        <v>Mid</v>
      </c>
      <c r="E40" s="61" t="s">
        <v>173</v>
      </c>
      <c r="F40" s="68">
        <v>3800000.0</v>
      </c>
      <c r="G40" s="63" t="str">
        <f t="shared" si="4"/>
        <v>Mega</v>
      </c>
      <c r="H40" s="63" t="s">
        <v>39</v>
      </c>
      <c r="I40" s="63" t="s">
        <v>174</v>
      </c>
      <c r="J40" s="76"/>
      <c r="K40" s="66">
        <v>1000000.0</v>
      </c>
      <c r="L40" s="76"/>
      <c r="M40" s="71" t="s">
        <v>52</v>
      </c>
      <c r="N40" s="76"/>
      <c r="O40" s="76"/>
      <c r="P40" s="66">
        <v>5000000.0</v>
      </c>
      <c r="Q40" s="76"/>
      <c r="R40" s="66">
        <v>1.5E7</v>
      </c>
      <c r="S40" s="66">
        <v>500000.0</v>
      </c>
      <c r="T40" s="76"/>
      <c r="U40" s="76"/>
      <c r="V40" s="71" t="s">
        <v>52</v>
      </c>
      <c r="W40" s="66">
        <v>500000.0</v>
      </c>
      <c r="X40" s="66">
        <v>1.5E7</v>
      </c>
      <c r="Y40" s="66"/>
    </row>
    <row r="41">
      <c r="A41" s="60">
        <v>38.0</v>
      </c>
      <c r="B41" s="61" t="s">
        <v>175</v>
      </c>
      <c r="C41" s="69">
        <v>154000.0</v>
      </c>
      <c r="D41" s="63" t="str">
        <f t="shared" si="3"/>
        <v>Mid</v>
      </c>
      <c r="E41" s="61" t="s">
        <v>176</v>
      </c>
      <c r="F41" s="69">
        <v>35100.0</v>
      </c>
      <c r="G41" s="63" t="str">
        <f t="shared" si="4"/>
        <v>Micro</v>
      </c>
      <c r="H41" s="63" t="s">
        <v>83</v>
      </c>
      <c r="I41" s="63" t="s">
        <v>177</v>
      </c>
      <c r="J41" s="66">
        <v>300000.0</v>
      </c>
      <c r="K41" s="66">
        <v>800000.0</v>
      </c>
      <c r="L41" s="66">
        <v>1000000.0</v>
      </c>
      <c r="M41" s="71" t="s">
        <v>52</v>
      </c>
      <c r="N41" s="66">
        <v>1000000.0</v>
      </c>
      <c r="O41" s="66">
        <v>1100000.0</v>
      </c>
      <c r="P41" s="66">
        <v>1500000.0</v>
      </c>
      <c r="Q41" s="71" t="s">
        <v>52</v>
      </c>
      <c r="R41" s="66">
        <v>600000.0</v>
      </c>
      <c r="S41" s="66">
        <v>1700000.0</v>
      </c>
      <c r="T41" s="66"/>
      <c r="U41" s="66">
        <v>1000000.0</v>
      </c>
      <c r="V41" s="66">
        <v>350000.0</v>
      </c>
      <c r="W41" s="71" t="s">
        <v>52</v>
      </c>
      <c r="X41" s="66">
        <v>4500000.0</v>
      </c>
      <c r="Y41" s="66"/>
    </row>
    <row r="42">
      <c r="A42" s="60">
        <v>39.0</v>
      </c>
      <c r="B42" s="61" t="s">
        <v>178</v>
      </c>
      <c r="C42" s="69">
        <v>186000.0</v>
      </c>
      <c r="D42" s="63" t="str">
        <f t="shared" si="3"/>
        <v>Mid</v>
      </c>
      <c r="E42" s="61" t="s">
        <v>179</v>
      </c>
      <c r="F42" s="68">
        <v>5000000.0</v>
      </c>
      <c r="G42" s="63" t="str">
        <f t="shared" si="4"/>
        <v>Mega</v>
      </c>
      <c r="H42" s="63" t="s">
        <v>39</v>
      </c>
      <c r="I42" s="63" t="s">
        <v>180</v>
      </c>
      <c r="J42" s="66">
        <v>300000.0</v>
      </c>
      <c r="K42" s="66">
        <v>500000.0</v>
      </c>
      <c r="L42" s="78">
        <v>500000.0</v>
      </c>
      <c r="M42" s="71" t="s">
        <v>52</v>
      </c>
      <c r="N42" s="66">
        <v>5000000.0</v>
      </c>
      <c r="O42" s="66">
        <v>2500000.0</v>
      </c>
      <c r="P42" s="66">
        <v>4500000.0</v>
      </c>
      <c r="Q42" s="71" t="s">
        <v>52</v>
      </c>
      <c r="R42" s="66">
        <v>8500000.0</v>
      </c>
      <c r="S42" s="66">
        <v>4000000.0</v>
      </c>
      <c r="T42" s="66">
        <v>7000000.0</v>
      </c>
      <c r="U42" s="66">
        <v>5000000.0</v>
      </c>
      <c r="V42" s="66">
        <v>3000000.0</v>
      </c>
      <c r="W42" s="66">
        <v>1000000.0</v>
      </c>
      <c r="X42" s="66">
        <v>2000000.0</v>
      </c>
      <c r="Y42" s="66"/>
    </row>
    <row r="43">
      <c r="A43" s="60">
        <v>40.0</v>
      </c>
      <c r="B43" s="61" t="s">
        <v>181</v>
      </c>
      <c r="C43" s="69">
        <v>146000.0</v>
      </c>
      <c r="D43" s="63" t="str">
        <f t="shared" si="3"/>
        <v>Mid</v>
      </c>
      <c r="E43" s="61" t="s">
        <v>181</v>
      </c>
      <c r="F43" s="69">
        <v>9762.0</v>
      </c>
      <c r="G43" s="63" t="str">
        <f t="shared" si="4"/>
        <v>Nano</v>
      </c>
      <c r="H43" s="63" t="s">
        <v>46</v>
      </c>
      <c r="I43" s="63" t="s">
        <v>177</v>
      </c>
      <c r="J43" s="66">
        <v>200000.0</v>
      </c>
      <c r="K43" s="66">
        <v>300000.0</v>
      </c>
      <c r="L43" s="66">
        <v>500000.0</v>
      </c>
      <c r="M43" s="71" t="s">
        <v>52</v>
      </c>
      <c r="N43" s="66">
        <v>750000.0</v>
      </c>
      <c r="O43" s="66">
        <v>750000.0</v>
      </c>
      <c r="P43" s="66">
        <v>950000.0</v>
      </c>
      <c r="Q43" s="71" t="s">
        <v>52</v>
      </c>
      <c r="R43" s="66">
        <v>400000.0</v>
      </c>
      <c r="S43" s="66">
        <v>700000.0</v>
      </c>
      <c r="T43" s="66"/>
      <c r="U43" s="66">
        <v>250000.0</v>
      </c>
      <c r="V43" s="71" t="s">
        <v>52</v>
      </c>
      <c r="W43" s="71" t="s">
        <v>52</v>
      </c>
      <c r="X43" s="66">
        <v>1200000.0</v>
      </c>
      <c r="Y43" s="66"/>
    </row>
    <row r="44">
      <c r="A44" s="60">
        <v>41.0</v>
      </c>
      <c r="B44" s="61" t="s">
        <v>182</v>
      </c>
      <c r="C44" s="69">
        <v>140000.0</v>
      </c>
      <c r="D44" s="63" t="str">
        <f t="shared" si="3"/>
        <v>Mid</v>
      </c>
      <c r="E44" s="64" t="s">
        <v>182</v>
      </c>
      <c r="F44" s="69">
        <v>13000.0</v>
      </c>
      <c r="G44" s="63" t="str">
        <f t="shared" si="4"/>
        <v>Micro</v>
      </c>
      <c r="H44" s="63" t="s">
        <v>46</v>
      </c>
      <c r="I44" s="63" t="s">
        <v>183</v>
      </c>
      <c r="J44" s="66"/>
      <c r="K44" s="66">
        <v>780000.0</v>
      </c>
      <c r="L44" s="66">
        <v>1480000.0</v>
      </c>
      <c r="M44" s="71" t="s">
        <v>52</v>
      </c>
      <c r="N44" s="66">
        <v>2980000.0</v>
      </c>
      <c r="O44" s="66"/>
      <c r="P44" s="66">
        <v>4580000.0</v>
      </c>
      <c r="Q44" s="71" t="s">
        <v>52</v>
      </c>
      <c r="R44" s="66"/>
      <c r="S44" s="66"/>
      <c r="T44" s="66">
        <v>1980000.0</v>
      </c>
      <c r="U44" s="71" t="s">
        <v>52</v>
      </c>
      <c r="V44" s="66"/>
      <c r="W44" s="71" t="s">
        <v>52</v>
      </c>
      <c r="X44" s="66">
        <v>2980000.0</v>
      </c>
      <c r="Y44" s="66"/>
    </row>
    <row r="45">
      <c r="A45" s="60">
        <v>42.0</v>
      </c>
      <c r="B45" s="61" t="s">
        <v>184</v>
      </c>
      <c r="C45" s="69">
        <v>138000.0</v>
      </c>
      <c r="D45" s="63" t="str">
        <f t="shared" si="3"/>
        <v>Mid</v>
      </c>
      <c r="E45" s="64" t="s">
        <v>185</v>
      </c>
      <c r="F45" s="69">
        <v>72900.0</v>
      </c>
      <c r="G45" s="63" t="str">
        <f t="shared" si="4"/>
        <v>Micro</v>
      </c>
      <c r="H45" s="63" t="s">
        <v>50</v>
      </c>
      <c r="I45" s="63" t="s">
        <v>186</v>
      </c>
      <c r="J45" s="66">
        <v>1000000.0</v>
      </c>
      <c r="K45" s="66">
        <v>1500000.0</v>
      </c>
      <c r="L45" s="66">
        <v>2700000.0</v>
      </c>
      <c r="M45" s="71" t="s">
        <v>52</v>
      </c>
      <c r="N45" s="66">
        <v>3000000.0</v>
      </c>
      <c r="O45" s="66">
        <v>3500000.0</v>
      </c>
      <c r="P45" s="66">
        <v>7000000.0</v>
      </c>
      <c r="Q45" s="71" t="s">
        <v>52</v>
      </c>
      <c r="R45" s="66">
        <v>3500000.0</v>
      </c>
      <c r="S45" s="66">
        <v>8000000.0</v>
      </c>
      <c r="T45" s="66">
        <v>2500000.0</v>
      </c>
      <c r="U45" s="66">
        <v>2000000.0</v>
      </c>
      <c r="V45" s="66">
        <v>3000000.0</v>
      </c>
      <c r="W45" s="66"/>
      <c r="X45" s="66">
        <v>4500000.0</v>
      </c>
      <c r="Y45" s="66"/>
    </row>
    <row r="46">
      <c r="A46" s="60">
        <v>43.0</v>
      </c>
      <c r="B46" s="61" t="s">
        <v>187</v>
      </c>
      <c r="C46" s="69">
        <v>135000.0</v>
      </c>
      <c r="D46" s="63" t="str">
        <f t="shared" si="3"/>
        <v>Mid</v>
      </c>
      <c r="E46" s="82" t="s">
        <v>188</v>
      </c>
      <c r="F46" s="65">
        <v>1500000.0</v>
      </c>
      <c r="G46" s="63" t="str">
        <f t="shared" si="4"/>
        <v>Mega</v>
      </c>
      <c r="H46" s="63" t="s">
        <v>58</v>
      </c>
      <c r="I46" s="63" t="s">
        <v>104</v>
      </c>
      <c r="J46" s="66"/>
      <c r="K46" s="66">
        <v>2000000.0</v>
      </c>
      <c r="L46" s="66">
        <v>2000000.0</v>
      </c>
      <c r="M46" s="66">
        <v>500000.0</v>
      </c>
      <c r="N46" s="66">
        <v>3000000.0</v>
      </c>
      <c r="O46" s="66">
        <v>3000000.0</v>
      </c>
      <c r="P46" s="66">
        <v>5000000.0</v>
      </c>
      <c r="Q46" s="71" t="s">
        <v>52</v>
      </c>
      <c r="R46" s="66">
        <v>8000000.0</v>
      </c>
      <c r="S46" s="66">
        <v>9000000.0</v>
      </c>
      <c r="T46" s="66"/>
      <c r="U46" s="71" t="s">
        <v>52</v>
      </c>
      <c r="V46" s="71" t="s">
        <v>52</v>
      </c>
      <c r="W46" s="71" t="s">
        <v>52</v>
      </c>
      <c r="X46" s="66"/>
      <c r="Y46" s="66"/>
    </row>
    <row r="47">
      <c r="A47" s="60">
        <v>44.0</v>
      </c>
      <c r="B47" s="61" t="s">
        <v>189</v>
      </c>
      <c r="C47" s="69">
        <v>142000.0</v>
      </c>
      <c r="D47" s="63" t="str">
        <f t="shared" si="3"/>
        <v>Mid</v>
      </c>
      <c r="E47" s="61" t="s">
        <v>190</v>
      </c>
      <c r="F47" s="69">
        <v>704300.0</v>
      </c>
      <c r="G47" s="63" t="str">
        <f t="shared" si="4"/>
        <v>Macro</v>
      </c>
      <c r="H47" s="63" t="s">
        <v>46</v>
      </c>
      <c r="I47" s="63" t="s">
        <v>191</v>
      </c>
      <c r="J47" s="66"/>
      <c r="K47" s="66">
        <v>2000000.0</v>
      </c>
      <c r="L47" s="66">
        <v>3000000.0</v>
      </c>
      <c r="M47" s="71" t="s">
        <v>52</v>
      </c>
      <c r="N47" s="66">
        <v>2000000.0</v>
      </c>
      <c r="O47" s="66"/>
      <c r="P47" s="66">
        <v>5000000.0</v>
      </c>
      <c r="Q47" s="66">
        <v>1000000.0</v>
      </c>
      <c r="R47" s="66">
        <v>5000000.0</v>
      </c>
      <c r="S47" s="66">
        <v>6000000.0</v>
      </c>
      <c r="T47" s="66"/>
      <c r="U47" s="66"/>
      <c r="V47" s="66">
        <v>1000000.0</v>
      </c>
      <c r="W47" s="71" t="s">
        <v>52</v>
      </c>
      <c r="X47" s="66">
        <v>1000000.0</v>
      </c>
      <c r="Y47" s="66"/>
    </row>
    <row r="48">
      <c r="A48" s="60">
        <v>45.0</v>
      </c>
      <c r="B48" s="61" t="s">
        <v>192</v>
      </c>
      <c r="C48" s="69">
        <v>119000.0</v>
      </c>
      <c r="D48" s="63" t="str">
        <f t="shared" si="3"/>
        <v>Mid</v>
      </c>
      <c r="E48" s="61" t="s">
        <v>193</v>
      </c>
      <c r="F48" s="69">
        <v>14700.0</v>
      </c>
      <c r="G48" s="63" t="str">
        <f t="shared" si="4"/>
        <v>Micro</v>
      </c>
      <c r="H48" s="63" t="s">
        <v>50</v>
      </c>
      <c r="I48" s="63" t="s">
        <v>194</v>
      </c>
      <c r="J48" s="66">
        <v>100000.0</v>
      </c>
      <c r="K48" s="66">
        <v>200000.0</v>
      </c>
      <c r="L48" s="66">
        <v>250000.0</v>
      </c>
      <c r="M48" s="66">
        <v>100000.0</v>
      </c>
      <c r="N48" s="66">
        <v>300000.0</v>
      </c>
      <c r="O48" s="66">
        <v>500000.0</v>
      </c>
      <c r="P48" s="66">
        <v>700000.0</v>
      </c>
      <c r="Q48" s="71" t="s">
        <v>52</v>
      </c>
      <c r="R48" s="66">
        <v>400000.0</v>
      </c>
      <c r="S48" s="66">
        <v>700000.0</v>
      </c>
      <c r="T48" s="66">
        <v>500000.0</v>
      </c>
      <c r="U48" s="66">
        <v>200000.0</v>
      </c>
      <c r="V48" s="71" t="s">
        <v>52</v>
      </c>
      <c r="W48" s="71" t="s">
        <v>52</v>
      </c>
      <c r="X48" s="66"/>
      <c r="Y48" s="66"/>
    </row>
    <row r="49">
      <c r="A49" s="60">
        <v>46.0</v>
      </c>
      <c r="B49" s="61" t="s">
        <v>195</v>
      </c>
      <c r="C49" s="69">
        <v>119000.0</v>
      </c>
      <c r="D49" s="63" t="str">
        <f t="shared" si="3"/>
        <v>Mid</v>
      </c>
      <c r="E49" s="61" t="s">
        <v>196</v>
      </c>
      <c r="F49" s="69">
        <v>744700.0</v>
      </c>
      <c r="G49" s="63" t="str">
        <f t="shared" si="4"/>
        <v>Macro</v>
      </c>
      <c r="H49" s="63" t="s">
        <v>197</v>
      </c>
      <c r="I49" s="63" t="s">
        <v>198</v>
      </c>
      <c r="J49" s="66"/>
      <c r="K49" s="78" t="s">
        <v>199</v>
      </c>
      <c r="L49" s="66" t="s">
        <v>200</v>
      </c>
      <c r="M49" s="71" t="s">
        <v>52</v>
      </c>
      <c r="N49" s="76"/>
      <c r="O49" s="76"/>
      <c r="P49" s="66">
        <v>5500000.0</v>
      </c>
      <c r="Q49" s="71" t="s">
        <v>52</v>
      </c>
      <c r="R49" s="66">
        <v>6000000.0</v>
      </c>
      <c r="S49" s="66">
        <v>9000000.0</v>
      </c>
      <c r="T49" s="76"/>
      <c r="U49" s="72">
        <v>0.5</v>
      </c>
      <c r="V49" s="71" t="s">
        <v>201</v>
      </c>
      <c r="W49" s="66">
        <v>1000000.0</v>
      </c>
      <c r="X49" s="66">
        <v>1500000.0</v>
      </c>
      <c r="Y49" s="66"/>
    </row>
    <row r="50">
      <c r="A50" s="60">
        <v>47.0</v>
      </c>
      <c r="B50" s="61" t="s">
        <v>202</v>
      </c>
      <c r="C50" s="69">
        <v>112000.0</v>
      </c>
      <c r="D50" s="63" t="str">
        <f t="shared" si="3"/>
        <v>Mid</v>
      </c>
      <c r="E50" s="61" t="s">
        <v>203</v>
      </c>
      <c r="F50" s="69">
        <v>7480.0</v>
      </c>
      <c r="G50" s="63" t="str">
        <f t="shared" si="4"/>
        <v>Nano</v>
      </c>
      <c r="H50" s="63" t="s">
        <v>83</v>
      </c>
      <c r="I50" s="63" t="s">
        <v>194</v>
      </c>
      <c r="J50" s="66">
        <v>200000.0</v>
      </c>
      <c r="K50" s="66">
        <v>300000.0</v>
      </c>
      <c r="L50" s="66">
        <v>300000.0</v>
      </c>
      <c r="M50" s="71" t="s">
        <v>52</v>
      </c>
      <c r="N50" s="66">
        <v>400000.0</v>
      </c>
      <c r="O50" s="66">
        <v>450000.0</v>
      </c>
      <c r="P50" s="66">
        <v>700000.0</v>
      </c>
      <c r="Q50" s="71" t="s">
        <v>52</v>
      </c>
      <c r="R50" s="66">
        <v>500000.0</v>
      </c>
      <c r="S50" s="66">
        <v>900000.0</v>
      </c>
      <c r="T50" s="66"/>
      <c r="U50" s="71" t="s">
        <v>52</v>
      </c>
      <c r="V50" s="71" t="s">
        <v>52</v>
      </c>
      <c r="W50" s="71" t="s">
        <v>52</v>
      </c>
      <c r="X50" s="66">
        <v>2000000.0</v>
      </c>
      <c r="Y50" s="66"/>
    </row>
    <row r="51">
      <c r="A51" s="60">
        <v>48.0</v>
      </c>
      <c r="B51" s="61" t="s">
        <v>204</v>
      </c>
      <c r="C51" s="69">
        <v>112000.0</v>
      </c>
      <c r="D51" s="63" t="str">
        <f t="shared" si="3"/>
        <v>Mid</v>
      </c>
      <c r="E51" s="61" t="s">
        <v>205</v>
      </c>
      <c r="F51" s="69">
        <v>132000.0</v>
      </c>
      <c r="G51" s="63" t="str">
        <f t="shared" si="4"/>
        <v>Mid</v>
      </c>
      <c r="H51" s="63" t="s">
        <v>39</v>
      </c>
      <c r="I51" s="63" t="s">
        <v>206</v>
      </c>
      <c r="J51" s="66">
        <v>2500000.0</v>
      </c>
      <c r="K51" s="66">
        <v>3000000.0</v>
      </c>
      <c r="L51" s="66">
        <v>6000000.0</v>
      </c>
      <c r="M51" s="66" t="s">
        <v>207</v>
      </c>
      <c r="N51" s="66">
        <v>6000000.0</v>
      </c>
      <c r="O51" s="66">
        <v>7000000.0</v>
      </c>
      <c r="P51" s="66">
        <v>8000000.0</v>
      </c>
      <c r="Q51" s="72">
        <v>0.3</v>
      </c>
      <c r="R51" s="66">
        <v>8000000.0</v>
      </c>
      <c r="S51" s="66">
        <v>1.2E7</v>
      </c>
      <c r="T51" s="66">
        <v>8000000.0</v>
      </c>
      <c r="U51" s="72">
        <v>0.5</v>
      </c>
      <c r="V51" s="72">
        <v>0.2</v>
      </c>
      <c r="W51" s="71" t="s">
        <v>52</v>
      </c>
      <c r="X51" s="66">
        <v>5000000.0</v>
      </c>
      <c r="Y51" s="66"/>
    </row>
    <row r="52">
      <c r="A52" s="60">
        <v>49.0</v>
      </c>
      <c r="B52" s="61" t="s">
        <v>208</v>
      </c>
      <c r="C52" s="69">
        <v>103000.0</v>
      </c>
      <c r="D52" s="63" t="str">
        <f t="shared" si="3"/>
        <v>Mid</v>
      </c>
      <c r="E52" s="61" t="s">
        <v>209</v>
      </c>
      <c r="F52" s="69">
        <v>969300.0</v>
      </c>
      <c r="G52" s="63" t="str">
        <f t="shared" si="4"/>
        <v>Macro</v>
      </c>
      <c r="H52" s="63" t="s">
        <v>39</v>
      </c>
      <c r="I52" s="63" t="s">
        <v>210</v>
      </c>
      <c r="J52" s="66"/>
      <c r="K52" s="66">
        <v>600000.0</v>
      </c>
      <c r="L52" s="66">
        <v>1000000.0</v>
      </c>
      <c r="M52" s="71" t="s">
        <v>52</v>
      </c>
      <c r="N52" s="66">
        <v>1700000.0</v>
      </c>
      <c r="O52" s="66" t="s">
        <v>211</v>
      </c>
      <c r="P52" s="66">
        <v>3000000.0</v>
      </c>
      <c r="Q52" s="71" t="s">
        <v>52</v>
      </c>
      <c r="R52" s="66">
        <v>6000000.0</v>
      </c>
      <c r="S52" s="66">
        <v>1.0E7</v>
      </c>
      <c r="T52" s="66">
        <v>2500000.0</v>
      </c>
      <c r="U52" s="66">
        <v>2000000.0</v>
      </c>
      <c r="V52" s="71" t="s">
        <v>52</v>
      </c>
      <c r="W52" s="71" t="s">
        <v>52</v>
      </c>
      <c r="X52" s="66">
        <v>1500000.0</v>
      </c>
      <c r="Y52" s="66"/>
    </row>
    <row r="53">
      <c r="A53" s="60">
        <v>50.0</v>
      </c>
      <c r="B53" s="61" t="s">
        <v>212</v>
      </c>
      <c r="C53" s="69">
        <v>100000.0</v>
      </c>
      <c r="D53" s="63" t="str">
        <f t="shared" si="3"/>
        <v>Micro</v>
      </c>
      <c r="E53" s="64" t="s">
        <v>212</v>
      </c>
      <c r="F53" s="69">
        <v>329900.0</v>
      </c>
      <c r="G53" s="63" t="str">
        <f t="shared" si="4"/>
        <v>Mid</v>
      </c>
      <c r="H53" s="63" t="s">
        <v>46</v>
      </c>
      <c r="I53" s="63" t="s">
        <v>213</v>
      </c>
      <c r="J53" s="66"/>
      <c r="K53" s="83" t="s">
        <v>214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4"/>
      <c r="Y53" s="66"/>
    </row>
    <row r="54">
      <c r="A54" s="60">
        <v>51.0</v>
      </c>
      <c r="B54" s="61" t="s">
        <v>215</v>
      </c>
      <c r="C54" s="69">
        <v>97000.0</v>
      </c>
      <c r="D54" s="63" t="str">
        <f t="shared" si="3"/>
        <v>Micro</v>
      </c>
      <c r="E54" s="84" t="s">
        <v>216</v>
      </c>
      <c r="F54" s="69">
        <v>45000.0</v>
      </c>
      <c r="G54" s="63" t="str">
        <f t="shared" si="4"/>
        <v>Micro</v>
      </c>
      <c r="H54" s="63" t="s">
        <v>66</v>
      </c>
      <c r="I54" s="63" t="s">
        <v>139</v>
      </c>
      <c r="J54" s="66">
        <v>150000.0</v>
      </c>
      <c r="K54" s="66">
        <v>200000.0</v>
      </c>
      <c r="L54" s="66">
        <v>300000.0</v>
      </c>
      <c r="M54" s="71" t="s">
        <v>52</v>
      </c>
      <c r="N54" s="66">
        <v>400000.0</v>
      </c>
      <c r="O54" s="66">
        <v>400000.0</v>
      </c>
      <c r="P54" s="66">
        <v>500000.0</v>
      </c>
      <c r="Q54" s="71" t="s">
        <v>52</v>
      </c>
      <c r="R54" s="66">
        <v>400000.0</v>
      </c>
      <c r="S54" s="66">
        <v>750000.0</v>
      </c>
      <c r="T54" s="66"/>
      <c r="U54" s="71" t="s">
        <v>52</v>
      </c>
      <c r="V54" s="71" t="s">
        <v>52</v>
      </c>
      <c r="W54" s="71" t="s">
        <v>52</v>
      </c>
      <c r="X54" s="66" t="s">
        <v>217</v>
      </c>
      <c r="Y54" s="66"/>
    </row>
    <row r="55">
      <c r="A55" s="60">
        <v>52.0</v>
      </c>
      <c r="B55" s="61" t="s">
        <v>218</v>
      </c>
      <c r="C55" s="69" t="s">
        <v>219</v>
      </c>
      <c r="D55" s="63" t="s">
        <v>220</v>
      </c>
      <c r="E55" s="61" t="s">
        <v>218</v>
      </c>
      <c r="F55" s="69" t="s">
        <v>221</v>
      </c>
      <c r="G55" s="63" t="s">
        <v>220</v>
      </c>
      <c r="H55" s="63" t="s">
        <v>39</v>
      </c>
      <c r="I55" s="63" t="s">
        <v>180</v>
      </c>
      <c r="J55" s="66">
        <v>625000.0</v>
      </c>
      <c r="K55" s="66">
        <v>800000.0</v>
      </c>
      <c r="L55" s="66">
        <v>800000.0</v>
      </c>
      <c r="M55" s="71" t="s">
        <v>52</v>
      </c>
      <c r="N55" s="66">
        <v>2500000.0</v>
      </c>
      <c r="O55" s="66">
        <v>500000.0</v>
      </c>
      <c r="P55" s="66">
        <v>6000000.0</v>
      </c>
      <c r="Q55" s="76"/>
      <c r="R55" s="66">
        <v>8000000.0</v>
      </c>
      <c r="S55" s="66">
        <v>4000000.0</v>
      </c>
      <c r="T55" s="66">
        <v>4000000.0</v>
      </c>
      <c r="U55" s="72">
        <v>1.0</v>
      </c>
      <c r="V55" s="66">
        <v>1000000.0</v>
      </c>
      <c r="W55" s="66">
        <v>500000.0</v>
      </c>
      <c r="X55" s="66" t="s">
        <v>222</v>
      </c>
      <c r="Y55" s="66"/>
    </row>
    <row r="56">
      <c r="A56" s="60">
        <v>53.0</v>
      </c>
      <c r="B56" s="61" t="s">
        <v>223</v>
      </c>
      <c r="C56" s="69">
        <v>66000.0</v>
      </c>
      <c r="D56" s="63" t="str">
        <f t="shared" ref="D56:D63" si="5">ifs(C56&lt;10000, "Nano", C56&lt;=100000, "Micro", C56&lt;=500000, "Mid", C56&lt;=1000000, "Macro", C56&gt;1000000, "Mega")</f>
        <v>Micro</v>
      </c>
      <c r="E56" s="61" t="s">
        <v>223</v>
      </c>
      <c r="F56" s="65">
        <v>2200000.0</v>
      </c>
      <c r="G56" s="63" t="str">
        <f t="shared" ref="G56:G154" si="6">ifs(F56&lt;10000, "Nano", F56&lt;=100000, "Micro", F56&lt;=500000, "Mid", F56&lt;=1000000, "Macro", F56&gt;1000000, "Mega")</f>
        <v>Mega</v>
      </c>
      <c r="H56" s="63" t="s">
        <v>39</v>
      </c>
      <c r="I56" s="63" t="s">
        <v>122</v>
      </c>
      <c r="J56" s="66"/>
      <c r="K56" s="66">
        <v>500000.0</v>
      </c>
      <c r="L56" s="66">
        <v>1500000.0</v>
      </c>
      <c r="M56" s="71" t="s">
        <v>52</v>
      </c>
      <c r="N56" s="66">
        <v>2500000.0</v>
      </c>
      <c r="O56" s="66">
        <v>3000000.0</v>
      </c>
      <c r="P56" s="66">
        <v>4000000.0</v>
      </c>
      <c r="Q56" s="71" t="s">
        <v>52</v>
      </c>
      <c r="R56" s="66" t="s">
        <v>224</v>
      </c>
      <c r="S56" s="66">
        <v>1.2E7</v>
      </c>
      <c r="T56" s="66" t="s">
        <v>225</v>
      </c>
      <c r="U56" s="66">
        <v>4000000.0</v>
      </c>
      <c r="V56" s="66">
        <v>1000000.0</v>
      </c>
      <c r="W56" s="66">
        <v>500000.0</v>
      </c>
      <c r="X56" s="66" t="s">
        <v>226</v>
      </c>
      <c r="Y56" s="66"/>
    </row>
    <row r="57">
      <c r="A57" s="60">
        <v>54.0</v>
      </c>
      <c r="B57" s="61" t="s">
        <v>227</v>
      </c>
      <c r="C57" s="69">
        <v>53000.0</v>
      </c>
      <c r="D57" s="63" t="str">
        <f t="shared" si="5"/>
        <v>Micro</v>
      </c>
      <c r="E57" s="64" t="s">
        <v>228</v>
      </c>
      <c r="F57" s="69">
        <v>9283.0</v>
      </c>
      <c r="G57" s="66" t="str">
        <f t="shared" si="6"/>
        <v>Nano</v>
      </c>
      <c r="H57" s="66" t="s">
        <v>229</v>
      </c>
      <c r="I57" s="66" t="s">
        <v>230</v>
      </c>
      <c r="J57" s="83" t="s">
        <v>231</v>
      </c>
      <c r="K57" s="3"/>
      <c r="L57" s="3"/>
      <c r="M57" s="4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>
      <c r="A58" s="60">
        <v>55.0</v>
      </c>
      <c r="B58" s="61" t="s">
        <v>232</v>
      </c>
      <c r="C58" s="69">
        <v>49900.0</v>
      </c>
      <c r="D58" s="63" t="str">
        <f t="shared" si="5"/>
        <v>Micro</v>
      </c>
      <c r="E58" s="61" t="s">
        <v>233</v>
      </c>
      <c r="F58" s="69">
        <v>4000.0</v>
      </c>
      <c r="G58" s="63" t="str">
        <f t="shared" si="6"/>
        <v>Nano</v>
      </c>
      <c r="H58" s="63" t="s">
        <v>234</v>
      </c>
      <c r="I58" s="63" t="s">
        <v>235</v>
      </c>
      <c r="J58" s="66">
        <v>100000.0</v>
      </c>
      <c r="K58" s="66">
        <v>150000.0</v>
      </c>
      <c r="L58" s="66"/>
      <c r="M58" s="71" t="s">
        <v>52</v>
      </c>
      <c r="N58" s="66">
        <v>300000.0</v>
      </c>
      <c r="O58" s="66">
        <v>350000.0</v>
      </c>
      <c r="P58" s="66">
        <v>400000.0</v>
      </c>
      <c r="Q58" s="71" t="s">
        <v>52</v>
      </c>
      <c r="R58" s="66"/>
      <c r="S58" s="66">
        <v>500000.0</v>
      </c>
      <c r="T58" s="66"/>
      <c r="U58" s="66">
        <v>300000.0</v>
      </c>
      <c r="V58" s="66">
        <v>300000.0</v>
      </c>
      <c r="W58" s="71" t="s">
        <v>52</v>
      </c>
      <c r="X58" s="66"/>
      <c r="Y58" s="66"/>
    </row>
    <row r="59">
      <c r="A59" s="60">
        <v>56.0</v>
      </c>
      <c r="B59" s="61" t="s">
        <v>236</v>
      </c>
      <c r="C59" s="69">
        <v>40400.0</v>
      </c>
      <c r="D59" s="63" t="str">
        <f t="shared" si="5"/>
        <v>Micro</v>
      </c>
      <c r="E59" s="61" t="s">
        <v>237</v>
      </c>
      <c r="F59" s="69">
        <v>121000.0</v>
      </c>
      <c r="G59" s="63" t="str">
        <f t="shared" si="6"/>
        <v>Mid</v>
      </c>
      <c r="H59" s="63" t="s">
        <v>83</v>
      </c>
      <c r="I59" s="63" t="s">
        <v>238</v>
      </c>
      <c r="J59" s="66">
        <v>150000.0</v>
      </c>
      <c r="K59" s="66">
        <v>250000.0</v>
      </c>
      <c r="L59" s="66">
        <v>250000.0</v>
      </c>
      <c r="M59" s="66" t="s">
        <v>52</v>
      </c>
      <c r="N59" s="66">
        <v>350000.0</v>
      </c>
      <c r="O59" s="66">
        <v>450000.0</v>
      </c>
      <c r="P59" s="66">
        <v>950000.0</v>
      </c>
      <c r="Q59" s="71" t="s">
        <v>52</v>
      </c>
      <c r="R59" s="66">
        <v>900000.0</v>
      </c>
      <c r="S59" s="66">
        <v>1200000.0</v>
      </c>
      <c r="T59" s="66">
        <v>1100000.0</v>
      </c>
      <c r="U59" s="71" t="s">
        <v>52</v>
      </c>
      <c r="V59" s="71" t="s">
        <v>52</v>
      </c>
      <c r="W59" s="71" t="s">
        <v>52</v>
      </c>
      <c r="X59" s="66">
        <v>800000.0</v>
      </c>
      <c r="Y59" s="66"/>
    </row>
    <row r="60">
      <c r="A60" s="60">
        <v>57.0</v>
      </c>
      <c r="B60" s="61" t="s">
        <v>239</v>
      </c>
      <c r="C60" s="69">
        <v>39300.0</v>
      </c>
      <c r="D60" s="63" t="str">
        <f t="shared" si="5"/>
        <v>Micro</v>
      </c>
      <c r="E60" s="61" t="s">
        <v>240</v>
      </c>
      <c r="F60" s="65">
        <v>2200000.0</v>
      </c>
      <c r="G60" s="63" t="str">
        <f t="shared" si="6"/>
        <v>Mega</v>
      </c>
      <c r="H60" s="63" t="s">
        <v>66</v>
      </c>
      <c r="I60" s="63" t="s">
        <v>241</v>
      </c>
      <c r="J60" s="66">
        <v>200000.0</v>
      </c>
      <c r="K60" s="66">
        <v>200000.0</v>
      </c>
      <c r="L60" s="66">
        <v>500000.0</v>
      </c>
      <c r="M60" s="71" t="s">
        <v>52</v>
      </c>
      <c r="N60" s="66">
        <v>800000.0</v>
      </c>
      <c r="O60" s="66">
        <v>1000000.0</v>
      </c>
      <c r="P60" s="66">
        <v>1500000.0</v>
      </c>
      <c r="Q60" s="71" t="s">
        <v>52</v>
      </c>
      <c r="R60" s="66">
        <v>6000000.0</v>
      </c>
      <c r="S60" s="66">
        <v>7000000.0</v>
      </c>
      <c r="T60" s="66">
        <v>2000000.0</v>
      </c>
      <c r="U60" s="66">
        <v>1000000.0</v>
      </c>
      <c r="V60" s="71" t="s">
        <v>52</v>
      </c>
      <c r="W60" s="71" t="s">
        <v>52</v>
      </c>
      <c r="X60" s="66">
        <v>8000000.0</v>
      </c>
      <c r="Y60" s="66"/>
    </row>
    <row r="61">
      <c r="A61" s="60">
        <v>58.0</v>
      </c>
      <c r="B61" s="61" t="s">
        <v>242</v>
      </c>
      <c r="C61" s="69">
        <v>32000.0</v>
      </c>
      <c r="D61" s="63" t="str">
        <f t="shared" si="5"/>
        <v>Micro</v>
      </c>
      <c r="E61" s="61" t="s">
        <v>243</v>
      </c>
      <c r="F61" s="69">
        <v>361500.0</v>
      </c>
      <c r="G61" s="63" t="str">
        <f t="shared" si="6"/>
        <v>Mid</v>
      </c>
      <c r="H61" s="63" t="s">
        <v>39</v>
      </c>
      <c r="I61" s="63" t="s">
        <v>244</v>
      </c>
      <c r="J61" s="66">
        <v>200000.0</v>
      </c>
      <c r="K61" s="66">
        <v>200000.0</v>
      </c>
      <c r="L61" s="66">
        <v>700000.0</v>
      </c>
      <c r="M61" s="71" t="s">
        <v>52</v>
      </c>
      <c r="N61" s="66">
        <v>350000.0</v>
      </c>
      <c r="O61" s="66">
        <v>400000.0</v>
      </c>
      <c r="P61" s="66">
        <v>1000000.0</v>
      </c>
      <c r="Q61" s="71" t="s">
        <v>52</v>
      </c>
      <c r="R61" s="66">
        <v>2500000.0</v>
      </c>
      <c r="S61" s="66">
        <v>3000000.0</v>
      </c>
      <c r="T61" s="66">
        <v>500000.0</v>
      </c>
      <c r="U61" s="66">
        <v>500000.0</v>
      </c>
      <c r="V61" s="71" t="s">
        <v>245</v>
      </c>
      <c r="W61" s="71" t="s">
        <v>52</v>
      </c>
      <c r="X61" s="66">
        <v>1000000.0</v>
      </c>
      <c r="Y61" s="66"/>
    </row>
    <row r="62">
      <c r="A62" s="60">
        <v>59.0</v>
      </c>
      <c r="B62" s="61" t="s">
        <v>246</v>
      </c>
      <c r="C62" s="69">
        <v>14800.0</v>
      </c>
      <c r="D62" s="63" t="str">
        <f t="shared" si="5"/>
        <v>Micro</v>
      </c>
      <c r="E62" s="61" t="s">
        <v>247</v>
      </c>
      <c r="F62" s="69">
        <v>902400.0</v>
      </c>
      <c r="G62" s="63" t="str">
        <f t="shared" si="6"/>
        <v>Macro</v>
      </c>
      <c r="H62" s="63" t="s">
        <v>248</v>
      </c>
      <c r="I62" s="63" t="s">
        <v>180</v>
      </c>
      <c r="J62" s="66">
        <v>150000.0</v>
      </c>
      <c r="K62" s="66">
        <v>150000.0</v>
      </c>
      <c r="L62" s="66">
        <v>200000.0</v>
      </c>
      <c r="M62" s="71" t="s">
        <v>52</v>
      </c>
      <c r="N62" s="66">
        <v>200000.0</v>
      </c>
      <c r="O62" s="66">
        <v>300000.0</v>
      </c>
      <c r="P62" s="66">
        <v>800000.0</v>
      </c>
      <c r="Q62" s="71" t="s">
        <v>52</v>
      </c>
      <c r="R62" s="66">
        <v>2800000.0</v>
      </c>
      <c r="S62" s="66">
        <v>3000000.0</v>
      </c>
      <c r="T62" s="66">
        <v>600000.0</v>
      </c>
      <c r="U62" s="66">
        <v>500000.0</v>
      </c>
      <c r="V62" s="66">
        <v>350000.0</v>
      </c>
      <c r="W62" s="71" t="s">
        <v>52</v>
      </c>
      <c r="X62" s="66">
        <v>800000.0</v>
      </c>
      <c r="Y62" s="66"/>
    </row>
    <row r="63">
      <c r="A63" s="60">
        <v>60.0</v>
      </c>
      <c r="B63" s="85" t="s">
        <v>249</v>
      </c>
      <c r="C63" s="69">
        <v>3906.0</v>
      </c>
      <c r="D63" s="63" t="str">
        <f t="shared" si="5"/>
        <v>Nano</v>
      </c>
      <c r="E63" s="61" t="s">
        <v>250</v>
      </c>
      <c r="F63" s="69">
        <v>217700.0</v>
      </c>
      <c r="G63" s="63" t="str">
        <f t="shared" si="6"/>
        <v>Mid</v>
      </c>
      <c r="H63" s="63" t="s">
        <v>39</v>
      </c>
      <c r="I63" s="63" t="s">
        <v>251</v>
      </c>
      <c r="J63" s="66">
        <v>200000.0</v>
      </c>
      <c r="K63" s="66">
        <v>500000.0</v>
      </c>
      <c r="L63" s="66">
        <v>1300000.0</v>
      </c>
      <c r="M63" s="66">
        <v>200000.0</v>
      </c>
      <c r="N63" s="66">
        <v>1500000.0</v>
      </c>
      <c r="O63" s="66">
        <v>1500000.0</v>
      </c>
      <c r="P63" s="66">
        <v>2000000.0</v>
      </c>
      <c r="Q63" s="71" t="s">
        <v>52</v>
      </c>
      <c r="R63" s="66">
        <v>2800000.0</v>
      </c>
      <c r="S63" s="66">
        <v>3500000.0</v>
      </c>
      <c r="T63" s="66">
        <v>5000000.0</v>
      </c>
      <c r="U63" s="72">
        <v>1.0</v>
      </c>
      <c r="V63" s="72">
        <v>0.3</v>
      </c>
      <c r="W63" s="66">
        <v>500000.0</v>
      </c>
      <c r="X63" s="66">
        <v>1000000.0</v>
      </c>
      <c r="Y63" s="66"/>
    </row>
    <row r="64">
      <c r="A64" s="60">
        <v>61.0</v>
      </c>
      <c r="B64" s="61" t="s">
        <v>252</v>
      </c>
      <c r="C64" s="69">
        <v>1952.0</v>
      </c>
      <c r="D64" s="63" t="str">
        <f>ifs(C64&lt;10000, "Nano", C64&lt;=50000, "Micro", C64&lt;=500000, "Mid", C64&lt;=1000000, "Macro", C64&gt;1000000, "Mega")</f>
        <v>Nano</v>
      </c>
      <c r="E64" s="64" t="s">
        <v>253</v>
      </c>
      <c r="F64" s="69">
        <v>259000.0</v>
      </c>
      <c r="G64" s="63" t="str">
        <f t="shared" si="6"/>
        <v>Mid</v>
      </c>
      <c r="H64" s="63" t="s">
        <v>39</v>
      </c>
      <c r="I64" s="63" t="s">
        <v>198</v>
      </c>
      <c r="J64" s="66"/>
      <c r="K64" s="66"/>
      <c r="L64" s="66"/>
      <c r="M64" s="66"/>
      <c r="N64" s="66"/>
      <c r="O64" s="66"/>
      <c r="P64" s="66">
        <v>250000.0</v>
      </c>
      <c r="Q64" s="71" t="s">
        <v>52</v>
      </c>
      <c r="R64" s="66">
        <v>750000.0</v>
      </c>
      <c r="S64" s="66">
        <v>975000.0</v>
      </c>
      <c r="T64" s="66"/>
      <c r="U64" s="66">
        <v>150000.0</v>
      </c>
      <c r="V64" s="66" t="s">
        <v>254</v>
      </c>
      <c r="W64" s="71" t="s">
        <v>52</v>
      </c>
      <c r="X64" s="66" t="s">
        <v>254</v>
      </c>
      <c r="Y64" s="66"/>
    </row>
    <row r="65">
      <c r="A65" s="60">
        <v>62.0</v>
      </c>
      <c r="B65" s="79" t="s">
        <v>255</v>
      </c>
      <c r="C65" s="69"/>
      <c r="D65" s="80"/>
      <c r="E65" s="64" t="s">
        <v>256</v>
      </c>
      <c r="F65" s="65">
        <v>1700000.0</v>
      </c>
      <c r="G65" s="80" t="str">
        <f t="shared" si="6"/>
        <v>Mega</v>
      </c>
      <c r="H65" s="80" t="s">
        <v>50</v>
      </c>
      <c r="I65" s="63" t="s">
        <v>257</v>
      </c>
      <c r="J65" s="66"/>
      <c r="K65" s="66"/>
      <c r="L65" s="66"/>
      <c r="M65" s="66"/>
      <c r="N65" s="66"/>
      <c r="O65" s="66"/>
      <c r="P65" s="66"/>
      <c r="Q65" s="66"/>
      <c r="R65" s="66">
        <v>1.6E7</v>
      </c>
      <c r="S65" s="77" t="s">
        <v>258</v>
      </c>
      <c r="T65" s="66"/>
      <c r="U65" s="66"/>
      <c r="V65" s="66"/>
      <c r="W65" s="66"/>
      <c r="X65" s="66"/>
      <c r="Y65" s="66"/>
    </row>
    <row r="66">
      <c r="A66" s="60">
        <v>63.0</v>
      </c>
      <c r="B66" s="79" t="s">
        <v>259</v>
      </c>
      <c r="C66" s="69">
        <v>351000.0</v>
      </c>
      <c r="D66" s="80" t="str">
        <f t="shared" ref="D66:D108" si="7">ifs(C66&lt;10000, "Nano", C66&lt;=100000, "Micro", C66&lt;=500000, "Mid", C66&lt;=1000000, "Macro", C66&gt;1000000, "Mega")</f>
        <v>Mid</v>
      </c>
      <c r="E66" s="79" t="s">
        <v>260</v>
      </c>
      <c r="F66" s="69">
        <v>256000.0</v>
      </c>
      <c r="G66" s="80" t="str">
        <f t="shared" si="6"/>
        <v>Mid</v>
      </c>
      <c r="H66" s="80" t="s">
        <v>39</v>
      </c>
      <c r="I66" s="80" t="s">
        <v>261</v>
      </c>
      <c r="J66" s="86"/>
      <c r="K66" s="66">
        <v>8000000.0</v>
      </c>
      <c r="L66" s="66">
        <v>1.5E7</v>
      </c>
      <c r="M66" s="71" t="s">
        <v>52</v>
      </c>
      <c r="N66" s="66">
        <v>2.0E7</v>
      </c>
      <c r="O66" s="86"/>
      <c r="P66" s="66">
        <v>2.5E7</v>
      </c>
      <c r="Q66" s="86"/>
      <c r="R66" s="66">
        <v>2.0E7</v>
      </c>
      <c r="S66" s="66">
        <v>3.5E7</v>
      </c>
      <c r="T66" s="86"/>
      <c r="U66" s="66" t="s">
        <v>262</v>
      </c>
      <c r="V66" s="72">
        <v>0.5</v>
      </c>
      <c r="W66" s="86"/>
      <c r="X66" s="86"/>
      <c r="Y66" s="66"/>
    </row>
    <row r="67">
      <c r="A67" s="60">
        <v>64.0</v>
      </c>
      <c r="B67" s="79" t="s">
        <v>263</v>
      </c>
      <c r="C67" s="69">
        <v>155000.0</v>
      </c>
      <c r="D67" s="80" t="str">
        <f t="shared" si="7"/>
        <v>Mid</v>
      </c>
      <c r="E67" s="79" t="s">
        <v>264</v>
      </c>
      <c r="F67" s="68">
        <v>2800000.0</v>
      </c>
      <c r="G67" s="80" t="str">
        <f t="shared" si="6"/>
        <v>Mega</v>
      </c>
      <c r="H67" s="80" t="s">
        <v>39</v>
      </c>
      <c r="I67" s="80" t="s">
        <v>96</v>
      </c>
      <c r="J67" s="86"/>
      <c r="K67" s="66">
        <v>1000000.0</v>
      </c>
      <c r="L67" s="86"/>
      <c r="M67" s="66">
        <v>500000.0</v>
      </c>
      <c r="N67" s="86"/>
      <c r="O67" s="86"/>
      <c r="P67" s="66">
        <v>5000000.0</v>
      </c>
      <c r="Q67" s="86"/>
      <c r="R67" s="66">
        <v>7000000.0</v>
      </c>
      <c r="S67" s="66">
        <v>9000000.0</v>
      </c>
      <c r="T67" s="87" t="s">
        <v>265</v>
      </c>
      <c r="U67" s="66">
        <v>2000000.0</v>
      </c>
      <c r="V67" s="86"/>
      <c r="W67" s="66">
        <v>2000000.0</v>
      </c>
      <c r="X67" s="66">
        <v>8000000.0</v>
      </c>
      <c r="Y67" s="66"/>
    </row>
    <row r="68">
      <c r="A68" s="60">
        <v>65.0</v>
      </c>
      <c r="B68" s="79" t="s">
        <v>266</v>
      </c>
      <c r="C68" s="69">
        <v>287000.0</v>
      </c>
      <c r="D68" s="80" t="str">
        <f t="shared" si="7"/>
        <v>Mid</v>
      </c>
      <c r="E68" s="79" t="s">
        <v>267</v>
      </c>
      <c r="F68" s="69">
        <v>477000.0</v>
      </c>
      <c r="G68" s="80" t="str">
        <f t="shared" si="6"/>
        <v>Mid</v>
      </c>
      <c r="H68" s="80" t="s">
        <v>66</v>
      </c>
      <c r="I68" s="63" t="s">
        <v>268</v>
      </c>
      <c r="J68" s="86"/>
      <c r="K68" s="66">
        <v>350000.0</v>
      </c>
      <c r="L68" s="86"/>
      <c r="M68" s="86"/>
      <c r="N68" s="66">
        <v>500000.0</v>
      </c>
      <c r="O68" s="86"/>
      <c r="P68" s="66">
        <v>1000000.0</v>
      </c>
      <c r="Q68" s="66">
        <v>150000.0</v>
      </c>
      <c r="R68" s="66">
        <v>2000000.0</v>
      </c>
      <c r="S68" s="86"/>
      <c r="T68" s="66">
        <v>500000.0</v>
      </c>
      <c r="U68" s="66">
        <v>300000.0</v>
      </c>
      <c r="V68" s="86"/>
      <c r="W68" s="66">
        <v>200000.0</v>
      </c>
      <c r="X68" s="66" t="s">
        <v>269</v>
      </c>
      <c r="Y68" s="66"/>
    </row>
    <row r="69">
      <c r="A69" s="60">
        <v>66.0</v>
      </c>
      <c r="B69" s="79" t="s">
        <v>270</v>
      </c>
      <c r="C69" s="68">
        <v>2600000.0</v>
      </c>
      <c r="D69" s="80" t="str">
        <f t="shared" si="7"/>
        <v>Mega</v>
      </c>
      <c r="E69" s="79" t="s">
        <v>271</v>
      </c>
      <c r="F69" s="69">
        <v>705600.0</v>
      </c>
      <c r="G69" s="80" t="str">
        <f t="shared" si="6"/>
        <v>Macro</v>
      </c>
      <c r="H69" s="80" t="s">
        <v>39</v>
      </c>
      <c r="I69" s="80" t="s">
        <v>272</v>
      </c>
      <c r="J69" s="86"/>
      <c r="K69" s="66">
        <v>1.5E7</v>
      </c>
      <c r="L69" s="66">
        <v>3.5E7</v>
      </c>
      <c r="M69" s="86"/>
      <c r="N69" s="66">
        <v>3.5E7</v>
      </c>
      <c r="O69" s="86"/>
      <c r="P69" s="66">
        <v>4.5E7</v>
      </c>
      <c r="Q69" s="86"/>
      <c r="R69" s="66">
        <v>3.5E7</v>
      </c>
      <c r="S69" s="86"/>
      <c r="T69" s="66">
        <v>4.0E7</v>
      </c>
      <c r="U69" s="86"/>
      <c r="V69" s="86"/>
      <c r="W69" s="86"/>
      <c r="X69" s="66" t="s">
        <v>273</v>
      </c>
      <c r="Y69" s="66"/>
    </row>
    <row r="70">
      <c r="A70" s="60">
        <v>67.0</v>
      </c>
      <c r="B70" s="88" t="s">
        <v>274</v>
      </c>
      <c r="C70" s="69">
        <v>614000.0</v>
      </c>
      <c r="D70" s="66" t="str">
        <f t="shared" si="7"/>
        <v>Macro</v>
      </c>
      <c r="E70" s="89" t="s">
        <v>274</v>
      </c>
      <c r="F70" s="69">
        <v>301800.0</v>
      </c>
      <c r="G70" s="66" t="str">
        <f t="shared" si="6"/>
        <v>Mid</v>
      </c>
      <c r="H70" s="80" t="s">
        <v>39</v>
      </c>
      <c r="I70" s="80" t="s">
        <v>275</v>
      </c>
      <c r="J70" s="76"/>
      <c r="K70" s="66">
        <v>4000000.0</v>
      </c>
      <c r="L70" s="66">
        <v>1.0E7</v>
      </c>
      <c r="M70" s="76"/>
      <c r="N70" s="66">
        <v>1.5E7</v>
      </c>
      <c r="O70" s="66">
        <v>5000000.0</v>
      </c>
      <c r="P70" s="66">
        <v>2.0E7</v>
      </c>
      <c r="Q70" s="76"/>
      <c r="R70" s="66">
        <v>1.25E7</v>
      </c>
      <c r="S70" s="66">
        <v>2.55E7</v>
      </c>
      <c r="T70" s="66">
        <v>1.5E7</v>
      </c>
      <c r="U70" s="86"/>
      <c r="V70" s="86"/>
      <c r="W70" s="86"/>
      <c r="X70" s="66" t="s">
        <v>276</v>
      </c>
      <c r="Y70" s="66"/>
    </row>
    <row r="71">
      <c r="A71" s="60">
        <v>68.0</v>
      </c>
      <c r="B71" s="79" t="s">
        <v>277</v>
      </c>
      <c r="C71" s="68">
        <v>2500000.0</v>
      </c>
      <c r="D71" s="80" t="str">
        <f t="shared" si="7"/>
        <v>Mega</v>
      </c>
      <c r="E71" s="61" t="s">
        <v>277</v>
      </c>
      <c r="F71" s="68">
        <v>2300000.0</v>
      </c>
      <c r="G71" s="80" t="str">
        <f t="shared" si="6"/>
        <v>Mega</v>
      </c>
      <c r="H71" s="80" t="s">
        <v>50</v>
      </c>
      <c r="I71" s="80" t="s">
        <v>261</v>
      </c>
      <c r="J71" s="86"/>
      <c r="K71" s="66">
        <v>6000000.0</v>
      </c>
      <c r="L71" s="66">
        <v>1.65E7</v>
      </c>
      <c r="M71" s="86"/>
      <c r="N71" s="66">
        <v>2.5E7</v>
      </c>
      <c r="O71" s="66">
        <v>2.8E7</v>
      </c>
      <c r="P71" s="66">
        <v>3.5E7</v>
      </c>
      <c r="Q71" s="86"/>
      <c r="R71" s="66">
        <v>3.5E7</v>
      </c>
      <c r="S71" s="66">
        <v>4.5E7</v>
      </c>
      <c r="T71" s="86"/>
      <c r="U71" s="86"/>
      <c r="V71" s="86"/>
      <c r="W71" s="66">
        <v>5000000.0</v>
      </c>
      <c r="X71" s="86"/>
      <c r="Y71" s="66"/>
    </row>
    <row r="72">
      <c r="A72" s="60">
        <v>69.0</v>
      </c>
      <c r="B72" s="79" t="s">
        <v>278</v>
      </c>
      <c r="C72" s="69">
        <v>1875.0</v>
      </c>
      <c r="D72" s="80" t="str">
        <f t="shared" si="7"/>
        <v>Nano</v>
      </c>
      <c r="E72" s="79" t="s">
        <v>278</v>
      </c>
      <c r="F72" s="69">
        <v>19600.0</v>
      </c>
      <c r="G72" s="80" t="str">
        <f t="shared" si="6"/>
        <v>Micro</v>
      </c>
      <c r="H72" s="80" t="s">
        <v>83</v>
      </c>
      <c r="I72" s="80" t="s">
        <v>279</v>
      </c>
      <c r="J72" s="86"/>
      <c r="K72" s="66">
        <v>150000.0</v>
      </c>
      <c r="L72" s="66">
        <v>300000.0</v>
      </c>
      <c r="M72" s="86"/>
      <c r="N72" s="66">
        <v>300000.0</v>
      </c>
      <c r="O72" s="86"/>
      <c r="P72" s="66">
        <v>300000.0</v>
      </c>
      <c r="Q72" s="86"/>
      <c r="R72" s="66">
        <v>600000.0</v>
      </c>
      <c r="S72" s="66">
        <v>750000.0</v>
      </c>
      <c r="T72" s="86"/>
      <c r="U72" s="86"/>
      <c r="V72" s="86"/>
      <c r="W72" s="86"/>
      <c r="X72" s="66">
        <v>750000.0</v>
      </c>
      <c r="Y72" s="86"/>
    </row>
    <row r="73">
      <c r="A73" s="60">
        <v>70.0</v>
      </c>
      <c r="B73" s="79" t="s">
        <v>280</v>
      </c>
      <c r="C73" s="68">
        <v>2900000.0</v>
      </c>
      <c r="D73" s="80" t="str">
        <f t="shared" si="7"/>
        <v>Mega</v>
      </c>
      <c r="E73" s="79" t="s">
        <v>281</v>
      </c>
      <c r="F73" s="68">
        <v>1600000.0</v>
      </c>
      <c r="G73" s="80" t="str">
        <f t="shared" si="6"/>
        <v>Mega</v>
      </c>
      <c r="H73" s="80" t="s">
        <v>66</v>
      </c>
      <c r="I73" s="80" t="s">
        <v>268</v>
      </c>
      <c r="J73" s="86"/>
      <c r="K73" s="66">
        <v>500000.0</v>
      </c>
      <c r="L73" s="86"/>
      <c r="M73" s="86"/>
      <c r="N73" s="66">
        <v>1000000.0</v>
      </c>
      <c r="O73" s="66">
        <v>1500000.0</v>
      </c>
      <c r="P73" s="66">
        <v>1500000.0</v>
      </c>
      <c r="Q73" s="86"/>
      <c r="R73" s="66">
        <v>1500000.0</v>
      </c>
      <c r="S73" s="66">
        <v>2000000.0</v>
      </c>
      <c r="T73" s="66">
        <v>1000000.0</v>
      </c>
      <c r="U73" s="66">
        <v>500000.0</v>
      </c>
      <c r="V73" s="86"/>
      <c r="W73" s="71" t="s">
        <v>52</v>
      </c>
      <c r="X73" s="66">
        <v>3500000.0</v>
      </c>
      <c r="Y73" s="66"/>
    </row>
    <row r="74">
      <c r="A74" s="60">
        <v>71.0</v>
      </c>
      <c r="B74" s="79" t="s">
        <v>282</v>
      </c>
      <c r="C74" s="69">
        <v>30900.0</v>
      </c>
      <c r="D74" s="80" t="str">
        <f t="shared" si="7"/>
        <v>Micro</v>
      </c>
      <c r="E74" s="79" t="s">
        <v>282</v>
      </c>
      <c r="F74" s="69">
        <v>47800.0</v>
      </c>
      <c r="G74" s="80" t="str">
        <f t="shared" si="6"/>
        <v>Micro</v>
      </c>
      <c r="H74" s="80" t="s">
        <v>39</v>
      </c>
      <c r="I74" s="80" t="s">
        <v>283</v>
      </c>
      <c r="J74" s="86"/>
      <c r="K74" s="66">
        <v>1000000.0</v>
      </c>
      <c r="L74" s="66">
        <v>1000000.0</v>
      </c>
      <c r="M74" s="77" t="s">
        <v>62</v>
      </c>
      <c r="N74" s="66">
        <v>1500000.0</v>
      </c>
      <c r="O74" s="66">
        <v>1500000.0</v>
      </c>
      <c r="P74" s="66">
        <v>1500000.0</v>
      </c>
      <c r="Q74" s="66" t="s">
        <v>62</v>
      </c>
      <c r="R74" s="66">
        <v>1.5E7</v>
      </c>
      <c r="S74" s="66">
        <v>1.5E7</v>
      </c>
      <c r="T74" s="66">
        <v>1500000.0</v>
      </c>
      <c r="U74" s="66">
        <v>500000.0</v>
      </c>
      <c r="V74" s="66" t="s">
        <v>62</v>
      </c>
      <c r="W74" s="66" t="s">
        <v>62</v>
      </c>
      <c r="X74" s="66">
        <v>500000.0</v>
      </c>
      <c r="Y74" s="86"/>
    </row>
    <row r="75">
      <c r="A75" s="60">
        <v>72.0</v>
      </c>
      <c r="B75" s="79" t="s">
        <v>284</v>
      </c>
      <c r="C75" s="69">
        <v>1789.0</v>
      </c>
      <c r="D75" s="80" t="str">
        <f t="shared" si="7"/>
        <v>Nano</v>
      </c>
      <c r="E75" s="79" t="s">
        <v>285</v>
      </c>
      <c r="F75" s="69">
        <v>67500.0</v>
      </c>
      <c r="G75" s="80" t="str">
        <f t="shared" si="6"/>
        <v>Micro</v>
      </c>
      <c r="H75" s="80" t="s">
        <v>39</v>
      </c>
      <c r="I75" s="80" t="s">
        <v>261</v>
      </c>
      <c r="J75" s="86"/>
      <c r="K75" s="86"/>
      <c r="L75" s="86"/>
      <c r="M75" s="86"/>
      <c r="N75" s="86"/>
      <c r="O75" s="86"/>
      <c r="P75" s="86"/>
      <c r="Q75" s="86"/>
      <c r="R75" s="66">
        <v>1800000.0</v>
      </c>
      <c r="S75" s="86"/>
      <c r="T75" s="86"/>
      <c r="U75" s="66">
        <v>1000000.0</v>
      </c>
      <c r="V75" s="71" t="s">
        <v>286</v>
      </c>
      <c r="W75" s="66">
        <v>300000.0</v>
      </c>
      <c r="X75" s="86"/>
      <c r="Y75" s="66"/>
    </row>
    <row r="76">
      <c r="A76" s="60">
        <v>73.0</v>
      </c>
      <c r="B76" s="79" t="s">
        <v>287</v>
      </c>
      <c r="C76" s="69">
        <v>379000.0</v>
      </c>
      <c r="D76" s="80" t="str">
        <f t="shared" si="7"/>
        <v>Mid</v>
      </c>
      <c r="E76" s="79" t="s">
        <v>287</v>
      </c>
      <c r="F76" s="69">
        <v>60200.0</v>
      </c>
      <c r="G76" s="80" t="str">
        <f t="shared" si="6"/>
        <v>Micro</v>
      </c>
      <c r="H76" s="80" t="s">
        <v>288</v>
      </c>
      <c r="I76" s="80" t="s">
        <v>261</v>
      </c>
      <c r="J76" s="86"/>
      <c r="K76" s="66">
        <v>4000000.0</v>
      </c>
      <c r="L76" s="66">
        <v>9500000.0</v>
      </c>
      <c r="M76" s="66">
        <v>1000000.0</v>
      </c>
      <c r="N76" s="66">
        <v>9000000.0</v>
      </c>
      <c r="O76" s="66">
        <v>1.0E7</v>
      </c>
      <c r="P76" s="66">
        <v>1.75E7</v>
      </c>
      <c r="Q76" s="86"/>
      <c r="R76" s="66">
        <v>1.25E7</v>
      </c>
      <c r="S76" s="86"/>
      <c r="T76" s="86"/>
      <c r="U76" s="72">
        <v>2.0</v>
      </c>
      <c r="V76" s="66" t="s">
        <v>289</v>
      </c>
      <c r="W76" s="86"/>
      <c r="X76" s="86"/>
      <c r="Y76" s="66"/>
    </row>
    <row r="77">
      <c r="A77" s="60">
        <v>74.0</v>
      </c>
      <c r="B77" s="79" t="s">
        <v>290</v>
      </c>
      <c r="C77" s="69">
        <v>71900.0</v>
      </c>
      <c r="D77" s="80" t="str">
        <f t="shared" si="7"/>
        <v>Micro</v>
      </c>
      <c r="E77" s="79" t="s">
        <v>290</v>
      </c>
      <c r="F77" s="69">
        <v>171700.0</v>
      </c>
      <c r="G77" s="80" t="str">
        <f t="shared" si="6"/>
        <v>Mid</v>
      </c>
      <c r="H77" s="80" t="s">
        <v>291</v>
      </c>
      <c r="I77" s="80" t="s">
        <v>292</v>
      </c>
      <c r="J77" s="86"/>
      <c r="K77" s="66">
        <v>1500000.0</v>
      </c>
      <c r="L77" s="86"/>
      <c r="M77" s="86"/>
      <c r="N77" s="66">
        <v>2000000.0</v>
      </c>
      <c r="O77" s="86"/>
      <c r="P77" s="66">
        <v>3000000.0</v>
      </c>
      <c r="Q77" s="86"/>
      <c r="R77" s="66">
        <v>3000000.0</v>
      </c>
      <c r="S77" s="66">
        <v>4000000.0</v>
      </c>
      <c r="T77" s="86"/>
      <c r="U77" s="86"/>
      <c r="V77" s="86"/>
      <c r="W77" s="86"/>
      <c r="X77" s="86"/>
      <c r="Y77" s="66"/>
    </row>
    <row r="78">
      <c r="A78" s="60">
        <v>75.0</v>
      </c>
      <c r="B78" s="79" t="s">
        <v>293</v>
      </c>
      <c r="C78" s="69">
        <v>76400.0</v>
      </c>
      <c r="D78" s="80" t="str">
        <f t="shared" si="7"/>
        <v>Micro</v>
      </c>
      <c r="E78" s="79" t="s">
        <v>294</v>
      </c>
      <c r="F78" s="69">
        <v>585700.0</v>
      </c>
      <c r="G78" s="80" t="str">
        <f t="shared" si="6"/>
        <v>Macro</v>
      </c>
      <c r="H78" s="80" t="s">
        <v>46</v>
      </c>
      <c r="I78" s="80" t="s">
        <v>261</v>
      </c>
      <c r="J78" s="86"/>
      <c r="K78" s="66">
        <v>4000000.0</v>
      </c>
      <c r="L78" s="86"/>
      <c r="M78" s="86"/>
      <c r="N78" s="86"/>
      <c r="O78" s="86"/>
      <c r="P78" s="86"/>
      <c r="Q78" s="86"/>
      <c r="R78" s="66">
        <v>1.25E7</v>
      </c>
      <c r="S78" s="86"/>
      <c r="T78" s="86"/>
      <c r="U78" s="86"/>
      <c r="V78" s="66">
        <v>5000000.0</v>
      </c>
      <c r="W78" s="66">
        <v>2500000.0</v>
      </c>
      <c r="X78" s="86"/>
      <c r="Y78" s="66"/>
    </row>
    <row r="79">
      <c r="A79" s="60">
        <v>76.0</v>
      </c>
      <c r="B79" s="79" t="s">
        <v>295</v>
      </c>
      <c r="C79" s="69">
        <v>421000.0</v>
      </c>
      <c r="D79" s="80" t="str">
        <f t="shared" si="7"/>
        <v>Mid</v>
      </c>
      <c r="E79" s="79" t="s">
        <v>296</v>
      </c>
      <c r="F79" s="69">
        <v>83800.0</v>
      </c>
      <c r="G79" s="80" t="str">
        <f t="shared" si="6"/>
        <v>Micro</v>
      </c>
      <c r="H79" s="80" t="s">
        <v>297</v>
      </c>
      <c r="I79" s="80" t="s">
        <v>298</v>
      </c>
      <c r="J79" s="86"/>
      <c r="K79" s="66">
        <v>1.0E7</v>
      </c>
      <c r="L79" s="66">
        <v>1.5E7</v>
      </c>
      <c r="M79" s="66">
        <v>2000000.0</v>
      </c>
      <c r="N79" s="66">
        <v>1.9E7</v>
      </c>
      <c r="O79" s="66">
        <v>2.1E7</v>
      </c>
      <c r="P79" s="66">
        <v>7.0E7</v>
      </c>
      <c r="Q79" s="77" t="s">
        <v>299</v>
      </c>
      <c r="R79" s="66">
        <v>3.5E7</v>
      </c>
      <c r="S79" s="66">
        <v>5.5E7</v>
      </c>
      <c r="T79" s="86"/>
      <c r="U79" s="86"/>
      <c r="V79" s="86"/>
      <c r="W79" s="86"/>
      <c r="X79" s="86"/>
      <c r="Y79" s="66"/>
    </row>
    <row r="80">
      <c r="A80" s="60">
        <v>77.0</v>
      </c>
      <c r="B80" s="79" t="s">
        <v>300</v>
      </c>
      <c r="C80" s="69">
        <v>972000.0</v>
      </c>
      <c r="D80" s="80" t="str">
        <f t="shared" si="7"/>
        <v>Macro</v>
      </c>
      <c r="E80" s="79" t="s">
        <v>300</v>
      </c>
      <c r="F80" s="69">
        <v>482300.0</v>
      </c>
      <c r="G80" s="80" t="str">
        <f t="shared" si="6"/>
        <v>Mid</v>
      </c>
      <c r="H80" s="80" t="s">
        <v>297</v>
      </c>
      <c r="I80" s="80" t="s">
        <v>301</v>
      </c>
      <c r="J80" s="86"/>
      <c r="K80" s="66">
        <v>4000000.0</v>
      </c>
      <c r="L80" s="86"/>
      <c r="M80" s="86"/>
      <c r="N80" s="66">
        <v>8000000.0</v>
      </c>
      <c r="O80" s="86"/>
      <c r="P80" s="66">
        <v>5.0E7</v>
      </c>
      <c r="Q80" s="86"/>
      <c r="R80" s="86"/>
      <c r="S80" s="86"/>
      <c r="T80" s="66">
        <v>2.5E7</v>
      </c>
      <c r="U80" s="66" t="s">
        <v>302</v>
      </c>
      <c r="V80" s="86"/>
      <c r="W80" s="86"/>
      <c r="X80" s="86"/>
      <c r="Y80" s="66"/>
    </row>
    <row r="81">
      <c r="A81" s="60">
        <v>78.0</v>
      </c>
      <c r="B81" s="79" t="s">
        <v>303</v>
      </c>
      <c r="C81" s="69">
        <v>292000.0</v>
      </c>
      <c r="D81" s="80" t="str">
        <f t="shared" si="7"/>
        <v>Mid</v>
      </c>
      <c r="E81" s="79" t="s">
        <v>303</v>
      </c>
      <c r="F81" s="69">
        <v>19300.0</v>
      </c>
      <c r="G81" s="80" t="str">
        <f t="shared" si="6"/>
        <v>Micro</v>
      </c>
      <c r="H81" s="80" t="s">
        <v>197</v>
      </c>
      <c r="I81" s="80" t="s">
        <v>304</v>
      </c>
      <c r="J81" s="86"/>
      <c r="K81" s="66">
        <v>6000000.0</v>
      </c>
      <c r="L81" s="66">
        <v>1.8E7</v>
      </c>
      <c r="M81" s="66">
        <v>8250000.0</v>
      </c>
      <c r="N81" s="66">
        <v>1.5E7</v>
      </c>
      <c r="O81" s="66">
        <v>1.8E7</v>
      </c>
      <c r="P81" s="66">
        <v>2.5E7</v>
      </c>
      <c r="Q81" s="90" t="s">
        <v>299</v>
      </c>
      <c r="R81" s="86"/>
      <c r="S81" s="66">
        <v>2.65E7</v>
      </c>
      <c r="T81" s="66">
        <v>2.0E7</v>
      </c>
      <c r="U81" s="86"/>
      <c r="V81" s="86"/>
      <c r="W81" s="86"/>
      <c r="X81" s="86"/>
      <c r="Y81" s="66"/>
    </row>
    <row r="82">
      <c r="A82" s="60">
        <v>79.0</v>
      </c>
      <c r="B82" s="79" t="s">
        <v>305</v>
      </c>
      <c r="C82" s="69">
        <v>129000.0</v>
      </c>
      <c r="D82" s="80" t="str">
        <f t="shared" si="7"/>
        <v>Mid</v>
      </c>
      <c r="E82" s="79" t="s">
        <v>306</v>
      </c>
      <c r="F82" s="69">
        <v>166400.0</v>
      </c>
      <c r="G82" s="80" t="str">
        <f t="shared" si="6"/>
        <v>Mid</v>
      </c>
      <c r="H82" s="80" t="s">
        <v>83</v>
      </c>
      <c r="I82" s="80" t="s">
        <v>307</v>
      </c>
      <c r="J82" s="86"/>
      <c r="K82" s="66">
        <v>2500000.0</v>
      </c>
      <c r="L82" s="66">
        <v>4500000.0</v>
      </c>
      <c r="M82" s="86"/>
      <c r="N82" s="66">
        <v>4000000.0</v>
      </c>
      <c r="O82" s="66">
        <v>5500000.0</v>
      </c>
      <c r="P82" s="66">
        <v>8500000.0</v>
      </c>
      <c r="Q82" s="66">
        <v>3000000.0</v>
      </c>
      <c r="R82" s="66">
        <v>7500000.0</v>
      </c>
      <c r="S82" s="66">
        <v>3500000.0</v>
      </c>
      <c r="T82" s="86"/>
      <c r="U82" s="72">
        <v>1.0</v>
      </c>
      <c r="V82" s="86"/>
      <c r="W82" s="86"/>
      <c r="X82" s="66" t="s">
        <v>308</v>
      </c>
      <c r="Y82" s="66"/>
    </row>
    <row r="83">
      <c r="A83" s="60">
        <v>80.0</v>
      </c>
      <c r="B83" s="79" t="s">
        <v>309</v>
      </c>
      <c r="C83" s="68">
        <v>1100000.0</v>
      </c>
      <c r="D83" s="80" t="str">
        <f t="shared" si="7"/>
        <v>Mega</v>
      </c>
      <c r="E83" s="79" t="s">
        <v>310</v>
      </c>
      <c r="F83" s="69">
        <v>237800.0</v>
      </c>
      <c r="G83" s="80" t="str">
        <f t="shared" si="6"/>
        <v>Mid</v>
      </c>
      <c r="H83" s="80" t="s">
        <v>146</v>
      </c>
      <c r="I83" s="80" t="s">
        <v>261</v>
      </c>
      <c r="J83" s="86"/>
      <c r="K83" s="66">
        <v>9500000.0</v>
      </c>
      <c r="L83" s="66">
        <v>3.6E7</v>
      </c>
      <c r="M83" s="66">
        <v>500000.0</v>
      </c>
      <c r="N83" s="66">
        <v>3.0E7</v>
      </c>
      <c r="O83" s="66">
        <v>3000000.0</v>
      </c>
      <c r="P83" s="66">
        <v>7.0E7</v>
      </c>
      <c r="Q83" s="86"/>
      <c r="R83" s="66">
        <v>6.0E7</v>
      </c>
      <c r="S83" s="66">
        <v>1.1E8</v>
      </c>
      <c r="T83" s="66">
        <v>2.5E7</v>
      </c>
      <c r="U83" s="66" t="s">
        <v>311</v>
      </c>
      <c r="V83" s="66">
        <v>5000000.0</v>
      </c>
      <c r="W83" s="77" t="s">
        <v>312</v>
      </c>
      <c r="X83" s="66">
        <v>2.7E7</v>
      </c>
      <c r="Y83" s="66"/>
    </row>
    <row r="84">
      <c r="A84" s="60">
        <v>81.0</v>
      </c>
      <c r="B84" s="79" t="s">
        <v>313</v>
      </c>
      <c r="C84" s="62">
        <v>1700000.0</v>
      </c>
      <c r="D84" s="80" t="str">
        <f t="shared" si="7"/>
        <v>Mega</v>
      </c>
      <c r="E84" s="79" t="s">
        <v>314</v>
      </c>
      <c r="F84" s="65">
        <v>6500000.0</v>
      </c>
      <c r="G84" s="80" t="str">
        <f t="shared" si="6"/>
        <v>Mega</v>
      </c>
      <c r="H84" s="80" t="s">
        <v>46</v>
      </c>
      <c r="I84" s="80" t="s">
        <v>315</v>
      </c>
      <c r="J84" s="66">
        <v>1.05E7</v>
      </c>
      <c r="K84" s="66">
        <v>1.3E7</v>
      </c>
      <c r="L84" s="66">
        <v>2.5E7</v>
      </c>
      <c r="M84" s="71" t="s">
        <v>52</v>
      </c>
      <c r="N84" s="66">
        <v>3.0E7</v>
      </c>
      <c r="O84" s="77" t="s">
        <v>316</v>
      </c>
      <c r="P84" s="66">
        <v>3.5E7</v>
      </c>
      <c r="Q84" s="72">
        <v>0.3</v>
      </c>
      <c r="R84" s="66">
        <v>4.5E7</v>
      </c>
      <c r="S84" s="66">
        <v>2.5E7</v>
      </c>
      <c r="T84" s="66">
        <v>3.0E7</v>
      </c>
      <c r="U84" s="72">
        <v>1.0</v>
      </c>
      <c r="V84" s="66">
        <v>1.0E7</v>
      </c>
      <c r="W84" s="66">
        <v>3500000.0</v>
      </c>
      <c r="X84" s="91">
        <v>2.0E7</v>
      </c>
      <c r="Y84" s="66"/>
    </row>
    <row r="85">
      <c r="A85" s="60">
        <v>82.0</v>
      </c>
      <c r="B85" s="79" t="s">
        <v>317</v>
      </c>
      <c r="C85" s="69">
        <v>979000.0</v>
      </c>
      <c r="D85" s="80" t="str">
        <f t="shared" si="7"/>
        <v>Macro</v>
      </c>
      <c r="E85" s="79" t="s">
        <v>317</v>
      </c>
      <c r="F85" s="68">
        <v>2600000.0</v>
      </c>
      <c r="G85" s="80" t="str">
        <f t="shared" si="6"/>
        <v>Mega</v>
      </c>
      <c r="H85" s="80" t="s">
        <v>39</v>
      </c>
      <c r="I85" s="80" t="s">
        <v>318</v>
      </c>
      <c r="J85" s="86"/>
      <c r="K85" s="66">
        <v>1.4E7</v>
      </c>
      <c r="L85" s="66">
        <v>1.7E7</v>
      </c>
      <c r="M85" s="66">
        <v>2000000.0</v>
      </c>
      <c r="N85" s="86"/>
      <c r="O85" s="66">
        <v>2.2E7</v>
      </c>
      <c r="P85" s="66">
        <v>2.4E7</v>
      </c>
      <c r="Q85" s="66">
        <v>1.0E7</v>
      </c>
      <c r="R85" s="66">
        <v>2.7E7</v>
      </c>
      <c r="S85" s="66">
        <v>1.0E7</v>
      </c>
      <c r="T85" s="66">
        <v>1.2E7</v>
      </c>
      <c r="U85" s="72">
        <v>0.5</v>
      </c>
      <c r="V85" s="72">
        <v>0.2</v>
      </c>
      <c r="W85" s="86"/>
      <c r="X85" s="66">
        <v>1.2E7</v>
      </c>
      <c r="Y85" s="66"/>
    </row>
    <row r="86">
      <c r="A86" s="60">
        <v>83.0</v>
      </c>
      <c r="B86" s="79" t="s">
        <v>319</v>
      </c>
      <c r="C86" s="69">
        <v>238000.0</v>
      </c>
      <c r="D86" s="80" t="str">
        <f t="shared" si="7"/>
        <v>Mid</v>
      </c>
      <c r="E86" s="79" t="s">
        <v>320</v>
      </c>
      <c r="F86" s="69">
        <v>473700.0</v>
      </c>
      <c r="G86" s="80" t="str">
        <f t="shared" si="6"/>
        <v>Mid</v>
      </c>
      <c r="H86" s="80" t="s">
        <v>321</v>
      </c>
      <c r="I86" s="80" t="s">
        <v>322</v>
      </c>
      <c r="J86" s="86"/>
      <c r="K86" s="66">
        <v>5000000.0</v>
      </c>
      <c r="L86" s="66">
        <v>8000000.0</v>
      </c>
      <c r="M86" s="86"/>
      <c r="N86" s="66">
        <v>1.0E7</v>
      </c>
      <c r="O86" s="66">
        <v>1.1E7</v>
      </c>
      <c r="P86" s="66">
        <v>2.0E7</v>
      </c>
      <c r="Q86" s="86"/>
      <c r="R86" s="66">
        <v>2.0E7</v>
      </c>
      <c r="S86" s="86"/>
      <c r="T86" s="66">
        <v>2.0E7</v>
      </c>
      <c r="U86" s="66" t="s">
        <v>323</v>
      </c>
      <c r="V86" s="72">
        <v>0.25</v>
      </c>
      <c r="W86" s="72">
        <v>0.25</v>
      </c>
      <c r="X86" s="86"/>
      <c r="Y86" s="66"/>
    </row>
    <row r="87">
      <c r="A87" s="60">
        <v>84.0</v>
      </c>
      <c r="B87" s="79" t="s">
        <v>324</v>
      </c>
      <c r="C87" s="69">
        <v>259000.0</v>
      </c>
      <c r="D87" s="80" t="str">
        <f t="shared" si="7"/>
        <v>Mid</v>
      </c>
      <c r="E87" s="79" t="s">
        <v>324</v>
      </c>
      <c r="F87" s="68">
        <v>1100000.0</v>
      </c>
      <c r="G87" s="80" t="str">
        <f t="shared" si="6"/>
        <v>Mega</v>
      </c>
      <c r="H87" s="80" t="s">
        <v>39</v>
      </c>
      <c r="I87" s="80" t="s">
        <v>80</v>
      </c>
      <c r="J87" s="86"/>
      <c r="K87" s="66">
        <v>5500000.0</v>
      </c>
      <c r="L87" s="66">
        <v>6500000.0</v>
      </c>
      <c r="M87" s="86"/>
      <c r="N87" s="66">
        <v>5000000.0</v>
      </c>
      <c r="O87" s="86"/>
      <c r="P87" s="66">
        <v>9000000.0</v>
      </c>
      <c r="Q87" s="86"/>
      <c r="R87" s="66">
        <v>2.5E7</v>
      </c>
      <c r="S87" s="86"/>
      <c r="T87" s="66">
        <v>1.8E7</v>
      </c>
      <c r="U87" s="66" t="s">
        <v>325</v>
      </c>
      <c r="V87" s="72">
        <v>0.3</v>
      </c>
      <c r="W87" s="66">
        <v>3500000.0</v>
      </c>
      <c r="X87" s="86"/>
      <c r="Y87" s="66"/>
    </row>
    <row r="88">
      <c r="A88" s="60">
        <v>85.0</v>
      </c>
      <c r="B88" s="79" t="s">
        <v>326</v>
      </c>
      <c r="C88" s="69">
        <v>557000.0</v>
      </c>
      <c r="D88" s="80" t="str">
        <f t="shared" si="7"/>
        <v>Macro</v>
      </c>
      <c r="E88" s="79" t="s">
        <v>327</v>
      </c>
      <c r="F88" s="69">
        <v>683200.0</v>
      </c>
      <c r="G88" s="80" t="str">
        <f t="shared" si="6"/>
        <v>Macro</v>
      </c>
      <c r="H88" s="80" t="s">
        <v>50</v>
      </c>
      <c r="I88" s="80" t="s">
        <v>80</v>
      </c>
      <c r="J88" s="66">
        <v>2000000.0</v>
      </c>
      <c r="K88" s="66">
        <v>2500000.0</v>
      </c>
      <c r="L88" s="66">
        <v>1.4E7</v>
      </c>
      <c r="M88" s="86"/>
      <c r="N88" s="66">
        <v>7000000.0</v>
      </c>
      <c r="O88" s="66">
        <v>9500000.0</v>
      </c>
      <c r="P88" s="66">
        <v>1.1E7</v>
      </c>
      <c r="Q88" s="66">
        <v>3000000.0</v>
      </c>
      <c r="R88" s="66">
        <v>9000000.0</v>
      </c>
      <c r="S88" s="66">
        <v>1.95E7</v>
      </c>
      <c r="T88" s="86"/>
      <c r="U88" s="66" t="s">
        <v>328</v>
      </c>
      <c r="V88" s="66" t="s">
        <v>329</v>
      </c>
      <c r="W88" s="86"/>
      <c r="X88" s="86"/>
      <c r="Y88" s="66"/>
    </row>
    <row r="89">
      <c r="A89" s="60">
        <v>86.0</v>
      </c>
      <c r="B89" s="79" t="s">
        <v>330</v>
      </c>
      <c r="C89" s="69">
        <v>234000.0</v>
      </c>
      <c r="D89" s="80" t="str">
        <f t="shared" si="7"/>
        <v>Mid</v>
      </c>
      <c r="E89" s="79" t="s">
        <v>331</v>
      </c>
      <c r="F89" s="69">
        <v>130700.0</v>
      </c>
      <c r="G89" s="80" t="str">
        <f t="shared" si="6"/>
        <v>Mid</v>
      </c>
      <c r="H89" s="80" t="s">
        <v>83</v>
      </c>
      <c r="I89" s="80" t="s">
        <v>96</v>
      </c>
      <c r="J89" s="86"/>
      <c r="K89" s="86"/>
      <c r="L89" s="86"/>
      <c r="M89" s="86"/>
      <c r="N89" s="86"/>
      <c r="O89" s="86"/>
      <c r="P89" s="66">
        <v>1700000.0</v>
      </c>
      <c r="Q89" s="86"/>
      <c r="R89" s="86"/>
      <c r="S89" s="86"/>
      <c r="T89" s="86"/>
      <c r="U89" s="86"/>
      <c r="V89" s="86"/>
      <c r="W89" s="86"/>
      <c r="X89" s="86"/>
      <c r="Y89" s="66"/>
    </row>
    <row r="90">
      <c r="A90" s="60">
        <v>87.0</v>
      </c>
      <c r="B90" s="79" t="s">
        <v>332</v>
      </c>
      <c r="C90" s="68">
        <v>8300000.0</v>
      </c>
      <c r="D90" s="80" t="str">
        <f t="shared" si="7"/>
        <v>Mega</v>
      </c>
      <c r="E90" s="79" t="s">
        <v>332</v>
      </c>
      <c r="F90" s="68">
        <v>3300000.0</v>
      </c>
      <c r="G90" s="80" t="str">
        <f t="shared" si="6"/>
        <v>Mega</v>
      </c>
      <c r="H90" s="80" t="s">
        <v>321</v>
      </c>
      <c r="I90" s="80" t="s">
        <v>80</v>
      </c>
      <c r="J90" s="86"/>
      <c r="K90" s="66">
        <v>1.5E7</v>
      </c>
      <c r="L90" s="66">
        <v>3.5E7</v>
      </c>
      <c r="M90" s="86"/>
      <c r="N90" s="66">
        <v>5.0E7</v>
      </c>
      <c r="O90" s="66">
        <v>7.0E7</v>
      </c>
      <c r="P90" s="66">
        <v>1.0E8</v>
      </c>
      <c r="Q90" s="86"/>
      <c r="R90" s="66">
        <v>1.0E8</v>
      </c>
      <c r="S90" s="86"/>
      <c r="T90" s="66">
        <v>1.0E8</v>
      </c>
      <c r="U90" s="86"/>
      <c r="V90" s="86"/>
      <c r="W90" s="86"/>
      <c r="X90" s="86"/>
      <c r="Y90" s="66"/>
    </row>
    <row r="91">
      <c r="A91" s="60">
        <v>88.0</v>
      </c>
      <c r="B91" s="79" t="s">
        <v>333</v>
      </c>
      <c r="C91" s="69">
        <v>78000.0</v>
      </c>
      <c r="D91" s="80" t="str">
        <f t="shared" si="7"/>
        <v>Micro</v>
      </c>
      <c r="E91" s="79" t="s">
        <v>333</v>
      </c>
      <c r="F91" s="69">
        <v>13000.0</v>
      </c>
      <c r="G91" s="80" t="str">
        <f t="shared" si="6"/>
        <v>Micro</v>
      </c>
      <c r="H91" s="80" t="s">
        <v>50</v>
      </c>
      <c r="I91" s="80" t="s">
        <v>334</v>
      </c>
      <c r="J91" s="76"/>
      <c r="K91" s="76"/>
      <c r="L91" s="76"/>
      <c r="M91" s="71" t="s">
        <v>52</v>
      </c>
      <c r="N91" s="76"/>
      <c r="O91" s="76"/>
      <c r="P91" s="66">
        <v>1000000.0</v>
      </c>
      <c r="Q91" s="71" t="s">
        <v>52</v>
      </c>
      <c r="R91" s="71" t="s">
        <v>52</v>
      </c>
      <c r="S91" s="71" t="s">
        <v>52</v>
      </c>
      <c r="T91" s="76"/>
      <c r="U91" s="66">
        <v>500000.0</v>
      </c>
      <c r="V91" s="66">
        <v>500000.0</v>
      </c>
      <c r="W91" s="71" t="s">
        <v>52</v>
      </c>
      <c r="X91" s="66">
        <v>1500000.0</v>
      </c>
      <c r="Y91" s="86"/>
    </row>
    <row r="92">
      <c r="A92" s="60">
        <v>89.0</v>
      </c>
      <c r="B92" s="79" t="s">
        <v>335</v>
      </c>
      <c r="C92" s="62">
        <v>1800000.0</v>
      </c>
      <c r="D92" s="80" t="str">
        <f t="shared" si="7"/>
        <v>Mega</v>
      </c>
      <c r="E92" s="79" t="s">
        <v>336</v>
      </c>
      <c r="F92" s="65">
        <v>7300000.0</v>
      </c>
      <c r="G92" s="80" t="str">
        <f t="shared" si="6"/>
        <v>Mega</v>
      </c>
      <c r="H92" s="80" t="s">
        <v>39</v>
      </c>
      <c r="I92" s="80" t="s">
        <v>337</v>
      </c>
      <c r="J92" s="86"/>
      <c r="K92" s="66">
        <v>1.5E7</v>
      </c>
      <c r="L92" s="66">
        <v>2.5E7</v>
      </c>
      <c r="M92" s="71" t="s">
        <v>52</v>
      </c>
      <c r="N92" s="66">
        <v>2.0E7</v>
      </c>
      <c r="O92" s="86"/>
      <c r="P92" s="66">
        <v>4.0E7</v>
      </c>
      <c r="Q92" s="72">
        <v>0.5</v>
      </c>
      <c r="R92" s="66">
        <v>3.0E7</v>
      </c>
      <c r="S92" s="66">
        <v>6.0E7</v>
      </c>
      <c r="T92" s="91">
        <v>3.5E7</v>
      </c>
      <c r="U92" s="72">
        <v>1.0</v>
      </c>
      <c r="V92" s="72">
        <v>0.3</v>
      </c>
      <c r="W92" s="86"/>
      <c r="X92" s="66" t="s">
        <v>338</v>
      </c>
      <c r="Y92" s="86"/>
    </row>
    <row r="93">
      <c r="A93" s="60">
        <v>90.0</v>
      </c>
      <c r="B93" s="79" t="s">
        <v>339</v>
      </c>
      <c r="C93" s="62">
        <v>1400000.0</v>
      </c>
      <c r="D93" s="80" t="str">
        <f t="shared" si="7"/>
        <v>Mega</v>
      </c>
      <c r="E93" s="79" t="s">
        <v>339</v>
      </c>
      <c r="F93" s="65">
        <v>2800000.0</v>
      </c>
      <c r="G93" s="80" t="str">
        <f t="shared" si="6"/>
        <v>Mega</v>
      </c>
      <c r="H93" s="80" t="s">
        <v>39</v>
      </c>
      <c r="I93" s="80" t="s">
        <v>340</v>
      </c>
      <c r="J93" s="86"/>
      <c r="K93" s="66">
        <v>5000000.0</v>
      </c>
      <c r="L93" s="86"/>
      <c r="M93" s="71" t="s">
        <v>52</v>
      </c>
      <c r="N93" s="66">
        <v>4.0E7</v>
      </c>
      <c r="O93" s="86"/>
      <c r="P93" s="66">
        <v>5.5E7</v>
      </c>
      <c r="Q93" s="66">
        <v>5000000.0</v>
      </c>
      <c r="R93" s="86"/>
      <c r="S93" s="86"/>
      <c r="T93" s="86"/>
      <c r="U93" s="86"/>
      <c r="V93" s="86"/>
      <c r="W93" s="71" t="s">
        <v>52</v>
      </c>
      <c r="X93" s="86"/>
      <c r="Y93" s="86"/>
    </row>
    <row r="94">
      <c r="A94" s="60">
        <v>91.0</v>
      </c>
      <c r="B94" s="79" t="s">
        <v>341</v>
      </c>
      <c r="C94" s="62">
        <v>1000000.0</v>
      </c>
      <c r="D94" s="80" t="str">
        <f t="shared" si="7"/>
        <v>Macro</v>
      </c>
      <c r="E94" s="79" t="s">
        <v>342</v>
      </c>
      <c r="F94" s="69">
        <v>145000.0</v>
      </c>
      <c r="G94" s="80" t="str">
        <f t="shared" si="6"/>
        <v>Mid</v>
      </c>
      <c r="H94" s="80" t="s">
        <v>39</v>
      </c>
      <c r="I94" s="80" t="s">
        <v>343</v>
      </c>
      <c r="J94" s="86"/>
      <c r="K94" s="66">
        <v>4000000.0</v>
      </c>
      <c r="L94" s="86"/>
      <c r="M94" s="86"/>
      <c r="N94" s="66">
        <v>3.0E7</v>
      </c>
      <c r="O94" s="86"/>
      <c r="P94" s="66">
        <v>4.0E7</v>
      </c>
      <c r="Q94" s="66">
        <v>5000000.0</v>
      </c>
      <c r="R94" s="86"/>
      <c r="S94" s="86"/>
      <c r="T94" s="86"/>
      <c r="U94" s="86"/>
      <c r="V94" s="86"/>
      <c r="W94" s="71" t="s">
        <v>52</v>
      </c>
      <c r="X94" s="86"/>
      <c r="Y94" s="86"/>
    </row>
    <row r="95">
      <c r="A95" s="60">
        <v>92.0</v>
      </c>
      <c r="B95" s="79" t="s">
        <v>344</v>
      </c>
      <c r="C95" s="69">
        <v>288000.0</v>
      </c>
      <c r="D95" s="80" t="str">
        <f t="shared" si="7"/>
        <v>Mid</v>
      </c>
      <c r="E95" s="79" t="s">
        <v>344</v>
      </c>
      <c r="F95" s="69">
        <v>393000.0</v>
      </c>
      <c r="G95" s="80" t="str">
        <f t="shared" si="6"/>
        <v>Mid</v>
      </c>
      <c r="H95" s="80" t="s">
        <v>39</v>
      </c>
      <c r="I95" s="80" t="s">
        <v>345</v>
      </c>
      <c r="J95" s="66">
        <v>1000000.0</v>
      </c>
      <c r="K95" s="66">
        <v>1500000.0</v>
      </c>
      <c r="L95" s="66">
        <v>3500000.0</v>
      </c>
      <c r="M95" s="66">
        <v>1000000.0</v>
      </c>
      <c r="N95" s="66">
        <v>3500000.0</v>
      </c>
      <c r="O95" s="66">
        <v>4000000.0</v>
      </c>
      <c r="P95" s="66">
        <v>5900000.0</v>
      </c>
      <c r="Q95" s="66">
        <v>1000000.0</v>
      </c>
      <c r="R95" s="66">
        <v>3500000.0</v>
      </c>
      <c r="S95" s="66">
        <v>8000000.0</v>
      </c>
      <c r="T95" s="86"/>
      <c r="U95" s="66">
        <v>1000000.0</v>
      </c>
      <c r="V95" s="66" t="s">
        <v>346</v>
      </c>
      <c r="W95" s="66" t="s">
        <v>347</v>
      </c>
      <c r="X95" s="66" t="s">
        <v>348</v>
      </c>
      <c r="Y95" s="86"/>
    </row>
    <row r="96">
      <c r="A96" s="60">
        <v>93.0</v>
      </c>
      <c r="B96" s="79" t="s">
        <v>349</v>
      </c>
      <c r="C96" s="69">
        <v>237000.0</v>
      </c>
      <c r="D96" s="80" t="str">
        <f t="shared" si="7"/>
        <v>Mid</v>
      </c>
      <c r="E96" s="79" t="s">
        <v>350</v>
      </c>
      <c r="F96" s="65">
        <v>1100000.0</v>
      </c>
      <c r="G96" s="80" t="str">
        <f t="shared" si="6"/>
        <v>Mega</v>
      </c>
      <c r="H96" s="80" t="s">
        <v>39</v>
      </c>
      <c r="I96" s="80" t="s">
        <v>351</v>
      </c>
      <c r="J96" s="66">
        <v>3500000.0</v>
      </c>
      <c r="K96" s="66">
        <v>3500000.0</v>
      </c>
      <c r="L96" s="66">
        <v>6500000.0</v>
      </c>
      <c r="M96" s="66">
        <v>1000000.0</v>
      </c>
      <c r="N96" s="66">
        <v>6000000.0</v>
      </c>
      <c r="O96" s="66" t="s">
        <v>352</v>
      </c>
      <c r="P96" s="66" t="s">
        <v>353</v>
      </c>
      <c r="Q96" s="66">
        <v>5000000.0</v>
      </c>
      <c r="R96" s="66" t="s">
        <v>354</v>
      </c>
      <c r="S96" s="66">
        <v>2.0E7</v>
      </c>
      <c r="T96" s="66">
        <v>5000000.0</v>
      </c>
      <c r="U96" s="83">
        <v>7000000.0</v>
      </c>
      <c r="V96" s="4"/>
      <c r="W96" s="86"/>
      <c r="X96" s="66">
        <v>7000000.0</v>
      </c>
      <c r="Y96" s="86"/>
    </row>
    <row r="97">
      <c r="A97" s="60">
        <v>94.0</v>
      </c>
      <c r="B97" s="79" t="s">
        <v>355</v>
      </c>
      <c r="C97" s="69">
        <v>181000.0</v>
      </c>
      <c r="D97" s="80" t="str">
        <f t="shared" si="7"/>
        <v>Mid</v>
      </c>
      <c r="E97" s="79" t="s">
        <v>355</v>
      </c>
      <c r="F97" s="69">
        <v>506000.0</v>
      </c>
      <c r="G97" s="80" t="str">
        <f t="shared" si="6"/>
        <v>Macro</v>
      </c>
      <c r="H97" s="80" t="s">
        <v>50</v>
      </c>
      <c r="I97" s="80" t="s">
        <v>356</v>
      </c>
      <c r="J97" s="86"/>
      <c r="K97" s="66">
        <v>1000000.0</v>
      </c>
      <c r="L97" s="66">
        <v>3000000.0</v>
      </c>
      <c r="M97" s="71" t="s">
        <v>52</v>
      </c>
      <c r="N97" s="66">
        <v>2500000.0</v>
      </c>
      <c r="O97" s="66">
        <v>3000000.0</v>
      </c>
      <c r="P97" s="66">
        <v>5000000.0</v>
      </c>
      <c r="Q97" s="71" t="s">
        <v>52</v>
      </c>
      <c r="R97" s="66">
        <v>4000000.0</v>
      </c>
      <c r="S97" s="92">
        <v>5000000.0</v>
      </c>
      <c r="T97" s="66">
        <v>7000000.0</v>
      </c>
      <c r="U97" s="66">
        <v>1000000.0</v>
      </c>
      <c r="V97" s="86"/>
      <c r="W97" s="71" t="s">
        <v>52</v>
      </c>
      <c r="X97" s="66">
        <v>2.0E7</v>
      </c>
      <c r="Y97" s="86"/>
    </row>
    <row r="98">
      <c r="A98" s="60">
        <v>95.0</v>
      </c>
      <c r="B98" s="79" t="s">
        <v>357</v>
      </c>
      <c r="C98" s="69">
        <v>175000.0</v>
      </c>
      <c r="D98" s="80" t="str">
        <f t="shared" si="7"/>
        <v>Mid</v>
      </c>
      <c r="E98" s="79" t="s">
        <v>358</v>
      </c>
      <c r="F98" s="65">
        <v>2500000.0</v>
      </c>
      <c r="G98" s="80" t="str">
        <f t="shared" si="6"/>
        <v>Mega</v>
      </c>
      <c r="H98" s="80" t="s">
        <v>39</v>
      </c>
      <c r="I98" s="80" t="s">
        <v>359</v>
      </c>
      <c r="J98" s="66">
        <v>500000.0</v>
      </c>
      <c r="K98" s="66">
        <v>1000000.0</v>
      </c>
      <c r="L98" s="66">
        <v>2500000.0</v>
      </c>
      <c r="M98" s="66">
        <v>500000.0</v>
      </c>
      <c r="N98" s="66">
        <v>7000000.0</v>
      </c>
      <c r="O98" s="66">
        <v>8000000.0</v>
      </c>
      <c r="P98" s="66">
        <v>1.0E7</v>
      </c>
      <c r="Q98" s="66">
        <v>1500000.0</v>
      </c>
      <c r="R98" s="66">
        <v>2.5E7</v>
      </c>
      <c r="S98" s="66">
        <v>3.0E7</v>
      </c>
      <c r="T98" s="86"/>
      <c r="U98" s="66">
        <v>1.25E7</v>
      </c>
      <c r="V98" s="66">
        <v>2000000.0</v>
      </c>
      <c r="W98" s="66">
        <v>1500000.0</v>
      </c>
      <c r="X98" s="66">
        <v>1.0000009E7</v>
      </c>
      <c r="Y98" s="86"/>
    </row>
    <row r="99">
      <c r="A99" s="60">
        <v>96.0</v>
      </c>
      <c r="B99" s="79" t="s">
        <v>360</v>
      </c>
      <c r="C99" s="69">
        <v>100000.0</v>
      </c>
      <c r="D99" s="80" t="str">
        <f t="shared" si="7"/>
        <v>Micro</v>
      </c>
      <c r="E99" s="79" t="s">
        <v>360</v>
      </c>
      <c r="F99" s="69">
        <v>409000.0</v>
      </c>
      <c r="G99" s="80" t="str">
        <f t="shared" si="6"/>
        <v>Mid</v>
      </c>
      <c r="H99" s="80" t="s">
        <v>361</v>
      </c>
      <c r="I99" s="80" t="s">
        <v>362</v>
      </c>
      <c r="J99" s="66">
        <v>750000.0</v>
      </c>
      <c r="K99" s="66">
        <v>900000.0</v>
      </c>
      <c r="L99" s="86"/>
      <c r="M99" s="66">
        <v>50000.0</v>
      </c>
      <c r="N99" s="66">
        <v>1000000.0</v>
      </c>
      <c r="O99" s="86"/>
      <c r="P99" s="66">
        <v>1500000.0</v>
      </c>
      <c r="Q99" s="71" t="s">
        <v>52</v>
      </c>
      <c r="R99" s="66">
        <v>4000000.0</v>
      </c>
      <c r="S99" s="66">
        <v>4500000.0</v>
      </c>
      <c r="T99" s="86"/>
      <c r="U99" s="86"/>
      <c r="V99" s="86"/>
      <c r="W99" s="66">
        <v>50000.0</v>
      </c>
      <c r="X99" s="86"/>
      <c r="Y99" s="86"/>
    </row>
    <row r="100">
      <c r="A100" s="60">
        <v>97.0</v>
      </c>
      <c r="B100" s="79" t="s">
        <v>363</v>
      </c>
      <c r="C100" s="69">
        <v>238000.0</v>
      </c>
      <c r="D100" s="80" t="str">
        <f t="shared" si="7"/>
        <v>Mid</v>
      </c>
      <c r="E100" s="79" t="s">
        <v>364</v>
      </c>
      <c r="F100" s="65">
        <v>2700000.0</v>
      </c>
      <c r="G100" s="80" t="str">
        <f t="shared" si="6"/>
        <v>Mega</v>
      </c>
      <c r="H100" s="80" t="s">
        <v>39</v>
      </c>
      <c r="I100" s="80" t="s">
        <v>365</v>
      </c>
      <c r="J100" s="86"/>
      <c r="K100" s="66">
        <v>5000000.0</v>
      </c>
      <c r="L100" s="66">
        <v>1.3E7</v>
      </c>
      <c r="M100" s="66" t="s">
        <v>366</v>
      </c>
      <c r="N100" s="66">
        <v>9000000.0</v>
      </c>
      <c r="O100" s="91">
        <v>2.5E7</v>
      </c>
      <c r="P100" s="66">
        <v>1.7E7</v>
      </c>
      <c r="Q100" s="93">
        <v>0.5</v>
      </c>
      <c r="R100" s="66">
        <v>3.0E7</v>
      </c>
      <c r="S100" s="91">
        <v>2.5E7</v>
      </c>
      <c r="T100" s="91">
        <v>3.5E7</v>
      </c>
      <c r="U100" s="72">
        <v>1.0</v>
      </c>
      <c r="V100" s="72">
        <v>0.3</v>
      </c>
      <c r="W100" s="72">
        <v>0.3</v>
      </c>
      <c r="X100" s="66">
        <v>1.5E7</v>
      </c>
      <c r="Y100" s="86"/>
    </row>
    <row r="101">
      <c r="A101" s="60">
        <v>98.0</v>
      </c>
      <c r="B101" s="79" t="s">
        <v>367</v>
      </c>
      <c r="C101" s="69">
        <v>60000.0</v>
      </c>
      <c r="D101" s="80" t="str">
        <f t="shared" si="7"/>
        <v>Micro</v>
      </c>
      <c r="E101" s="79" t="s">
        <v>367</v>
      </c>
      <c r="F101" s="69">
        <v>249000.0</v>
      </c>
      <c r="G101" s="80" t="str">
        <f t="shared" si="6"/>
        <v>Mid</v>
      </c>
      <c r="H101" s="80" t="s">
        <v>39</v>
      </c>
      <c r="I101" s="80" t="s">
        <v>368</v>
      </c>
      <c r="J101" s="66">
        <v>850000.0</v>
      </c>
      <c r="K101" s="66">
        <v>450000.0</v>
      </c>
      <c r="L101" s="66">
        <v>800000.0</v>
      </c>
      <c r="M101" s="71" t="s">
        <v>52</v>
      </c>
      <c r="N101" s="66">
        <v>600000.0</v>
      </c>
      <c r="O101" s="66">
        <v>900000.0</v>
      </c>
      <c r="P101" s="66">
        <v>2300000.0</v>
      </c>
      <c r="Q101" s="71" t="s">
        <v>52</v>
      </c>
      <c r="R101" s="86"/>
      <c r="S101" s="66">
        <v>2800000.0</v>
      </c>
      <c r="T101" s="86"/>
      <c r="U101" s="66">
        <v>500000.0</v>
      </c>
      <c r="V101" s="86"/>
      <c r="W101" s="71" t="s">
        <v>52</v>
      </c>
      <c r="X101" s="66">
        <v>500000.0</v>
      </c>
      <c r="Y101" s="86"/>
    </row>
    <row r="102">
      <c r="A102" s="60">
        <v>99.0</v>
      </c>
      <c r="B102" s="79" t="s">
        <v>369</v>
      </c>
      <c r="C102" s="69">
        <v>34900.0</v>
      </c>
      <c r="D102" s="80" t="str">
        <f t="shared" si="7"/>
        <v>Micro</v>
      </c>
      <c r="E102" s="79" t="s">
        <v>369</v>
      </c>
      <c r="F102" s="69">
        <v>141000.0</v>
      </c>
      <c r="G102" s="80" t="str">
        <f t="shared" si="6"/>
        <v>Mid</v>
      </c>
      <c r="H102" s="80" t="s">
        <v>39</v>
      </c>
      <c r="I102" s="80" t="s">
        <v>370</v>
      </c>
      <c r="J102" s="86"/>
      <c r="K102" s="66">
        <v>2000000.0</v>
      </c>
      <c r="L102" s="66">
        <v>3000000.0</v>
      </c>
      <c r="M102" s="66">
        <v>500000.0</v>
      </c>
      <c r="N102" s="66">
        <v>2000000.0</v>
      </c>
      <c r="O102" s="86"/>
      <c r="P102" s="66">
        <v>4000000.0</v>
      </c>
      <c r="Q102" s="71" t="s">
        <v>52</v>
      </c>
      <c r="R102" s="66">
        <v>5000000.0</v>
      </c>
      <c r="S102" s="66">
        <v>8000000.0</v>
      </c>
      <c r="T102" s="86"/>
      <c r="U102" s="66">
        <v>3000000.0</v>
      </c>
      <c r="V102" s="71" t="s">
        <v>52</v>
      </c>
      <c r="W102" s="71" t="s">
        <v>52</v>
      </c>
      <c r="X102" s="66">
        <v>1000000.0</v>
      </c>
      <c r="Y102" s="94"/>
    </row>
    <row r="103">
      <c r="A103" s="60">
        <v>100.0</v>
      </c>
      <c r="B103" s="79" t="s">
        <v>371</v>
      </c>
      <c r="C103" s="62">
        <v>1300000.0</v>
      </c>
      <c r="D103" s="80" t="str">
        <f t="shared" si="7"/>
        <v>Mega</v>
      </c>
      <c r="E103" s="79" t="s">
        <v>371</v>
      </c>
      <c r="F103" s="65">
        <v>3300000.0</v>
      </c>
      <c r="G103" s="80" t="str">
        <f t="shared" si="6"/>
        <v>Mega</v>
      </c>
      <c r="H103" s="80" t="s">
        <v>372</v>
      </c>
      <c r="I103" s="80" t="s">
        <v>373</v>
      </c>
      <c r="J103" s="66">
        <v>1000000.0</v>
      </c>
      <c r="K103" s="66">
        <v>7000000.0</v>
      </c>
      <c r="L103" s="76"/>
      <c r="M103" s="71" t="s">
        <v>52</v>
      </c>
      <c r="N103" s="66">
        <v>8000000.0</v>
      </c>
      <c r="O103" s="76"/>
      <c r="P103" s="66">
        <v>1.0E7</v>
      </c>
      <c r="Q103" s="71" t="s">
        <v>52</v>
      </c>
      <c r="R103" s="66">
        <v>1.5E7</v>
      </c>
      <c r="S103" s="66">
        <v>2.0E7</v>
      </c>
      <c r="T103" s="76"/>
      <c r="U103" s="71" t="s">
        <v>52</v>
      </c>
      <c r="V103" s="71" t="s">
        <v>52</v>
      </c>
      <c r="W103" s="66">
        <v>2000000.0</v>
      </c>
      <c r="X103" s="66">
        <v>1000000.0</v>
      </c>
      <c r="Y103" s="95"/>
    </row>
    <row r="104">
      <c r="A104" s="60">
        <v>101.0</v>
      </c>
      <c r="B104" s="79" t="s">
        <v>374</v>
      </c>
      <c r="C104" s="69">
        <v>14000.0</v>
      </c>
      <c r="D104" s="80" t="str">
        <f t="shared" si="7"/>
        <v>Micro</v>
      </c>
      <c r="E104" s="79" t="s">
        <v>374</v>
      </c>
      <c r="F104" s="69">
        <v>261500.0</v>
      </c>
      <c r="G104" s="80" t="str">
        <f t="shared" si="6"/>
        <v>Mid</v>
      </c>
      <c r="H104" s="80" t="s">
        <v>39</v>
      </c>
      <c r="I104" s="80" t="s">
        <v>279</v>
      </c>
      <c r="J104" s="86"/>
      <c r="K104" s="66">
        <v>200000.0</v>
      </c>
      <c r="L104" s="90" t="s">
        <v>375</v>
      </c>
      <c r="M104" s="86"/>
      <c r="N104" s="66" t="s">
        <v>376</v>
      </c>
      <c r="O104" s="86"/>
      <c r="P104" s="66" t="s">
        <v>377</v>
      </c>
      <c r="Q104" s="86"/>
      <c r="R104" s="66">
        <v>2500000.0</v>
      </c>
      <c r="S104" s="86"/>
      <c r="T104" s="86"/>
      <c r="U104" s="86"/>
      <c r="V104" s="86"/>
      <c r="W104" s="86"/>
      <c r="X104" s="66" t="s">
        <v>378</v>
      </c>
      <c r="Y104" s="80"/>
    </row>
    <row r="105">
      <c r="A105" s="60">
        <v>102.0</v>
      </c>
      <c r="B105" s="61" t="s">
        <v>379</v>
      </c>
      <c r="C105" s="69">
        <v>43000.0</v>
      </c>
      <c r="D105" s="80" t="str">
        <f t="shared" si="7"/>
        <v>Micro</v>
      </c>
      <c r="E105" s="79" t="s">
        <v>379</v>
      </c>
      <c r="F105" s="69">
        <v>147100.0</v>
      </c>
      <c r="G105" s="80" t="str">
        <f t="shared" si="6"/>
        <v>Mid</v>
      </c>
      <c r="H105" s="80" t="s">
        <v>380</v>
      </c>
      <c r="I105" s="80" t="s">
        <v>279</v>
      </c>
      <c r="J105" s="86"/>
      <c r="K105" s="66">
        <v>500000.0</v>
      </c>
      <c r="L105" s="86"/>
      <c r="M105" s="86"/>
      <c r="N105" s="86"/>
      <c r="O105" s="66">
        <v>2000000.0</v>
      </c>
      <c r="P105" s="66">
        <v>3000000.0</v>
      </c>
      <c r="Q105" s="86"/>
      <c r="R105" s="66">
        <v>5000000.0</v>
      </c>
      <c r="S105" s="66">
        <v>6000000.0</v>
      </c>
      <c r="T105" s="86"/>
      <c r="U105" s="86"/>
      <c r="V105" s="86"/>
      <c r="W105" s="86"/>
      <c r="X105" s="86"/>
      <c r="Y105" s="66"/>
    </row>
    <row r="106">
      <c r="A106" s="60">
        <v>103.0</v>
      </c>
      <c r="B106" s="79" t="s">
        <v>381</v>
      </c>
      <c r="C106" s="69">
        <v>52000.0</v>
      </c>
      <c r="D106" s="80" t="str">
        <f t="shared" si="7"/>
        <v>Micro</v>
      </c>
      <c r="E106" s="79" t="s">
        <v>381</v>
      </c>
      <c r="F106" s="69">
        <v>153600.0</v>
      </c>
      <c r="G106" s="80" t="str">
        <f t="shared" si="6"/>
        <v>Mid</v>
      </c>
      <c r="H106" s="80" t="s">
        <v>83</v>
      </c>
      <c r="I106" s="80" t="s">
        <v>279</v>
      </c>
      <c r="J106" s="86"/>
      <c r="K106" s="86"/>
      <c r="L106" s="86"/>
      <c r="M106" s="86"/>
      <c r="N106" s="86"/>
      <c r="O106" s="86"/>
      <c r="P106" s="86"/>
      <c r="Q106" s="86"/>
      <c r="R106" s="66" t="s">
        <v>382</v>
      </c>
      <c r="S106" s="86"/>
      <c r="T106" s="86"/>
      <c r="U106" s="66">
        <v>150000.0</v>
      </c>
      <c r="V106" s="86"/>
      <c r="W106" s="86"/>
      <c r="X106" s="86"/>
      <c r="Y106" s="66"/>
    </row>
    <row r="107">
      <c r="A107" s="60">
        <v>104.0</v>
      </c>
      <c r="B107" s="79" t="s">
        <v>383</v>
      </c>
      <c r="C107" s="68">
        <v>1000000.0</v>
      </c>
      <c r="D107" s="80" t="str">
        <f t="shared" si="7"/>
        <v>Macro</v>
      </c>
      <c r="E107" s="79" t="s">
        <v>384</v>
      </c>
      <c r="F107" s="68">
        <v>1000000.0</v>
      </c>
      <c r="G107" s="80" t="str">
        <f t="shared" si="6"/>
        <v>Macro</v>
      </c>
      <c r="H107" s="80" t="s">
        <v>39</v>
      </c>
      <c r="I107" s="80" t="s">
        <v>385</v>
      </c>
      <c r="J107" s="86"/>
      <c r="K107" s="66">
        <v>1.0E7</v>
      </c>
      <c r="L107" s="66">
        <v>2.1E7</v>
      </c>
      <c r="M107" s="71" t="s">
        <v>52</v>
      </c>
      <c r="N107" s="66">
        <v>2.7E7</v>
      </c>
      <c r="O107" s="66">
        <v>5000000.0</v>
      </c>
      <c r="P107" s="66" t="s">
        <v>386</v>
      </c>
      <c r="Q107" s="66">
        <v>8000000.0</v>
      </c>
      <c r="R107" s="66" t="s">
        <v>387</v>
      </c>
      <c r="S107" s="66">
        <v>5.0E7</v>
      </c>
      <c r="T107" s="66">
        <v>3.0E7</v>
      </c>
      <c r="U107" s="72">
        <v>0.5</v>
      </c>
      <c r="V107" s="72">
        <v>0.35</v>
      </c>
      <c r="W107" s="86"/>
      <c r="X107" s="66" t="s">
        <v>388</v>
      </c>
      <c r="Y107" s="66"/>
    </row>
    <row r="108">
      <c r="A108" s="60">
        <v>105.0</v>
      </c>
      <c r="B108" s="79" t="s">
        <v>389</v>
      </c>
      <c r="C108" s="69">
        <v>833000.0</v>
      </c>
      <c r="D108" s="80" t="str">
        <f t="shared" si="7"/>
        <v>Macro</v>
      </c>
      <c r="E108" s="88" t="s">
        <v>390</v>
      </c>
      <c r="F108" s="68">
        <v>1900000.0</v>
      </c>
      <c r="G108" s="80" t="str">
        <f t="shared" si="6"/>
        <v>Mega</v>
      </c>
      <c r="H108" s="95"/>
      <c r="I108" s="80" t="s">
        <v>391</v>
      </c>
      <c r="J108" s="86"/>
      <c r="K108" s="66">
        <v>3000000.0</v>
      </c>
      <c r="L108" s="66">
        <v>4000000.0</v>
      </c>
      <c r="M108" s="71" t="s">
        <v>52</v>
      </c>
      <c r="N108" s="66">
        <v>4000000.0</v>
      </c>
      <c r="O108" s="66">
        <v>4700000.0</v>
      </c>
      <c r="P108" s="66">
        <v>5000000.0</v>
      </c>
      <c r="Q108" s="86"/>
      <c r="R108" s="66">
        <v>5000000.0</v>
      </c>
      <c r="S108" s="66">
        <v>1500000.0</v>
      </c>
      <c r="T108" s="66">
        <v>3500000.0</v>
      </c>
      <c r="U108" s="72">
        <v>1.0</v>
      </c>
      <c r="V108" s="86"/>
      <c r="W108" s="66">
        <v>500000.0</v>
      </c>
      <c r="X108" s="86"/>
      <c r="Y108" s="66"/>
    </row>
    <row r="109">
      <c r="A109" s="60">
        <v>106.0</v>
      </c>
      <c r="B109" s="95"/>
      <c r="C109" s="96"/>
      <c r="D109" s="97"/>
      <c r="E109" s="79" t="s">
        <v>392</v>
      </c>
      <c r="F109" s="69">
        <v>862900.0</v>
      </c>
      <c r="G109" s="80" t="str">
        <f t="shared" si="6"/>
        <v>Macro</v>
      </c>
      <c r="H109" s="80" t="s">
        <v>321</v>
      </c>
      <c r="I109" s="80" t="s">
        <v>393</v>
      </c>
      <c r="J109" s="86"/>
      <c r="K109" s="86"/>
      <c r="L109" s="86"/>
      <c r="M109" s="86"/>
      <c r="N109" s="86"/>
      <c r="O109" s="86"/>
      <c r="P109" s="86"/>
      <c r="Q109" s="86"/>
      <c r="R109" s="66">
        <v>6000000.0</v>
      </c>
      <c r="S109" s="86"/>
      <c r="T109" s="86"/>
      <c r="U109" s="86"/>
      <c r="V109" s="86"/>
      <c r="W109" s="86"/>
      <c r="X109" s="86"/>
      <c r="Y109" s="93"/>
    </row>
    <row r="110">
      <c r="A110" s="60">
        <v>107.0</v>
      </c>
      <c r="B110" s="79" t="s">
        <v>394</v>
      </c>
      <c r="C110" s="68">
        <v>2400000.0</v>
      </c>
      <c r="D110" s="80" t="str">
        <f t="shared" ref="D110:D120" si="8">ifs(C110&lt;10000, "Nano", C110&lt;=100000, "Micro", C110&lt;=500000, "Mid", C110&lt;=1000000, "Macro", C110&gt;1000000, "Mega")</f>
        <v>Mega</v>
      </c>
      <c r="E110" s="79" t="s">
        <v>395</v>
      </c>
      <c r="F110" s="68">
        <v>1.36E7</v>
      </c>
      <c r="G110" s="80" t="str">
        <f t="shared" si="6"/>
        <v>Mega</v>
      </c>
      <c r="H110" s="80" t="s">
        <v>50</v>
      </c>
      <c r="I110" s="80" t="s">
        <v>393</v>
      </c>
      <c r="J110" s="66">
        <v>1500000.0</v>
      </c>
      <c r="K110" s="66">
        <v>5000000.0</v>
      </c>
      <c r="L110" s="86"/>
      <c r="M110" s="86"/>
      <c r="N110" s="66">
        <v>1.5E7</v>
      </c>
      <c r="O110" s="86"/>
      <c r="P110" s="66">
        <v>3.5E7</v>
      </c>
      <c r="Q110" s="72">
        <v>0.1</v>
      </c>
      <c r="R110" s="66">
        <v>5.0E7</v>
      </c>
      <c r="S110" s="86"/>
      <c r="T110" s="86"/>
      <c r="U110" s="72">
        <v>0.5</v>
      </c>
      <c r="V110" s="86"/>
      <c r="W110" s="86"/>
      <c r="X110" s="66" t="s">
        <v>396</v>
      </c>
      <c r="Y110" s="66"/>
    </row>
    <row r="111">
      <c r="A111" s="60">
        <v>108.0</v>
      </c>
      <c r="B111" s="88" t="s">
        <v>397</v>
      </c>
      <c r="C111" s="69">
        <v>22100.0</v>
      </c>
      <c r="D111" s="80" t="str">
        <f t="shared" si="8"/>
        <v>Micro</v>
      </c>
      <c r="E111" s="79" t="s">
        <v>397</v>
      </c>
      <c r="F111" s="69">
        <v>824500.0</v>
      </c>
      <c r="G111" s="80" t="str">
        <f t="shared" si="6"/>
        <v>Macro</v>
      </c>
      <c r="H111" s="80" t="s">
        <v>321</v>
      </c>
      <c r="I111" s="80" t="s">
        <v>398</v>
      </c>
      <c r="J111" s="86"/>
      <c r="K111" s="66">
        <v>1000000.0</v>
      </c>
      <c r="L111" s="86"/>
      <c r="M111" s="86"/>
      <c r="N111" s="66">
        <v>1750000.0</v>
      </c>
      <c r="O111" s="86"/>
      <c r="P111" s="66">
        <v>4750000.0</v>
      </c>
      <c r="Q111" s="86"/>
      <c r="R111" s="66">
        <v>9750000.0</v>
      </c>
      <c r="S111" s="66">
        <v>1.025E7</v>
      </c>
      <c r="T111" s="86"/>
      <c r="U111" s="72">
        <v>0.5</v>
      </c>
      <c r="V111" s="66">
        <v>500000.0</v>
      </c>
      <c r="W111" s="86"/>
      <c r="X111" s="86"/>
      <c r="Y111" s="66"/>
    </row>
    <row r="112">
      <c r="A112" s="60">
        <v>109.0</v>
      </c>
      <c r="B112" s="79" t="s">
        <v>399</v>
      </c>
      <c r="C112" s="69">
        <v>98400.0</v>
      </c>
      <c r="D112" s="80" t="str">
        <f t="shared" si="8"/>
        <v>Micro</v>
      </c>
      <c r="E112" s="79" t="s">
        <v>399</v>
      </c>
      <c r="F112" s="69">
        <v>230600.0</v>
      </c>
      <c r="G112" s="80" t="str">
        <f t="shared" si="6"/>
        <v>Mid</v>
      </c>
      <c r="H112" s="80" t="s">
        <v>46</v>
      </c>
      <c r="I112" s="80" t="s">
        <v>393</v>
      </c>
      <c r="J112" s="86"/>
      <c r="K112" s="66">
        <v>500000.0</v>
      </c>
      <c r="L112" s="86"/>
      <c r="M112" s="66">
        <v>50000.0</v>
      </c>
      <c r="N112" s="66">
        <v>500000.0</v>
      </c>
      <c r="O112" s="66">
        <v>50000.0</v>
      </c>
      <c r="P112" s="66">
        <v>5000000.0</v>
      </c>
      <c r="Q112" s="66">
        <v>1500000.0</v>
      </c>
      <c r="R112" s="66">
        <v>5500000.0</v>
      </c>
      <c r="S112" s="66">
        <v>1500000.0</v>
      </c>
      <c r="T112" s="66">
        <v>500000.0</v>
      </c>
      <c r="U112" s="66">
        <v>1500000.0</v>
      </c>
      <c r="V112" s="66">
        <v>1000000.0</v>
      </c>
      <c r="W112" s="66">
        <v>300000.0</v>
      </c>
      <c r="X112" s="66">
        <v>1000000.0</v>
      </c>
      <c r="Y112" s="66"/>
    </row>
    <row r="113">
      <c r="A113" s="60">
        <v>110.0</v>
      </c>
      <c r="B113" s="79" t="s">
        <v>400</v>
      </c>
      <c r="C113" s="69">
        <v>101000.0</v>
      </c>
      <c r="D113" s="80" t="str">
        <f t="shared" si="8"/>
        <v>Mid</v>
      </c>
      <c r="E113" s="64" t="s">
        <v>401</v>
      </c>
      <c r="F113" s="69">
        <v>12200.0</v>
      </c>
      <c r="G113" s="80" t="str">
        <f t="shared" si="6"/>
        <v>Micro</v>
      </c>
      <c r="H113" s="80" t="s">
        <v>46</v>
      </c>
      <c r="I113" s="80" t="s">
        <v>402</v>
      </c>
      <c r="J113" s="86"/>
      <c r="K113" s="66">
        <v>350000.0</v>
      </c>
      <c r="L113" s="66">
        <v>750000.0</v>
      </c>
      <c r="M113" s="86"/>
      <c r="N113" s="66">
        <v>3000000.0</v>
      </c>
      <c r="O113" s="66">
        <v>3500000.0</v>
      </c>
      <c r="P113" s="66">
        <v>3500000.0</v>
      </c>
      <c r="Q113" s="86"/>
      <c r="R113" s="66">
        <v>500000.0</v>
      </c>
      <c r="S113" s="86"/>
      <c r="T113" s="86"/>
      <c r="U113" s="86"/>
      <c r="V113" s="86"/>
      <c r="W113" s="86"/>
      <c r="X113" s="66">
        <v>1500000.0</v>
      </c>
      <c r="Y113" s="86"/>
    </row>
    <row r="114">
      <c r="A114" s="60">
        <v>111.0</v>
      </c>
      <c r="B114" s="79" t="s">
        <v>403</v>
      </c>
      <c r="C114" s="68">
        <v>1900000.0</v>
      </c>
      <c r="D114" s="80" t="str">
        <f t="shared" si="8"/>
        <v>Mega</v>
      </c>
      <c r="E114" s="64" t="s">
        <v>404</v>
      </c>
      <c r="F114" s="68">
        <v>1300000.0</v>
      </c>
      <c r="G114" s="80" t="str">
        <f t="shared" si="6"/>
        <v>Mega</v>
      </c>
      <c r="H114" s="80" t="s">
        <v>39</v>
      </c>
      <c r="I114" s="80" t="s">
        <v>405</v>
      </c>
      <c r="J114" s="86"/>
      <c r="K114" s="66">
        <v>5000000.0</v>
      </c>
      <c r="L114" s="66">
        <v>9000000.0</v>
      </c>
      <c r="M114" s="86"/>
      <c r="N114" s="66">
        <v>1.2E7</v>
      </c>
      <c r="O114" s="86"/>
      <c r="P114" s="66">
        <v>2.5E7</v>
      </c>
      <c r="Q114" s="71" t="s">
        <v>52</v>
      </c>
      <c r="R114" s="66">
        <v>1.5E7</v>
      </c>
      <c r="S114" s="66">
        <v>3.0E7</v>
      </c>
      <c r="T114" s="86"/>
      <c r="U114" s="72">
        <v>1.0</v>
      </c>
      <c r="V114" s="72">
        <v>0.3</v>
      </c>
      <c r="W114" s="86"/>
      <c r="X114" s="86"/>
      <c r="Y114" s="86"/>
    </row>
    <row r="115">
      <c r="A115" s="60">
        <v>112.0</v>
      </c>
      <c r="B115" s="79" t="s">
        <v>406</v>
      </c>
      <c r="C115" s="68">
        <v>1600000.0</v>
      </c>
      <c r="D115" s="80" t="str">
        <f t="shared" si="8"/>
        <v>Mega</v>
      </c>
      <c r="E115" s="64" t="s">
        <v>407</v>
      </c>
      <c r="F115" s="68">
        <v>5900000.0</v>
      </c>
      <c r="G115" s="80" t="str">
        <f t="shared" si="6"/>
        <v>Mega</v>
      </c>
      <c r="H115" s="80" t="s">
        <v>408</v>
      </c>
      <c r="I115" s="80" t="s">
        <v>391</v>
      </c>
      <c r="J115" s="86"/>
      <c r="K115" s="66">
        <v>2000000.0</v>
      </c>
      <c r="L115" s="66">
        <v>6000000.0</v>
      </c>
      <c r="M115" s="86"/>
      <c r="N115" s="66">
        <v>3.0E7</v>
      </c>
      <c r="O115" s="66">
        <v>2000000.0</v>
      </c>
      <c r="P115" s="66">
        <v>4.0E7</v>
      </c>
      <c r="Q115" s="86"/>
      <c r="R115" s="66">
        <v>4.0E7</v>
      </c>
      <c r="S115" s="66">
        <v>5.0E7</v>
      </c>
      <c r="T115" s="86"/>
      <c r="U115" s="86"/>
      <c r="V115" s="86"/>
      <c r="W115" s="86"/>
      <c r="X115" s="66">
        <v>600000.0</v>
      </c>
      <c r="Y115" s="66"/>
    </row>
    <row r="116">
      <c r="A116" s="60">
        <v>113.0</v>
      </c>
      <c r="B116" s="79" t="s">
        <v>409</v>
      </c>
      <c r="C116" s="69">
        <v>374000.0</v>
      </c>
      <c r="D116" s="80" t="str">
        <f t="shared" si="8"/>
        <v>Mid</v>
      </c>
      <c r="E116" s="64" t="s">
        <v>410</v>
      </c>
      <c r="F116" s="68">
        <v>1900000.0</v>
      </c>
      <c r="G116" s="80" t="str">
        <f t="shared" si="6"/>
        <v>Mega</v>
      </c>
      <c r="H116" s="80" t="s">
        <v>321</v>
      </c>
      <c r="I116" s="80" t="s">
        <v>411</v>
      </c>
      <c r="J116" s="66">
        <v>2000000.0</v>
      </c>
      <c r="K116" s="66">
        <v>3500000.0</v>
      </c>
      <c r="L116" s="66">
        <v>1.0E7</v>
      </c>
      <c r="M116" s="71" t="s">
        <v>52</v>
      </c>
      <c r="N116" s="66">
        <v>1.5E7</v>
      </c>
      <c r="O116" s="66">
        <v>1.6E7</v>
      </c>
      <c r="P116" s="66">
        <v>1.7E7</v>
      </c>
      <c r="Q116" s="71" t="s">
        <v>52</v>
      </c>
      <c r="R116" s="66">
        <v>2.8E7</v>
      </c>
      <c r="S116" s="66">
        <v>4.5E7</v>
      </c>
      <c r="T116" s="66">
        <v>1.8E7</v>
      </c>
      <c r="U116" s="67">
        <v>1.0</v>
      </c>
      <c r="V116" s="67">
        <v>0.3</v>
      </c>
      <c r="W116" s="67">
        <v>0.3</v>
      </c>
      <c r="X116" s="67">
        <v>0.3</v>
      </c>
      <c r="Y116" s="86"/>
    </row>
    <row r="117">
      <c r="A117" s="60">
        <v>114.0</v>
      </c>
      <c r="B117" s="79" t="s">
        <v>412</v>
      </c>
      <c r="C117" s="69">
        <v>267000.0</v>
      </c>
      <c r="D117" s="80" t="str">
        <f t="shared" si="8"/>
        <v>Mid</v>
      </c>
      <c r="E117" s="64" t="s">
        <v>413</v>
      </c>
      <c r="F117" s="69">
        <v>110400.0</v>
      </c>
      <c r="G117" s="80" t="str">
        <f t="shared" si="6"/>
        <v>Mid</v>
      </c>
      <c r="H117" s="80" t="s">
        <v>414</v>
      </c>
      <c r="I117" s="80" t="s">
        <v>405</v>
      </c>
      <c r="J117" s="86"/>
      <c r="K117" s="66">
        <v>3500000.0</v>
      </c>
      <c r="L117" s="66">
        <v>4000000.0</v>
      </c>
      <c r="M117" s="71" t="s">
        <v>52</v>
      </c>
      <c r="N117" s="66">
        <v>5000000.0</v>
      </c>
      <c r="O117" s="77" t="s">
        <v>415</v>
      </c>
      <c r="P117" s="66">
        <v>7000000.0</v>
      </c>
      <c r="Q117" s="71" t="s">
        <v>52</v>
      </c>
      <c r="R117" s="66">
        <v>7000000.0</v>
      </c>
      <c r="S117" s="66">
        <v>1.0E7</v>
      </c>
      <c r="T117" s="66">
        <v>1.0E7</v>
      </c>
      <c r="U117" s="67">
        <v>1.0</v>
      </c>
      <c r="V117" s="66">
        <v>2000000.0</v>
      </c>
      <c r="W117" s="66" t="s">
        <v>416</v>
      </c>
      <c r="X117" s="66">
        <v>1.0E7</v>
      </c>
      <c r="Y117" s="86"/>
    </row>
    <row r="118">
      <c r="A118" s="60">
        <v>115.0</v>
      </c>
      <c r="B118" s="79" t="s">
        <v>417</v>
      </c>
      <c r="C118" s="68">
        <v>1600000.0</v>
      </c>
      <c r="D118" s="80" t="str">
        <f t="shared" si="8"/>
        <v>Mega</v>
      </c>
      <c r="E118" s="64" t="s">
        <v>418</v>
      </c>
      <c r="F118" s="68">
        <v>1700000.0</v>
      </c>
      <c r="G118" s="80" t="str">
        <f t="shared" si="6"/>
        <v>Mega</v>
      </c>
      <c r="H118" s="80" t="s">
        <v>39</v>
      </c>
      <c r="I118" s="80" t="s">
        <v>405</v>
      </c>
      <c r="J118" s="86"/>
      <c r="K118" s="66">
        <v>1.75E7</v>
      </c>
      <c r="L118" s="66">
        <v>6.0E7</v>
      </c>
      <c r="M118" s="66">
        <v>2500000.0</v>
      </c>
      <c r="N118" s="66">
        <v>3.0E7</v>
      </c>
      <c r="O118" s="66">
        <v>3.5E7</v>
      </c>
      <c r="P118" s="66">
        <v>3.2E7</v>
      </c>
      <c r="Q118" s="66">
        <v>2000000.0</v>
      </c>
      <c r="R118" s="66">
        <v>2.0E7</v>
      </c>
      <c r="S118" s="66">
        <v>5.2E7</v>
      </c>
      <c r="T118" s="66">
        <v>3.6E7</v>
      </c>
      <c r="U118" s="66">
        <v>6000000.0</v>
      </c>
      <c r="V118" s="66">
        <v>9600000.0</v>
      </c>
      <c r="W118" s="66">
        <v>5000000.0</v>
      </c>
      <c r="X118" s="66">
        <v>3.5E7</v>
      </c>
      <c r="Y118" s="86"/>
    </row>
    <row r="119">
      <c r="A119" s="60">
        <v>116.0</v>
      </c>
      <c r="B119" s="79" t="s">
        <v>419</v>
      </c>
      <c r="C119" s="69">
        <v>813000.0</v>
      </c>
      <c r="D119" s="80" t="str">
        <f t="shared" si="8"/>
        <v>Macro</v>
      </c>
      <c r="E119" s="64" t="s">
        <v>420</v>
      </c>
      <c r="F119" s="69">
        <v>142800.0</v>
      </c>
      <c r="G119" s="80" t="str">
        <f t="shared" si="6"/>
        <v>Mid</v>
      </c>
      <c r="H119" s="80" t="s">
        <v>39</v>
      </c>
      <c r="I119" s="80" t="s">
        <v>405</v>
      </c>
      <c r="J119" s="86"/>
      <c r="K119" s="66">
        <v>1.15E7</v>
      </c>
      <c r="L119" s="86"/>
      <c r="M119" s="86"/>
      <c r="N119" s="66">
        <v>2.0E7</v>
      </c>
      <c r="O119" s="86"/>
      <c r="P119" s="66">
        <v>2.6E7</v>
      </c>
      <c r="Q119" s="86"/>
      <c r="R119" s="66">
        <v>2.4E7</v>
      </c>
      <c r="S119" s="86"/>
      <c r="T119" s="86"/>
      <c r="U119" s="86"/>
      <c r="V119" s="86"/>
      <c r="W119" s="86"/>
      <c r="X119" s="86"/>
      <c r="Y119" s="86"/>
    </row>
    <row r="120">
      <c r="A120" s="60">
        <v>117.0</v>
      </c>
      <c r="B120" s="79" t="s">
        <v>364</v>
      </c>
      <c r="C120" s="69">
        <v>770000.0</v>
      </c>
      <c r="D120" s="80" t="str">
        <f t="shared" si="8"/>
        <v>Macro</v>
      </c>
      <c r="E120" s="64" t="s">
        <v>364</v>
      </c>
      <c r="F120" s="65">
        <v>2700000.0</v>
      </c>
      <c r="G120" s="80" t="str">
        <f t="shared" si="6"/>
        <v>Mega</v>
      </c>
      <c r="H120" s="80" t="s">
        <v>39</v>
      </c>
      <c r="I120" s="80" t="s">
        <v>365</v>
      </c>
      <c r="J120" s="86"/>
      <c r="K120" s="66">
        <v>9000000.0</v>
      </c>
      <c r="L120" s="91">
        <v>2.5E7</v>
      </c>
      <c r="M120" s="66" t="s">
        <v>421</v>
      </c>
      <c r="N120" s="91">
        <v>1.5E7</v>
      </c>
      <c r="O120" s="91">
        <v>3.5E7</v>
      </c>
      <c r="P120" s="66">
        <v>2.5E7</v>
      </c>
      <c r="Q120" s="93">
        <v>0.5</v>
      </c>
      <c r="R120" s="66">
        <v>3.0E7</v>
      </c>
      <c r="S120" s="91">
        <v>2.5E7</v>
      </c>
      <c r="T120" s="91">
        <v>3.5E7</v>
      </c>
      <c r="U120" s="72">
        <v>1.0</v>
      </c>
      <c r="V120" s="72">
        <v>0.3</v>
      </c>
      <c r="W120" s="72">
        <v>0.3</v>
      </c>
      <c r="X120" s="66">
        <v>1.5E7</v>
      </c>
      <c r="Y120" s="86"/>
    </row>
    <row r="121">
      <c r="A121" s="60">
        <v>118.0</v>
      </c>
      <c r="B121" s="98" t="s">
        <v>422</v>
      </c>
      <c r="C121" s="96"/>
      <c r="D121" s="80" t="str">
        <f t="shared" ref="D121:D166" si="9">ifs(C121&lt;10000, "Nano", C121&lt;=50000, "Micro", C121&lt;=500000, "Mid", C121&lt;=1000000, "Macro", C121&gt;1000000, "Mega")</f>
        <v>Nano</v>
      </c>
      <c r="E121" s="64" t="s">
        <v>423</v>
      </c>
      <c r="F121" s="68">
        <v>3500000.0</v>
      </c>
      <c r="G121" s="80" t="str">
        <f t="shared" si="6"/>
        <v>Mega</v>
      </c>
      <c r="H121" s="80" t="s">
        <v>39</v>
      </c>
      <c r="I121" s="80" t="s">
        <v>424</v>
      </c>
      <c r="J121" s="76"/>
      <c r="K121" s="66">
        <v>6000000.0</v>
      </c>
      <c r="L121" s="76"/>
      <c r="M121" s="76"/>
      <c r="N121" s="76"/>
      <c r="O121" s="76"/>
      <c r="P121" s="76"/>
      <c r="Q121" s="72">
        <v>0.3</v>
      </c>
      <c r="R121" s="66" t="s">
        <v>425</v>
      </c>
      <c r="S121" s="66" t="s">
        <v>426</v>
      </c>
      <c r="T121" s="66">
        <v>3.0E7</v>
      </c>
      <c r="U121" s="72">
        <v>1.0</v>
      </c>
      <c r="V121" s="72">
        <v>0.3</v>
      </c>
      <c r="W121" s="76"/>
      <c r="X121" s="66">
        <v>2.8E7</v>
      </c>
      <c r="Y121" s="86"/>
    </row>
    <row r="122">
      <c r="A122" s="60">
        <v>119.0</v>
      </c>
      <c r="B122" s="79" t="s">
        <v>427</v>
      </c>
      <c r="C122" s="68">
        <v>1.14E7</v>
      </c>
      <c r="D122" s="80" t="str">
        <f t="shared" si="9"/>
        <v>Mega</v>
      </c>
      <c r="E122" s="64" t="s">
        <v>428</v>
      </c>
      <c r="F122" s="68">
        <v>1800000.0</v>
      </c>
      <c r="G122" s="80" t="str">
        <f t="shared" si="6"/>
        <v>Mega</v>
      </c>
      <c r="H122" s="80" t="s">
        <v>39</v>
      </c>
      <c r="I122" s="80" t="s">
        <v>429</v>
      </c>
      <c r="J122" s="76"/>
      <c r="K122" s="66">
        <v>3.5E7</v>
      </c>
      <c r="L122" s="66">
        <v>5.0E7</v>
      </c>
      <c r="M122" s="66">
        <v>5000000.0</v>
      </c>
      <c r="N122" s="66">
        <v>6.0E7</v>
      </c>
      <c r="O122" s="66">
        <v>8.5E7</v>
      </c>
      <c r="P122" s="66">
        <v>7.5E7</v>
      </c>
      <c r="Q122" s="66">
        <v>1.5E7</v>
      </c>
      <c r="R122" s="66">
        <v>7.0E7</v>
      </c>
      <c r="S122" s="66">
        <v>1.0E8</v>
      </c>
      <c r="T122" s="66">
        <v>8.0E7</v>
      </c>
      <c r="U122" s="66">
        <v>1.5E7</v>
      </c>
      <c r="V122" s="66">
        <v>1.0E7</v>
      </c>
      <c r="W122" s="66">
        <v>3000000.0</v>
      </c>
      <c r="X122" s="66">
        <v>8.0E7</v>
      </c>
      <c r="Y122" s="86"/>
    </row>
    <row r="123">
      <c r="A123" s="60">
        <v>120.0</v>
      </c>
      <c r="B123" s="79" t="s">
        <v>430</v>
      </c>
      <c r="C123" s="69">
        <v>205000.0</v>
      </c>
      <c r="D123" s="80" t="str">
        <f t="shared" si="9"/>
        <v>Mid</v>
      </c>
      <c r="E123" s="64" t="s">
        <v>430</v>
      </c>
      <c r="F123" s="69">
        <v>10600.0</v>
      </c>
      <c r="G123" s="80" t="str">
        <f t="shared" si="6"/>
        <v>Micro</v>
      </c>
      <c r="H123" s="80" t="s">
        <v>39</v>
      </c>
      <c r="I123" s="80" t="s">
        <v>429</v>
      </c>
      <c r="J123" s="76"/>
      <c r="K123" s="66">
        <v>7000000.0</v>
      </c>
      <c r="L123" s="66">
        <v>1.0E7</v>
      </c>
      <c r="M123" s="66">
        <v>2000000.0</v>
      </c>
      <c r="N123" s="66">
        <v>1.0E7</v>
      </c>
      <c r="O123" s="66">
        <v>1.5E7</v>
      </c>
      <c r="P123" s="66">
        <v>2.5E7</v>
      </c>
      <c r="Q123" s="66">
        <v>2500000.0</v>
      </c>
      <c r="R123" s="66">
        <v>8000000.0</v>
      </c>
      <c r="S123" s="66">
        <v>3.0E7</v>
      </c>
      <c r="T123" s="66">
        <v>1.5E7</v>
      </c>
      <c r="U123" s="66">
        <v>2500000.0</v>
      </c>
      <c r="V123" s="66">
        <v>2500000.0</v>
      </c>
      <c r="W123" s="66">
        <v>1000000.0</v>
      </c>
      <c r="X123" s="66">
        <v>2.5E7</v>
      </c>
      <c r="Y123" s="86"/>
    </row>
    <row r="124">
      <c r="A124" s="60">
        <v>121.0</v>
      </c>
      <c r="B124" s="79" t="s">
        <v>431</v>
      </c>
      <c r="C124" s="69">
        <v>124000.0</v>
      </c>
      <c r="D124" s="80" t="str">
        <f t="shared" si="9"/>
        <v>Mid</v>
      </c>
      <c r="E124" s="64" t="s">
        <v>432</v>
      </c>
      <c r="F124" s="69">
        <v>972800.0</v>
      </c>
      <c r="G124" s="80" t="str">
        <f t="shared" si="6"/>
        <v>Macro</v>
      </c>
      <c r="H124" s="80" t="s">
        <v>39</v>
      </c>
      <c r="I124" s="80" t="s">
        <v>433</v>
      </c>
      <c r="J124" s="76"/>
      <c r="K124" s="66">
        <v>1000000.0</v>
      </c>
      <c r="L124" s="66">
        <v>3000000.0</v>
      </c>
      <c r="M124" s="71" t="s">
        <v>52</v>
      </c>
      <c r="N124" s="66">
        <v>3000000.0</v>
      </c>
      <c r="O124" s="66">
        <v>4500000.0</v>
      </c>
      <c r="P124" s="66">
        <v>7000000.0</v>
      </c>
      <c r="Q124" s="66">
        <v>1000000.0</v>
      </c>
      <c r="R124" s="66">
        <v>1.0E7</v>
      </c>
      <c r="S124" s="76"/>
      <c r="T124" s="66">
        <v>8000000.0</v>
      </c>
      <c r="U124" s="72">
        <v>0.5</v>
      </c>
      <c r="V124" s="99"/>
      <c r="W124" s="76"/>
      <c r="X124" s="66">
        <v>7000000.0</v>
      </c>
      <c r="Y124" s="86"/>
    </row>
    <row r="125">
      <c r="A125" s="60">
        <v>122.0</v>
      </c>
      <c r="B125" s="79" t="s">
        <v>434</v>
      </c>
      <c r="C125" s="68">
        <v>1900000.0</v>
      </c>
      <c r="D125" s="80" t="str">
        <f t="shared" si="9"/>
        <v>Mega</v>
      </c>
      <c r="E125" s="64" t="s">
        <v>435</v>
      </c>
      <c r="F125" s="68">
        <v>3300000.0</v>
      </c>
      <c r="G125" s="80" t="str">
        <f t="shared" si="6"/>
        <v>Mega</v>
      </c>
      <c r="H125" s="80" t="s">
        <v>39</v>
      </c>
      <c r="I125" s="80" t="s">
        <v>436</v>
      </c>
      <c r="J125" s="76"/>
      <c r="K125" s="76"/>
      <c r="L125" s="66">
        <v>8000000.0</v>
      </c>
      <c r="M125" s="76"/>
      <c r="N125" s="76"/>
      <c r="O125" s="66">
        <v>1.2E7</v>
      </c>
      <c r="P125" s="66">
        <v>1.5E7</v>
      </c>
      <c r="Q125" s="99"/>
      <c r="R125" s="66">
        <v>1.7E7</v>
      </c>
      <c r="S125" s="66">
        <v>2.6E7</v>
      </c>
      <c r="T125" s="76"/>
      <c r="U125" s="66">
        <v>1.0E7</v>
      </c>
      <c r="V125" s="66">
        <v>1000000.0</v>
      </c>
      <c r="W125" s="76"/>
      <c r="X125" s="66">
        <v>4000000.0</v>
      </c>
      <c r="Y125" s="86"/>
    </row>
    <row r="126">
      <c r="A126" s="60">
        <v>123.0</v>
      </c>
      <c r="B126" s="79" t="s">
        <v>437</v>
      </c>
      <c r="C126" s="69">
        <v>716000.0</v>
      </c>
      <c r="D126" s="80" t="str">
        <f t="shared" si="9"/>
        <v>Macro</v>
      </c>
      <c r="E126" s="64" t="s">
        <v>438</v>
      </c>
      <c r="F126" s="69">
        <v>518100.0</v>
      </c>
      <c r="G126" s="80" t="str">
        <f t="shared" si="6"/>
        <v>Macro</v>
      </c>
      <c r="H126" s="80" t="s">
        <v>46</v>
      </c>
      <c r="I126" s="80" t="s">
        <v>439</v>
      </c>
      <c r="J126" s="76"/>
      <c r="K126" s="76"/>
      <c r="L126" s="76"/>
      <c r="M126" s="76"/>
      <c r="N126" s="76"/>
      <c r="O126" s="76"/>
      <c r="P126" s="66">
        <v>1.8E7</v>
      </c>
      <c r="Q126" s="99"/>
      <c r="R126" s="66">
        <v>1.8E7</v>
      </c>
      <c r="S126" s="66">
        <v>1000000.0</v>
      </c>
      <c r="T126" s="76"/>
      <c r="U126" s="99"/>
      <c r="V126" s="99"/>
      <c r="W126" s="76"/>
      <c r="X126" s="76"/>
      <c r="Y126" s="86"/>
    </row>
    <row r="127">
      <c r="A127" s="60">
        <v>124.0</v>
      </c>
      <c r="B127" s="79" t="s">
        <v>440</v>
      </c>
      <c r="C127" s="68">
        <v>1000000.0</v>
      </c>
      <c r="D127" s="80" t="str">
        <f t="shared" si="9"/>
        <v>Macro</v>
      </c>
      <c r="E127" s="64" t="s">
        <v>440</v>
      </c>
      <c r="F127" s="68">
        <v>8100000.0</v>
      </c>
      <c r="G127" s="80" t="str">
        <f t="shared" si="6"/>
        <v>Mega</v>
      </c>
      <c r="H127" s="80" t="s">
        <v>39</v>
      </c>
      <c r="I127" s="80" t="s">
        <v>433</v>
      </c>
      <c r="J127" s="76"/>
      <c r="K127" s="66">
        <v>7000000.0</v>
      </c>
      <c r="L127" s="76"/>
      <c r="M127" s="76"/>
      <c r="N127" s="66">
        <v>8500000.0</v>
      </c>
      <c r="O127" s="66">
        <v>1000000.0</v>
      </c>
      <c r="P127" s="66">
        <v>2.0E7</v>
      </c>
      <c r="Q127" s="66">
        <v>5000000.0</v>
      </c>
      <c r="R127" s="66">
        <v>2.25E7</v>
      </c>
      <c r="S127" s="76"/>
      <c r="T127" s="66">
        <v>2.5E7</v>
      </c>
      <c r="U127" s="99"/>
      <c r="V127" s="99"/>
      <c r="W127" s="76"/>
      <c r="X127" s="76"/>
      <c r="Y127" s="86"/>
    </row>
    <row r="128">
      <c r="A128" s="60">
        <v>125.0</v>
      </c>
      <c r="B128" s="79" t="s">
        <v>441</v>
      </c>
      <c r="C128" s="68">
        <v>1000000.0</v>
      </c>
      <c r="D128" s="80" t="str">
        <f t="shared" si="9"/>
        <v>Macro</v>
      </c>
      <c r="E128" s="64" t="s">
        <v>441</v>
      </c>
      <c r="F128" s="68">
        <v>2200000.0</v>
      </c>
      <c r="G128" s="80" t="str">
        <f t="shared" si="6"/>
        <v>Mega</v>
      </c>
      <c r="H128" s="80" t="s">
        <v>39</v>
      </c>
      <c r="I128" s="80" t="s">
        <v>433</v>
      </c>
      <c r="J128" s="76"/>
      <c r="K128" s="66">
        <v>1.2E7</v>
      </c>
      <c r="L128" s="66">
        <v>3.5E7</v>
      </c>
      <c r="M128" s="76"/>
      <c r="N128" s="66">
        <v>5.0E7</v>
      </c>
      <c r="O128" s="66">
        <v>6.0E7</v>
      </c>
      <c r="P128" s="66">
        <v>5.5E7</v>
      </c>
      <c r="Q128" s="66">
        <v>2.75E7</v>
      </c>
      <c r="R128" s="66">
        <v>4.0E7</v>
      </c>
      <c r="S128" s="66">
        <v>2.75E7</v>
      </c>
      <c r="T128" s="76"/>
      <c r="U128" s="99"/>
      <c r="V128" s="99"/>
      <c r="W128" s="66">
        <v>1.5E7</v>
      </c>
      <c r="X128" s="66">
        <v>5.5E7</v>
      </c>
      <c r="Y128" s="86"/>
    </row>
    <row r="129">
      <c r="A129" s="60">
        <v>126.0</v>
      </c>
      <c r="B129" s="79" t="s">
        <v>442</v>
      </c>
      <c r="C129" s="69">
        <v>416000.0</v>
      </c>
      <c r="D129" s="80" t="str">
        <f t="shared" si="9"/>
        <v>Mid</v>
      </c>
      <c r="E129" s="64" t="s">
        <v>443</v>
      </c>
      <c r="F129" s="68">
        <v>1200000.0</v>
      </c>
      <c r="G129" s="80" t="str">
        <f t="shared" si="6"/>
        <v>Mega</v>
      </c>
      <c r="H129" s="80" t="s">
        <v>39</v>
      </c>
      <c r="I129" s="80" t="s">
        <v>444</v>
      </c>
      <c r="J129" s="76"/>
      <c r="K129" s="66">
        <v>5000000.0</v>
      </c>
      <c r="L129" s="66">
        <v>2.0E7</v>
      </c>
      <c r="M129" s="66">
        <v>3000000.0</v>
      </c>
      <c r="N129" s="66">
        <v>1.5E7</v>
      </c>
      <c r="O129" s="76"/>
      <c r="P129" s="66">
        <v>2.1E7</v>
      </c>
      <c r="Q129" s="66">
        <v>1.0E7</v>
      </c>
      <c r="R129" s="66">
        <v>3.5E7</v>
      </c>
      <c r="S129" s="66">
        <v>2.1E7</v>
      </c>
      <c r="T129" s="66">
        <v>3.0E7</v>
      </c>
      <c r="U129" s="99"/>
      <c r="V129" s="67" t="s">
        <v>52</v>
      </c>
      <c r="W129" s="66">
        <v>3000000.0</v>
      </c>
      <c r="X129" s="66">
        <v>1.0E7</v>
      </c>
      <c r="Y129" s="86"/>
    </row>
    <row r="130">
      <c r="A130" s="60">
        <v>127.0</v>
      </c>
      <c r="B130" s="79" t="s">
        <v>445</v>
      </c>
      <c r="C130" s="69">
        <v>497000.0</v>
      </c>
      <c r="D130" s="80" t="str">
        <f t="shared" si="9"/>
        <v>Mid</v>
      </c>
      <c r="E130" s="64" t="s">
        <v>446</v>
      </c>
      <c r="F130" s="68">
        <v>3700000.0</v>
      </c>
      <c r="G130" s="80" t="str">
        <f t="shared" si="6"/>
        <v>Mega</v>
      </c>
      <c r="H130" s="80" t="s">
        <v>39</v>
      </c>
      <c r="I130" s="80" t="s">
        <v>96</v>
      </c>
      <c r="J130" s="76"/>
      <c r="K130" s="66">
        <v>2000000.0</v>
      </c>
      <c r="L130" s="66" t="s">
        <v>447</v>
      </c>
      <c r="M130" s="66">
        <v>1000000.0</v>
      </c>
      <c r="N130" s="66">
        <v>5000000.0</v>
      </c>
      <c r="O130" s="76"/>
      <c r="P130" s="66">
        <v>1.1E7</v>
      </c>
      <c r="Q130" s="66">
        <v>2000000.0</v>
      </c>
      <c r="R130" s="66">
        <v>1.3E7</v>
      </c>
      <c r="S130" s="66">
        <v>2.2E7</v>
      </c>
      <c r="T130" s="76"/>
      <c r="U130" s="66">
        <v>5000000.0</v>
      </c>
      <c r="V130" s="66">
        <v>2000000.0</v>
      </c>
      <c r="W130" s="66">
        <v>1000000.0</v>
      </c>
      <c r="X130" s="76"/>
      <c r="Y130" s="86"/>
    </row>
    <row r="131">
      <c r="A131" s="60">
        <v>128.0</v>
      </c>
      <c r="B131" s="79" t="s">
        <v>448</v>
      </c>
      <c r="C131" s="69">
        <v>116000.0</v>
      </c>
      <c r="D131" s="80" t="str">
        <f t="shared" si="9"/>
        <v>Mid</v>
      </c>
      <c r="E131" s="64" t="s">
        <v>449</v>
      </c>
      <c r="F131" s="69">
        <v>449900.0</v>
      </c>
      <c r="G131" s="80" t="str">
        <f t="shared" si="6"/>
        <v>Mid</v>
      </c>
      <c r="H131" s="80" t="s">
        <v>46</v>
      </c>
      <c r="I131" s="80" t="s">
        <v>450</v>
      </c>
      <c r="J131" s="76"/>
      <c r="K131" s="66" t="s">
        <v>451</v>
      </c>
      <c r="L131" s="66" t="s">
        <v>452</v>
      </c>
      <c r="M131" s="66">
        <v>50000.0</v>
      </c>
      <c r="N131" s="66">
        <v>600000.0</v>
      </c>
      <c r="O131" s="66">
        <v>300000.0</v>
      </c>
      <c r="P131" s="66" t="s">
        <v>453</v>
      </c>
      <c r="Q131" s="66">
        <v>300000.0</v>
      </c>
      <c r="R131" s="66" t="s">
        <v>453</v>
      </c>
      <c r="S131" s="76"/>
      <c r="T131" s="76"/>
      <c r="U131" s="72">
        <v>1.0</v>
      </c>
      <c r="V131" s="66">
        <v>350000.0</v>
      </c>
      <c r="W131" s="71" t="s">
        <v>52</v>
      </c>
      <c r="X131" s="76"/>
      <c r="Y131" s="86"/>
    </row>
    <row r="132">
      <c r="A132" s="60">
        <v>129.0</v>
      </c>
      <c r="B132" s="79" t="s">
        <v>454</v>
      </c>
      <c r="C132" s="69">
        <v>490000.0</v>
      </c>
      <c r="D132" s="80" t="str">
        <f t="shared" si="9"/>
        <v>Mid</v>
      </c>
      <c r="E132" s="64" t="s">
        <v>455</v>
      </c>
      <c r="F132" s="69">
        <v>648900.0</v>
      </c>
      <c r="G132" s="80" t="str">
        <f t="shared" si="6"/>
        <v>Macro</v>
      </c>
      <c r="H132" s="80" t="s">
        <v>39</v>
      </c>
      <c r="I132" s="80" t="s">
        <v>96</v>
      </c>
      <c r="J132" s="76"/>
      <c r="K132" s="66">
        <v>4000000.0</v>
      </c>
      <c r="L132" s="76"/>
      <c r="M132" s="66">
        <v>1000000.0</v>
      </c>
      <c r="N132" s="66">
        <v>7000000.0</v>
      </c>
      <c r="O132" s="66">
        <v>9000000.0</v>
      </c>
      <c r="P132" s="66">
        <v>1.2E7</v>
      </c>
      <c r="Q132" s="99"/>
      <c r="R132" s="66">
        <v>8000000.0</v>
      </c>
      <c r="S132" s="76"/>
      <c r="T132" s="66">
        <v>7000000.0</v>
      </c>
      <c r="U132" s="76"/>
      <c r="V132" s="99"/>
      <c r="W132" s="76"/>
      <c r="X132" s="76"/>
      <c r="Y132" s="86"/>
    </row>
    <row r="133">
      <c r="A133" s="60">
        <v>130.0</v>
      </c>
      <c r="B133" s="79" t="s">
        <v>456</v>
      </c>
      <c r="C133" s="68">
        <v>2800000.0</v>
      </c>
      <c r="D133" s="80" t="str">
        <f t="shared" si="9"/>
        <v>Mega</v>
      </c>
      <c r="E133" s="64" t="s">
        <v>456</v>
      </c>
      <c r="F133" s="68">
        <v>4300000.0</v>
      </c>
      <c r="G133" s="80" t="str">
        <f t="shared" si="6"/>
        <v>Mega</v>
      </c>
      <c r="H133" s="80" t="s">
        <v>39</v>
      </c>
      <c r="I133" s="80" t="s">
        <v>96</v>
      </c>
      <c r="J133" s="76"/>
      <c r="K133" s="66">
        <v>8000000.0</v>
      </c>
      <c r="L133" s="76"/>
      <c r="M133" s="76"/>
      <c r="N133" s="66">
        <v>1.5E7</v>
      </c>
      <c r="O133" s="66">
        <v>1.0E7</v>
      </c>
      <c r="P133" s="66">
        <v>3.0E7</v>
      </c>
      <c r="Q133" s="66">
        <v>7500000.0</v>
      </c>
      <c r="R133" s="66">
        <v>3.5E7</v>
      </c>
      <c r="S133" s="76"/>
      <c r="T133" s="66">
        <v>3.5E7</v>
      </c>
      <c r="U133" s="66">
        <v>9000000.0</v>
      </c>
      <c r="V133" s="99"/>
      <c r="W133" s="76"/>
      <c r="X133" s="76"/>
      <c r="Y133" s="86"/>
    </row>
    <row r="134">
      <c r="A134" s="60">
        <v>131.0</v>
      </c>
      <c r="B134" s="79" t="s">
        <v>457</v>
      </c>
      <c r="C134" s="69">
        <v>303000.0</v>
      </c>
      <c r="D134" s="80" t="str">
        <f t="shared" si="9"/>
        <v>Mid</v>
      </c>
      <c r="E134" s="64" t="s">
        <v>457</v>
      </c>
      <c r="F134" s="69">
        <v>466600.0</v>
      </c>
      <c r="G134" s="80" t="str">
        <f t="shared" si="6"/>
        <v>Mid</v>
      </c>
      <c r="H134" s="80" t="s">
        <v>458</v>
      </c>
      <c r="I134" s="80" t="s">
        <v>96</v>
      </c>
      <c r="J134" s="76"/>
      <c r="K134" s="66">
        <v>450000.0</v>
      </c>
      <c r="L134" s="66">
        <v>800000.0</v>
      </c>
      <c r="M134" s="66">
        <v>200000.0</v>
      </c>
      <c r="N134" s="66">
        <v>2000000.0</v>
      </c>
      <c r="O134" s="66">
        <v>2500000.0</v>
      </c>
      <c r="P134" s="66">
        <v>3500000.0</v>
      </c>
      <c r="Q134" s="67" t="s">
        <v>52</v>
      </c>
      <c r="R134" s="66">
        <v>4500000.0</v>
      </c>
      <c r="S134" s="66">
        <v>5500000.0</v>
      </c>
      <c r="T134" s="76"/>
      <c r="U134" s="76"/>
      <c r="V134" s="99"/>
      <c r="W134" s="76"/>
      <c r="X134" s="66" t="s">
        <v>459</v>
      </c>
      <c r="Y134" s="86"/>
    </row>
    <row r="135">
      <c r="A135" s="60">
        <v>132.0</v>
      </c>
      <c r="B135" s="79" t="s">
        <v>460</v>
      </c>
      <c r="C135" s="69">
        <v>41500.0</v>
      </c>
      <c r="D135" s="80" t="str">
        <f t="shared" si="9"/>
        <v>Micro</v>
      </c>
      <c r="E135" s="64" t="s">
        <v>460</v>
      </c>
      <c r="F135" s="68">
        <v>1700000.0</v>
      </c>
      <c r="G135" s="80" t="str">
        <f t="shared" si="6"/>
        <v>Mega</v>
      </c>
      <c r="H135" s="80" t="s">
        <v>461</v>
      </c>
      <c r="I135" s="80" t="s">
        <v>393</v>
      </c>
      <c r="J135" s="76"/>
      <c r="K135" s="76"/>
      <c r="L135" s="76"/>
      <c r="M135" s="76"/>
      <c r="N135" s="76"/>
      <c r="O135" s="76"/>
      <c r="P135" s="76"/>
      <c r="Q135" s="99"/>
      <c r="R135" s="66">
        <v>2.0E7</v>
      </c>
      <c r="S135" s="66">
        <v>5000000.0</v>
      </c>
      <c r="T135" s="76"/>
      <c r="U135" s="66">
        <v>1.5E7</v>
      </c>
      <c r="V135" s="99"/>
      <c r="W135" s="76"/>
      <c r="X135" s="76"/>
      <c r="Y135" s="86"/>
    </row>
    <row r="136">
      <c r="A136" s="60">
        <v>133.0</v>
      </c>
      <c r="B136" s="79" t="s">
        <v>462</v>
      </c>
      <c r="C136" s="69">
        <v>986000.0</v>
      </c>
      <c r="D136" s="80" t="str">
        <f t="shared" si="9"/>
        <v>Macro</v>
      </c>
      <c r="E136" s="64" t="s">
        <v>463</v>
      </c>
      <c r="F136" s="68">
        <v>7200000.0</v>
      </c>
      <c r="G136" s="80" t="str">
        <f t="shared" si="6"/>
        <v>Mega</v>
      </c>
      <c r="H136" s="95"/>
      <c r="I136" s="80" t="s">
        <v>144</v>
      </c>
      <c r="J136" s="76"/>
      <c r="K136" s="66">
        <v>1.0E7</v>
      </c>
      <c r="L136" s="66">
        <v>2.5E7</v>
      </c>
      <c r="M136" s="66">
        <v>1000000.0</v>
      </c>
      <c r="N136" s="66">
        <v>3.0E7</v>
      </c>
      <c r="O136" s="76"/>
      <c r="P136" s="66">
        <v>3.5E7</v>
      </c>
      <c r="Q136" s="99"/>
      <c r="R136" s="66">
        <v>4.2E7</v>
      </c>
      <c r="S136" s="66">
        <v>6.5E7</v>
      </c>
      <c r="T136" s="66">
        <v>2.5E7</v>
      </c>
      <c r="U136" s="72">
        <v>0.5</v>
      </c>
      <c r="V136" s="99"/>
      <c r="W136" s="76"/>
      <c r="X136" s="66">
        <v>2.0E7</v>
      </c>
      <c r="Y136" s="86"/>
    </row>
    <row r="137">
      <c r="A137" s="60">
        <v>134.0</v>
      </c>
      <c r="B137" s="79" t="s">
        <v>464</v>
      </c>
      <c r="C137" s="69">
        <v>384000.0</v>
      </c>
      <c r="D137" s="80" t="str">
        <f t="shared" si="9"/>
        <v>Mid</v>
      </c>
      <c r="E137" s="64" t="s">
        <v>464</v>
      </c>
      <c r="F137" s="68">
        <v>3300000.0</v>
      </c>
      <c r="G137" s="80" t="str">
        <f t="shared" si="6"/>
        <v>Mega</v>
      </c>
      <c r="H137" s="95"/>
      <c r="I137" s="80" t="s">
        <v>144</v>
      </c>
      <c r="J137" s="76"/>
      <c r="K137" s="66">
        <v>7000000.0</v>
      </c>
      <c r="L137" s="66">
        <v>1.7E7</v>
      </c>
      <c r="M137" s="66">
        <v>4000000.0</v>
      </c>
      <c r="N137" s="66">
        <v>1.7E7</v>
      </c>
      <c r="O137" s="76"/>
      <c r="P137" s="66">
        <v>4.3E7</v>
      </c>
      <c r="Q137" s="99"/>
      <c r="R137" s="66">
        <v>2.7E7</v>
      </c>
      <c r="S137" s="66">
        <v>4.3E7</v>
      </c>
      <c r="T137" s="66">
        <v>2.0E7</v>
      </c>
      <c r="U137" s="72">
        <v>0.5</v>
      </c>
      <c r="V137" s="99"/>
      <c r="W137" s="76"/>
      <c r="X137" s="66">
        <v>1.5E7</v>
      </c>
      <c r="Y137" s="86"/>
    </row>
    <row r="138">
      <c r="A138" s="60">
        <v>135.0</v>
      </c>
      <c r="B138" s="79" t="s">
        <v>465</v>
      </c>
      <c r="C138" s="69">
        <v>703000.0</v>
      </c>
      <c r="D138" s="80" t="str">
        <f t="shared" si="9"/>
        <v>Macro</v>
      </c>
      <c r="E138" s="64" t="s">
        <v>466</v>
      </c>
      <c r="F138" s="68">
        <v>2300000.0</v>
      </c>
      <c r="G138" s="80" t="str">
        <f t="shared" si="6"/>
        <v>Mega</v>
      </c>
      <c r="H138" s="95"/>
      <c r="I138" s="80" t="s">
        <v>467</v>
      </c>
      <c r="J138" s="76"/>
      <c r="K138" s="66">
        <v>7000000.0</v>
      </c>
      <c r="L138" s="66">
        <v>1.7E7</v>
      </c>
      <c r="M138" s="66">
        <v>1000000.0</v>
      </c>
      <c r="N138" s="66">
        <v>1.9E7</v>
      </c>
      <c r="O138" s="76"/>
      <c r="P138" s="66">
        <v>2.2E7</v>
      </c>
      <c r="Q138" s="99"/>
      <c r="R138" s="66">
        <v>2.7E7</v>
      </c>
      <c r="S138" s="66">
        <v>4.3E7</v>
      </c>
      <c r="T138" s="66">
        <v>2.0E7</v>
      </c>
      <c r="U138" s="72">
        <v>0.5</v>
      </c>
      <c r="V138" s="99"/>
      <c r="W138" s="76"/>
      <c r="X138" s="66">
        <v>1.6E7</v>
      </c>
      <c r="Y138" s="86"/>
    </row>
    <row r="139">
      <c r="A139" s="60">
        <v>136.0</v>
      </c>
      <c r="B139" s="79" t="s">
        <v>468</v>
      </c>
      <c r="C139" s="69">
        <v>337000.0</v>
      </c>
      <c r="D139" s="80" t="str">
        <f t="shared" si="9"/>
        <v>Mid</v>
      </c>
      <c r="E139" s="64" t="s">
        <v>468</v>
      </c>
      <c r="F139" s="68">
        <v>4800000.0</v>
      </c>
      <c r="G139" s="80" t="str">
        <f t="shared" si="6"/>
        <v>Mega</v>
      </c>
      <c r="H139" s="95"/>
      <c r="I139" s="80" t="s">
        <v>467</v>
      </c>
      <c r="J139" s="76"/>
      <c r="K139" s="66">
        <v>6000000.0</v>
      </c>
      <c r="L139" s="66">
        <v>1.5E7</v>
      </c>
      <c r="M139" s="66">
        <v>1000000.0</v>
      </c>
      <c r="N139" s="66">
        <v>8000000.0</v>
      </c>
      <c r="O139" s="66">
        <v>1.0E7</v>
      </c>
      <c r="P139" s="66">
        <v>2.0E7</v>
      </c>
      <c r="Q139" s="99"/>
      <c r="R139" s="66">
        <v>2.5E7</v>
      </c>
      <c r="S139" s="66">
        <v>4.0E7</v>
      </c>
      <c r="T139" s="66">
        <v>2.0E7</v>
      </c>
      <c r="U139" s="72">
        <v>0.5</v>
      </c>
      <c r="V139" s="99"/>
      <c r="W139" s="76"/>
      <c r="X139" s="66">
        <v>1.5E7</v>
      </c>
      <c r="Y139" s="86"/>
    </row>
    <row r="140">
      <c r="A140" s="60">
        <v>137.0</v>
      </c>
      <c r="B140" s="79" t="s">
        <v>469</v>
      </c>
      <c r="C140" s="69">
        <v>101000.0</v>
      </c>
      <c r="D140" s="80" t="str">
        <f t="shared" si="9"/>
        <v>Mid</v>
      </c>
      <c r="E140" s="64" t="s">
        <v>470</v>
      </c>
      <c r="F140" s="68">
        <v>2100000.0</v>
      </c>
      <c r="G140" s="80" t="str">
        <f t="shared" si="6"/>
        <v>Mega</v>
      </c>
      <c r="H140" s="95"/>
      <c r="I140" s="80" t="s">
        <v>467</v>
      </c>
      <c r="J140" s="76"/>
      <c r="K140" s="66">
        <v>5000000.0</v>
      </c>
      <c r="L140" s="66">
        <v>1.2E7</v>
      </c>
      <c r="M140" s="66">
        <v>1000000.0</v>
      </c>
      <c r="N140" s="66">
        <v>1.3E7</v>
      </c>
      <c r="O140" s="76"/>
      <c r="P140" s="66">
        <v>1.8E7</v>
      </c>
      <c r="Q140" s="99"/>
      <c r="R140" s="66">
        <v>2.5E7</v>
      </c>
      <c r="S140" s="66">
        <v>3.0E7</v>
      </c>
      <c r="T140" s="66">
        <v>1.5E7</v>
      </c>
      <c r="U140" s="72">
        <v>0.5</v>
      </c>
      <c r="V140" s="99"/>
      <c r="W140" s="76"/>
      <c r="X140" s="66">
        <v>2.0E7</v>
      </c>
      <c r="Y140" s="86"/>
    </row>
    <row r="141">
      <c r="A141" s="60">
        <v>138.0</v>
      </c>
      <c r="B141" s="79" t="s">
        <v>471</v>
      </c>
      <c r="C141" s="68">
        <v>1200000.0</v>
      </c>
      <c r="D141" s="80" t="str">
        <f t="shared" si="9"/>
        <v>Mega</v>
      </c>
      <c r="E141" s="64" t="s">
        <v>471</v>
      </c>
      <c r="F141" s="68">
        <v>8000000.0</v>
      </c>
      <c r="G141" s="80" t="str">
        <f t="shared" si="6"/>
        <v>Mega</v>
      </c>
      <c r="H141" s="95"/>
      <c r="I141" s="80" t="s">
        <v>144</v>
      </c>
      <c r="J141" s="76"/>
      <c r="K141" s="66">
        <v>6000000.0</v>
      </c>
      <c r="L141" s="66">
        <v>1.5E7</v>
      </c>
      <c r="M141" s="66">
        <v>1000000.0</v>
      </c>
      <c r="N141" s="66">
        <v>2.2E7</v>
      </c>
      <c r="O141" s="76"/>
      <c r="P141" s="66">
        <v>2.5E7</v>
      </c>
      <c r="Q141" s="99"/>
      <c r="R141" s="66">
        <v>3.0E7</v>
      </c>
      <c r="S141" s="66">
        <v>5.0E7</v>
      </c>
      <c r="T141" s="66">
        <v>2.0E7</v>
      </c>
      <c r="U141" s="72">
        <v>0.5</v>
      </c>
      <c r="V141" s="99"/>
      <c r="W141" s="76"/>
      <c r="X141" s="66">
        <v>1.5E7</v>
      </c>
      <c r="Y141" s="86"/>
    </row>
    <row r="142">
      <c r="A142" s="60">
        <v>139.0</v>
      </c>
      <c r="B142" s="79" t="s">
        <v>472</v>
      </c>
      <c r="C142" s="69">
        <v>712000.0</v>
      </c>
      <c r="D142" s="80" t="str">
        <f t="shared" si="9"/>
        <v>Macro</v>
      </c>
      <c r="E142" s="64" t="s">
        <v>473</v>
      </c>
      <c r="F142" s="69">
        <v>815000.0</v>
      </c>
      <c r="G142" s="80" t="str">
        <f t="shared" si="6"/>
        <v>Macro</v>
      </c>
      <c r="H142" s="95"/>
      <c r="I142" s="80" t="s">
        <v>144</v>
      </c>
      <c r="J142" s="76"/>
      <c r="K142" s="66">
        <v>5000000.0</v>
      </c>
      <c r="L142" s="66">
        <v>1.1E7</v>
      </c>
      <c r="M142" s="66">
        <v>1000000.0</v>
      </c>
      <c r="N142" s="66">
        <v>9000000.0</v>
      </c>
      <c r="O142" s="76"/>
      <c r="P142" s="66">
        <v>1.6E7</v>
      </c>
      <c r="Q142" s="99"/>
      <c r="R142" s="66">
        <v>1.0E7</v>
      </c>
      <c r="S142" s="66">
        <v>2.3E7</v>
      </c>
      <c r="T142" s="66">
        <v>1.5E7</v>
      </c>
      <c r="U142" s="72">
        <v>0.5</v>
      </c>
      <c r="V142" s="99"/>
      <c r="W142" s="76"/>
      <c r="X142" s="66">
        <v>6000000.0</v>
      </c>
      <c r="Y142" s="86"/>
    </row>
    <row r="143">
      <c r="A143" s="60">
        <v>140.0</v>
      </c>
      <c r="B143" s="79" t="s">
        <v>474</v>
      </c>
      <c r="C143" s="69">
        <v>12700.0</v>
      </c>
      <c r="D143" s="80" t="str">
        <f t="shared" si="9"/>
        <v>Micro</v>
      </c>
      <c r="E143" s="64" t="s">
        <v>475</v>
      </c>
      <c r="F143" s="69">
        <v>320500.0</v>
      </c>
      <c r="G143" s="80" t="str">
        <f t="shared" si="6"/>
        <v>Mid</v>
      </c>
      <c r="H143" s="95"/>
      <c r="I143" s="80" t="s">
        <v>393</v>
      </c>
      <c r="J143" s="76"/>
      <c r="K143" s="66">
        <v>4000000.0</v>
      </c>
      <c r="L143" s="66">
        <v>9000000.0</v>
      </c>
      <c r="M143" s="66">
        <v>1000000.0</v>
      </c>
      <c r="N143" s="66">
        <v>6000000.0</v>
      </c>
      <c r="O143" s="76"/>
      <c r="P143" s="66">
        <v>1.0E7</v>
      </c>
      <c r="Q143" s="99"/>
      <c r="R143" s="66">
        <v>1.0E7</v>
      </c>
      <c r="S143" s="66">
        <v>1.7E7</v>
      </c>
      <c r="T143" s="66">
        <v>1.5E7</v>
      </c>
      <c r="U143" s="72">
        <v>0.5</v>
      </c>
      <c r="V143" s="99"/>
      <c r="W143" s="76"/>
      <c r="X143" s="66">
        <v>3000000.0</v>
      </c>
      <c r="Y143" s="86"/>
    </row>
    <row r="144">
      <c r="A144" s="60">
        <v>141.0</v>
      </c>
      <c r="B144" s="79" t="s">
        <v>476</v>
      </c>
      <c r="C144" s="69">
        <v>313000.0</v>
      </c>
      <c r="D144" s="80" t="str">
        <f t="shared" si="9"/>
        <v>Mid</v>
      </c>
      <c r="E144" s="64" t="s">
        <v>476</v>
      </c>
      <c r="F144" s="69">
        <v>277700.0</v>
      </c>
      <c r="G144" s="80" t="str">
        <f t="shared" si="6"/>
        <v>Mid</v>
      </c>
      <c r="H144" s="95"/>
      <c r="I144" s="80" t="s">
        <v>477</v>
      </c>
      <c r="J144" s="76"/>
      <c r="K144" s="66">
        <v>5000000.0</v>
      </c>
      <c r="L144" s="66">
        <v>1.3E7</v>
      </c>
      <c r="M144" s="76"/>
      <c r="N144" s="66">
        <v>1.5E7</v>
      </c>
      <c r="O144" s="76"/>
      <c r="P144" s="66">
        <v>2.0E7</v>
      </c>
      <c r="Q144" s="99"/>
      <c r="R144" s="66">
        <v>1.9E7</v>
      </c>
      <c r="S144" s="66">
        <v>3.5E7</v>
      </c>
      <c r="T144" s="66">
        <v>2.0E7</v>
      </c>
      <c r="U144" s="72">
        <v>0.5</v>
      </c>
      <c r="V144" s="99"/>
      <c r="W144" s="76"/>
      <c r="X144" s="66">
        <v>1.5E7</v>
      </c>
      <c r="Y144" s="86"/>
    </row>
    <row r="145">
      <c r="A145" s="60">
        <v>142.0</v>
      </c>
      <c r="B145" s="79" t="s">
        <v>478</v>
      </c>
      <c r="C145" s="68">
        <v>2000000.0</v>
      </c>
      <c r="D145" s="80" t="str">
        <f t="shared" si="9"/>
        <v>Mega</v>
      </c>
      <c r="E145" s="64" t="s">
        <v>478</v>
      </c>
      <c r="F145" s="68">
        <v>1.12E7</v>
      </c>
      <c r="G145" s="80" t="str">
        <f t="shared" si="6"/>
        <v>Mega</v>
      </c>
      <c r="H145" s="95"/>
      <c r="I145" s="80" t="s">
        <v>477</v>
      </c>
      <c r="J145" s="76"/>
      <c r="K145" s="66">
        <v>1.3E7</v>
      </c>
      <c r="L145" s="66">
        <v>3.5E7</v>
      </c>
      <c r="M145" s="66">
        <v>1500000.0</v>
      </c>
      <c r="N145" s="66">
        <v>2.5E7</v>
      </c>
      <c r="O145" s="76"/>
      <c r="P145" s="66">
        <v>3.5E7</v>
      </c>
      <c r="Q145" s="99"/>
      <c r="R145" s="66">
        <v>5.0E7</v>
      </c>
      <c r="S145" s="66">
        <v>8.0E7</v>
      </c>
      <c r="T145" s="66">
        <v>3.0E7</v>
      </c>
      <c r="U145" s="72">
        <v>0.5</v>
      </c>
      <c r="V145" s="99"/>
      <c r="W145" s="76"/>
      <c r="X145" s="66">
        <v>2.0E7</v>
      </c>
      <c r="Y145" s="86"/>
    </row>
    <row r="146">
      <c r="A146" s="60">
        <v>143.0</v>
      </c>
      <c r="B146" s="79" t="s">
        <v>479</v>
      </c>
      <c r="C146" s="69">
        <v>253000.0</v>
      </c>
      <c r="D146" s="80" t="str">
        <f t="shared" si="9"/>
        <v>Mid</v>
      </c>
      <c r="E146" s="64" t="s">
        <v>480</v>
      </c>
      <c r="F146" s="69">
        <v>153000.0</v>
      </c>
      <c r="G146" s="80" t="str">
        <f t="shared" si="6"/>
        <v>Mid</v>
      </c>
      <c r="H146" s="95"/>
      <c r="I146" s="80" t="s">
        <v>477</v>
      </c>
      <c r="J146" s="76"/>
      <c r="K146" s="66">
        <v>4000000.0</v>
      </c>
      <c r="L146" s="66">
        <v>7000000.0</v>
      </c>
      <c r="M146" s="66">
        <v>1000000.0</v>
      </c>
      <c r="N146" s="66">
        <v>8000000.0</v>
      </c>
      <c r="O146" s="76"/>
      <c r="P146" s="66">
        <v>1.2E7</v>
      </c>
      <c r="Q146" s="99"/>
      <c r="R146" s="66">
        <v>8000000.0</v>
      </c>
      <c r="S146" s="66">
        <v>1.7E7</v>
      </c>
      <c r="T146" s="66">
        <v>1.5E7</v>
      </c>
      <c r="U146" s="72">
        <v>0.5</v>
      </c>
      <c r="V146" s="99"/>
      <c r="W146" s="76"/>
      <c r="X146" s="66">
        <v>1.4E7</v>
      </c>
      <c r="Y146" s="86"/>
    </row>
    <row r="147">
      <c r="A147" s="60">
        <v>144.0</v>
      </c>
      <c r="B147" s="79" t="s">
        <v>481</v>
      </c>
      <c r="C147" s="69">
        <v>253000.0</v>
      </c>
      <c r="D147" s="80" t="str">
        <f t="shared" si="9"/>
        <v>Mid</v>
      </c>
      <c r="E147" s="64" t="s">
        <v>482</v>
      </c>
      <c r="F147" s="68">
        <v>7800000.0</v>
      </c>
      <c r="G147" s="80" t="str">
        <f t="shared" si="6"/>
        <v>Mega</v>
      </c>
      <c r="H147" s="80" t="s">
        <v>39</v>
      </c>
      <c r="I147" s="80" t="s">
        <v>483</v>
      </c>
      <c r="J147" s="76"/>
      <c r="K147" s="76"/>
      <c r="L147" s="66">
        <v>1.0E7</v>
      </c>
      <c r="M147" s="71" t="s">
        <v>52</v>
      </c>
      <c r="N147" s="66">
        <v>1.4E7</v>
      </c>
      <c r="O147" s="76"/>
      <c r="P147" s="66">
        <v>1.7E7</v>
      </c>
      <c r="Q147" s="99"/>
      <c r="R147" s="66">
        <v>3.35E7</v>
      </c>
      <c r="S147" s="76"/>
      <c r="T147" s="76"/>
      <c r="U147" s="66">
        <v>4.75E7</v>
      </c>
      <c r="V147" s="66">
        <v>1.5E7</v>
      </c>
      <c r="W147" s="76"/>
      <c r="X147" s="66">
        <v>7500000.0</v>
      </c>
      <c r="Y147" s="86"/>
    </row>
    <row r="148">
      <c r="A148" s="60">
        <v>145.0</v>
      </c>
      <c r="B148" s="79" t="s">
        <v>484</v>
      </c>
      <c r="C148" s="69">
        <v>271000.0</v>
      </c>
      <c r="D148" s="80" t="str">
        <f t="shared" si="9"/>
        <v>Mid</v>
      </c>
      <c r="E148" s="64" t="s">
        <v>484</v>
      </c>
      <c r="F148" s="69">
        <v>104000.0</v>
      </c>
      <c r="G148" s="80" t="str">
        <f t="shared" si="6"/>
        <v>Mid</v>
      </c>
      <c r="H148" s="80" t="s">
        <v>46</v>
      </c>
      <c r="I148" s="80" t="s">
        <v>391</v>
      </c>
      <c r="J148" s="76"/>
      <c r="K148" s="66">
        <v>850000.0</v>
      </c>
      <c r="L148" s="76"/>
      <c r="M148" s="71" t="s">
        <v>52</v>
      </c>
      <c r="N148" s="66">
        <v>1500000.0</v>
      </c>
      <c r="O148" s="66">
        <v>100000.0</v>
      </c>
      <c r="P148" s="66">
        <v>2500000.0</v>
      </c>
      <c r="Q148" s="66">
        <v>350000.0</v>
      </c>
      <c r="R148" s="76"/>
      <c r="S148" s="76"/>
      <c r="T148" s="76"/>
      <c r="U148" s="66">
        <v>750000.0</v>
      </c>
      <c r="V148" s="66">
        <v>300000.0</v>
      </c>
      <c r="W148" s="66">
        <v>200000.0</v>
      </c>
      <c r="X148" s="66">
        <v>5000000.0</v>
      </c>
      <c r="Y148" s="86"/>
    </row>
    <row r="149">
      <c r="A149" s="60">
        <v>146.0</v>
      </c>
      <c r="B149" s="79" t="s">
        <v>485</v>
      </c>
      <c r="C149" s="69">
        <v>198000.0</v>
      </c>
      <c r="D149" s="80" t="str">
        <f t="shared" si="9"/>
        <v>Mid</v>
      </c>
      <c r="E149" s="64" t="s">
        <v>485</v>
      </c>
      <c r="F149" s="69">
        <v>11000.0</v>
      </c>
      <c r="G149" s="80" t="str">
        <f t="shared" si="6"/>
        <v>Micro</v>
      </c>
      <c r="H149" s="80" t="s">
        <v>486</v>
      </c>
      <c r="I149" s="80" t="s">
        <v>391</v>
      </c>
      <c r="J149" s="76"/>
      <c r="K149" s="66">
        <v>500000.0</v>
      </c>
      <c r="L149" s="76"/>
      <c r="M149" s="71" t="s">
        <v>52</v>
      </c>
      <c r="N149" s="66">
        <v>700000.0</v>
      </c>
      <c r="O149" s="76"/>
      <c r="P149" s="66">
        <v>1500000.0</v>
      </c>
      <c r="Q149" s="99"/>
      <c r="R149" s="76"/>
      <c r="S149" s="76"/>
      <c r="T149" s="76"/>
      <c r="U149" s="66">
        <v>1000000.0</v>
      </c>
      <c r="V149" s="99"/>
      <c r="W149" s="76"/>
      <c r="X149" s="76"/>
      <c r="Y149" s="86"/>
    </row>
    <row r="150">
      <c r="A150" s="60">
        <v>147.0</v>
      </c>
      <c r="B150" s="79" t="s">
        <v>487</v>
      </c>
      <c r="C150" s="68">
        <v>1600000.0</v>
      </c>
      <c r="D150" s="80" t="str">
        <f t="shared" si="9"/>
        <v>Mega</v>
      </c>
      <c r="E150" s="64" t="s">
        <v>488</v>
      </c>
      <c r="F150" s="68">
        <v>2400000.0</v>
      </c>
      <c r="G150" s="80" t="str">
        <f t="shared" si="6"/>
        <v>Mega</v>
      </c>
      <c r="H150" s="80" t="s">
        <v>46</v>
      </c>
      <c r="I150" s="80" t="s">
        <v>80</v>
      </c>
      <c r="J150" s="76"/>
      <c r="K150" s="66">
        <v>1.25E7</v>
      </c>
      <c r="L150" s="66">
        <v>2.5E7</v>
      </c>
      <c r="M150" s="76"/>
      <c r="N150" s="66">
        <v>2.0E7</v>
      </c>
      <c r="O150" s="76"/>
      <c r="P150" s="66">
        <v>4.5E7</v>
      </c>
      <c r="Q150" s="99"/>
      <c r="R150" s="66">
        <v>4.5E7</v>
      </c>
      <c r="S150" s="66">
        <v>7.0E7</v>
      </c>
      <c r="T150" s="66">
        <v>2.0E7</v>
      </c>
      <c r="U150" s="99"/>
      <c r="V150" s="66">
        <v>5000000.0</v>
      </c>
      <c r="W150" s="66">
        <v>3000000.0</v>
      </c>
      <c r="X150" s="66">
        <v>5.5E7</v>
      </c>
      <c r="Y150" s="86"/>
    </row>
    <row r="151">
      <c r="A151" s="60">
        <v>148.0</v>
      </c>
      <c r="B151" s="79" t="s">
        <v>489</v>
      </c>
      <c r="C151" s="69">
        <v>138000.0</v>
      </c>
      <c r="D151" s="80" t="str">
        <f t="shared" si="9"/>
        <v>Mid</v>
      </c>
      <c r="E151" s="64" t="s">
        <v>490</v>
      </c>
      <c r="F151" s="69">
        <v>49000.0</v>
      </c>
      <c r="G151" s="80" t="str">
        <f t="shared" si="6"/>
        <v>Micro</v>
      </c>
      <c r="H151" s="80" t="s">
        <v>46</v>
      </c>
      <c r="I151" s="80" t="s">
        <v>391</v>
      </c>
      <c r="J151" s="76"/>
      <c r="K151" s="76"/>
      <c r="L151" s="76"/>
      <c r="M151" s="76"/>
      <c r="N151" s="76"/>
      <c r="O151" s="66">
        <v>400000.0</v>
      </c>
      <c r="P151" s="66" t="s">
        <v>491</v>
      </c>
      <c r="Q151" s="99"/>
      <c r="R151" s="66">
        <v>500000.0</v>
      </c>
      <c r="S151" s="76"/>
      <c r="T151" s="76"/>
      <c r="U151" s="66">
        <v>800000.0</v>
      </c>
      <c r="V151" s="99"/>
      <c r="W151" s="76"/>
      <c r="X151" s="76"/>
      <c r="Y151" s="86"/>
    </row>
    <row r="152">
      <c r="A152" s="60">
        <v>149.0</v>
      </c>
      <c r="B152" s="79" t="s">
        <v>492</v>
      </c>
      <c r="C152" s="69">
        <v>629000.0</v>
      </c>
      <c r="D152" s="80" t="str">
        <f t="shared" si="9"/>
        <v>Macro</v>
      </c>
      <c r="E152" s="64" t="s">
        <v>493</v>
      </c>
      <c r="F152" s="69">
        <v>160000.0</v>
      </c>
      <c r="G152" s="80" t="str">
        <f t="shared" si="6"/>
        <v>Mid</v>
      </c>
      <c r="H152" s="80" t="s">
        <v>39</v>
      </c>
      <c r="I152" s="80" t="s">
        <v>391</v>
      </c>
      <c r="J152" s="76"/>
      <c r="K152" s="66">
        <v>3600000.0</v>
      </c>
      <c r="L152" s="66">
        <v>1.3E7</v>
      </c>
      <c r="M152" s="66">
        <v>900000.0</v>
      </c>
      <c r="N152" s="66">
        <v>1.8E7</v>
      </c>
      <c r="O152" s="66">
        <v>2.1E7</v>
      </c>
      <c r="P152" s="66">
        <v>2.5E7</v>
      </c>
      <c r="Q152" s="99"/>
      <c r="R152" s="66">
        <v>2.1E7</v>
      </c>
      <c r="S152" s="66">
        <v>1.0E7</v>
      </c>
      <c r="T152" s="76"/>
      <c r="U152" s="66">
        <v>2.5E7</v>
      </c>
      <c r="V152" s="99"/>
      <c r="W152" s="76"/>
      <c r="X152" s="76"/>
      <c r="Y152" s="86"/>
    </row>
    <row r="153">
      <c r="A153" s="60">
        <v>150.0</v>
      </c>
      <c r="B153" s="79" t="s">
        <v>494</v>
      </c>
      <c r="C153" s="69">
        <v>116000.0</v>
      </c>
      <c r="D153" s="80" t="str">
        <f t="shared" si="9"/>
        <v>Mid</v>
      </c>
      <c r="E153" s="64" t="s">
        <v>494</v>
      </c>
      <c r="F153" s="69">
        <v>47000.0</v>
      </c>
      <c r="G153" s="80" t="str">
        <f t="shared" si="6"/>
        <v>Micro</v>
      </c>
      <c r="H153" s="80" t="s">
        <v>83</v>
      </c>
      <c r="I153" s="80" t="s">
        <v>391</v>
      </c>
      <c r="J153" s="76"/>
      <c r="K153" s="76"/>
      <c r="L153" s="76"/>
      <c r="M153" s="76"/>
      <c r="N153" s="76"/>
      <c r="O153" s="76"/>
      <c r="P153" s="66">
        <v>1000000.0</v>
      </c>
      <c r="Q153" s="99"/>
      <c r="R153" s="66">
        <v>1000000.0</v>
      </c>
      <c r="S153" s="76"/>
      <c r="T153" s="76"/>
      <c r="U153" s="66">
        <v>2000000.0</v>
      </c>
      <c r="V153" s="99"/>
      <c r="W153" s="76"/>
      <c r="X153" s="76"/>
      <c r="Y153" s="86"/>
    </row>
    <row r="154">
      <c r="A154" s="60">
        <v>151.0</v>
      </c>
      <c r="B154" s="79" t="s">
        <v>495</v>
      </c>
      <c r="C154" s="69">
        <v>491000.0</v>
      </c>
      <c r="D154" s="66" t="str">
        <f t="shared" si="9"/>
        <v>Mid</v>
      </c>
      <c r="E154" s="64" t="s">
        <v>495</v>
      </c>
      <c r="F154" s="68">
        <v>1200000.0</v>
      </c>
      <c r="G154" s="66" t="str">
        <f t="shared" si="6"/>
        <v>Mega</v>
      </c>
      <c r="H154" s="80" t="s">
        <v>496</v>
      </c>
      <c r="I154" s="80" t="s">
        <v>391</v>
      </c>
      <c r="J154" s="76"/>
      <c r="K154" s="76"/>
      <c r="L154" s="76"/>
      <c r="M154" s="76"/>
      <c r="N154" s="76"/>
      <c r="O154" s="76"/>
      <c r="P154" s="66">
        <v>3500000.0</v>
      </c>
      <c r="Q154" s="99"/>
      <c r="R154" s="66">
        <v>3500000.0</v>
      </c>
      <c r="S154" s="66">
        <v>4000000.0</v>
      </c>
      <c r="T154" s="76"/>
      <c r="U154" s="76"/>
      <c r="V154" s="99"/>
      <c r="W154" s="76"/>
      <c r="X154" s="76"/>
      <c r="Y154" s="86"/>
    </row>
    <row r="155">
      <c r="A155" s="60">
        <v>152.0</v>
      </c>
      <c r="B155" s="79" t="s">
        <v>497</v>
      </c>
      <c r="C155" s="69">
        <v>193000.0</v>
      </c>
      <c r="D155" s="66" t="str">
        <f t="shared" si="9"/>
        <v>Mid</v>
      </c>
      <c r="E155" s="86"/>
      <c r="F155" s="96"/>
      <c r="G155" s="100"/>
      <c r="H155" s="80" t="s">
        <v>291</v>
      </c>
      <c r="I155" s="80" t="s">
        <v>391</v>
      </c>
      <c r="J155" s="76"/>
      <c r="K155" s="76"/>
      <c r="L155" s="76"/>
      <c r="M155" s="76"/>
      <c r="N155" s="76"/>
      <c r="O155" s="76"/>
      <c r="P155" s="66">
        <v>800000.0</v>
      </c>
      <c r="Q155" s="99"/>
      <c r="R155" s="76"/>
      <c r="S155" s="76"/>
      <c r="T155" s="76"/>
      <c r="U155" s="66">
        <v>700000.0</v>
      </c>
      <c r="V155" s="99"/>
      <c r="W155" s="76"/>
      <c r="X155" s="76"/>
      <c r="Y155" s="86"/>
    </row>
    <row r="156">
      <c r="A156" s="60">
        <v>153.0</v>
      </c>
      <c r="B156" s="79" t="s">
        <v>498</v>
      </c>
      <c r="C156" s="68">
        <v>1.58E7</v>
      </c>
      <c r="D156" s="66" t="str">
        <f t="shared" si="9"/>
        <v>Mega</v>
      </c>
      <c r="E156" s="64" t="s">
        <v>499</v>
      </c>
      <c r="F156" s="68">
        <v>6300000.0</v>
      </c>
      <c r="G156" s="66" t="str">
        <f t="shared" ref="G156:G179" si="10">ifs(F156&lt;10000, "Nano", F156&lt;=100000, "Micro", F156&lt;=500000, "Mid", F156&lt;=1000000, "Macro", F156&gt;1000000, "Mega")</f>
        <v>Mega</v>
      </c>
      <c r="H156" s="80" t="s">
        <v>39</v>
      </c>
      <c r="I156" s="80" t="s">
        <v>429</v>
      </c>
      <c r="J156" s="66">
        <v>1.5E7</v>
      </c>
      <c r="K156" s="66">
        <v>2.5E7</v>
      </c>
      <c r="L156" s="66">
        <v>3.5E7</v>
      </c>
      <c r="M156" s="71" t="s">
        <v>52</v>
      </c>
      <c r="N156" s="66">
        <v>6.0E7</v>
      </c>
      <c r="O156" s="66">
        <v>7.5E7</v>
      </c>
      <c r="P156" s="66">
        <v>1.2E8</v>
      </c>
      <c r="Q156" s="99"/>
      <c r="R156" s="66">
        <v>1.0E8</v>
      </c>
      <c r="S156" s="76"/>
      <c r="T156" s="66">
        <v>7.5E7</v>
      </c>
      <c r="U156" s="66">
        <v>1.0E8</v>
      </c>
      <c r="V156" s="99"/>
      <c r="W156" s="72">
        <v>0.25</v>
      </c>
      <c r="X156" s="76"/>
      <c r="Y156" s="86"/>
    </row>
    <row r="157">
      <c r="A157" s="60">
        <v>154.0</v>
      </c>
      <c r="B157" s="79" t="s">
        <v>500</v>
      </c>
      <c r="C157" s="69">
        <v>198000.0</v>
      </c>
      <c r="D157" s="66" t="str">
        <f t="shared" si="9"/>
        <v>Mid</v>
      </c>
      <c r="E157" s="64" t="s">
        <v>500</v>
      </c>
      <c r="F157" s="69">
        <v>428600.0</v>
      </c>
      <c r="G157" s="66" t="str">
        <f t="shared" si="10"/>
        <v>Mid</v>
      </c>
      <c r="H157" s="80" t="s">
        <v>50</v>
      </c>
      <c r="I157" s="80" t="s">
        <v>501</v>
      </c>
      <c r="J157" s="76"/>
      <c r="K157" s="66" t="s">
        <v>502</v>
      </c>
      <c r="L157" s="76"/>
      <c r="M157" s="76"/>
      <c r="N157" s="66">
        <v>3000000.0</v>
      </c>
      <c r="O157" s="76"/>
      <c r="P157" s="66" t="s">
        <v>503</v>
      </c>
      <c r="Q157" s="99"/>
      <c r="R157" s="66">
        <v>2000000.0</v>
      </c>
      <c r="S157" s="76"/>
      <c r="T157" s="76"/>
      <c r="U157" s="66">
        <v>500000.0</v>
      </c>
      <c r="V157" s="99"/>
      <c r="W157" s="99"/>
      <c r="X157" s="76"/>
      <c r="Y157" s="86"/>
    </row>
    <row r="158">
      <c r="A158" s="60">
        <v>155.0</v>
      </c>
      <c r="B158" s="79" t="s">
        <v>504</v>
      </c>
      <c r="C158" s="69">
        <v>143000.0</v>
      </c>
      <c r="D158" s="66" t="str">
        <f t="shared" si="9"/>
        <v>Mid</v>
      </c>
      <c r="E158" s="64" t="s">
        <v>505</v>
      </c>
      <c r="F158" s="69">
        <v>198100.0</v>
      </c>
      <c r="G158" s="66" t="str">
        <f t="shared" si="10"/>
        <v>Mid</v>
      </c>
      <c r="H158" s="80" t="s">
        <v>168</v>
      </c>
      <c r="I158" s="80" t="s">
        <v>96</v>
      </c>
      <c r="J158" s="76"/>
      <c r="K158" s="66" t="s">
        <v>506</v>
      </c>
      <c r="L158" s="76"/>
      <c r="M158" s="76"/>
      <c r="N158" s="76"/>
      <c r="O158" s="76"/>
      <c r="P158" s="76"/>
      <c r="Q158" s="99"/>
      <c r="R158" s="76"/>
      <c r="S158" s="76"/>
      <c r="T158" s="76"/>
      <c r="U158" s="76"/>
      <c r="V158" s="99"/>
      <c r="W158" s="99"/>
      <c r="X158" s="76"/>
      <c r="Y158" s="86"/>
    </row>
    <row r="159">
      <c r="A159" s="60">
        <v>156.0</v>
      </c>
      <c r="B159" s="79" t="s">
        <v>507</v>
      </c>
      <c r="C159" s="69">
        <v>162000.0</v>
      </c>
      <c r="D159" s="66" t="str">
        <f t="shared" si="9"/>
        <v>Mid</v>
      </c>
      <c r="E159" s="64" t="s">
        <v>508</v>
      </c>
      <c r="F159" s="69">
        <v>337100.0</v>
      </c>
      <c r="G159" s="66" t="str">
        <f t="shared" si="10"/>
        <v>Mid</v>
      </c>
      <c r="H159" s="80" t="s">
        <v>509</v>
      </c>
      <c r="I159" s="80" t="s">
        <v>261</v>
      </c>
      <c r="J159" s="76"/>
      <c r="K159" s="76"/>
      <c r="L159" s="66">
        <v>2500000.0</v>
      </c>
      <c r="M159" s="76"/>
      <c r="N159" s="66">
        <v>2950000.0</v>
      </c>
      <c r="O159" s="66">
        <v>100000.0</v>
      </c>
      <c r="P159" s="66">
        <v>7000000.0</v>
      </c>
      <c r="Q159" s="99"/>
      <c r="R159" s="66">
        <v>1.05E7</v>
      </c>
      <c r="S159" s="66">
        <v>9750000.0</v>
      </c>
      <c r="T159" s="66">
        <v>8000000.0</v>
      </c>
      <c r="U159" s="66">
        <v>1750000.0</v>
      </c>
      <c r="V159" s="66">
        <v>500000.0</v>
      </c>
      <c r="W159" s="66">
        <v>500000.0</v>
      </c>
      <c r="X159" s="76"/>
      <c r="Y159" s="86"/>
    </row>
    <row r="160">
      <c r="A160" s="60">
        <v>157.0</v>
      </c>
      <c r="B160" s="79" t="s">
        <v>510</v>
      </c>
      <c r="C160" s="69">
        <v>5000.0</v>
      </c>
      <c r="D160" s="66" t="str">
        <f t="shared" si="9"/>
        <v>Nano</v>
      </c>
      <c r="E160" s="64" t="s">
        <v>510</v>
      </c>
      <c r="F160" s="69">
        <v>282400.0</v>
      </c>
      <c r="G160" s="66" t="str">
        <f t="shared" si="10"/>
        <v>Mid</v>
      </c>
      <c r="H160" s="80" t="s">
        <v>50</v>
      </c>
      <c r="I160" s="80" t="s">
        <v>96</v>
      </c>
      <c r="J160" s="76"/>
      <c r="K160" s="76"/>
      <c r="L160" s="76"/>
      <c r="M160" s="76"/>
      <c r="N160" s="76"/>
      <c r="O160" s="76"/>
      <c r="P160" s="76"/>
      <c r="Q160" s="99"/>
      <c r="R160" s="66">
        <v>1000000.0</v>
      </c>
      <c r="S160" s="66">
        <v>1300000.0</v>
      </c>
      <c r="T160" s="76"/>
      <c r="U160" s="76"/>
      <c r="V160" s="99"/>
      <c r="W160" s="99"/>
      <c r="X160" s="66">
        <v>100000.0</v>
      </c>
      <c r="Y160" s="86"/>
    </row>
    <row r="161">
      <c r="A161" s="60">
        <v>158.0</v>
      </c>
      <c r="B161" s="79" t="s">
        <v>511</v>
      </c>
      <c r="C161" s="68">
        <v>4000000.0</v>
      </c>
      <c r="D161" s="66" t="str">
        <f t="shared" si="9"/>
        <v>Mega</v>
      </c>
      <c r="E161" s="64" t="s">
        <v>511</v>
      </c>
      <c r="F161" s="68">
        <v>6000000.0</v>
      </c>
      <c r="G161" s="66" t="str">
        <f t="shared" si="10"/>
        <v>Mega</v>
      </c>
      <c r="H161" s="80" t="s">
        <v>39</v>
      </c>
      <c r="I161" s="80" t="s">
        <v>512</v>
      </c>
      <c r="J161" s="76"/>
      <c r="K161" s="66">
        <v>3750000.0</v>
      </c>
      <c r="L161" s="76"/>
      <c r="M161" s="76"/>
      <c r="N161" s="66">
        <v>5500000.0</v>
      </c>
      <c r="O161" s="76"/>
      <c r="P161" s="66">
        <v>6500000.0</v>
      </c>
      <c r="Q161" s="99"/>
      <c r="R161" s="66">
        <v>7500000.0</v>
      </c>
      <c r="S161" s="76"/>
      <c r="T161" s="76"/>
      <c r="U161" s="76"/>
      <c r="V161" s="76"/>
      <c r="W161" s="76"/>
      <c r="X161" s="76"/>
      <c r="Y161" s="86"/>
    </row>
    <row r="162">
      <c r="A162" s="60">
        <v>159.0</v>
      </c>
      <c r="B162" s="79" t="s">
        <v>513</v>
      </c>
      <c r="C162" s="68">
        <v>2100000.0</v>
      </c>
      <c r="D162" s="66" t="str">
        <f t="shared" si="9"/>
        <v>Mega</v>
      </c>
      <c r="E162" s="64" t="s">
        <v>514</v>
      </c>
      <c r="F162" s="68">
        <v>9200000.0</v>
      </c>
      <c r="G162" s="66" t="str">
        <f t="shared" si="10"/>
        <v>Mega</v>
      </c>
      <c r="H162" s="80" t="s">
        <v>197</v>
      </c>
      <c r="I162" s="80" t="s">
        <v>80</v>
      </c>
      <c r="J162" s="76"/>
      <c r="K162" s="66">
        <v>1.3E7</v>
      </c>
      <c r="L162" s="66">
        <v>2.5E7</v>
      </c>
      <c r="M162" s="71" t="s">
        <v>52</v>
      </c>
      <c r="N162" s="66">
        <v>2.8E7</v>
      </c>
      <c r="O162" s="66">
        <v>3000000.0</v>
      </c>
      <c r="P162" s="66">
        <v>3.5E7</v>
      </c>
      <c r="Q162" s="66">
        <v>2.0E7</v>
      </c>
      <c r="R162" s="66">
        <v>5.0E7</v>
      </c>
      <c r="S162" s="66">
        <v>2.0E7</v>
      </c>
      <c r="T162" s="66">
        <v>5.0E7</v>
      </c>
      <c r="U162" s="72">
        <v>1.0</v>
      </c>
      <c r="V162" s="66">
        <v>1.0E7</v>
      </c>
      <c r="W162" s="76"/>
      <c r="X162" s="76"/>
      <c r="Y162" s="86"/>
    </row>
    <row r="163">
      <c r="A163" s="60">
        <v>160.0</v>
      </c>
      <c r="B163" s="79" t="s">
        <v>515</v>
      </c>
      <c r="C163" s="68">
        <v>1400000.0</v>
      </c>
      <c r="D163" s="66" t="str">
        <f t="shared" si="9"/>
        <v>Mega</v>
      </c>
      <c r="E163" s="64" t="s">
        <v>516</v>
      </c>
      <c r="F163" s="68">
        <v>1500000.0</v>
      </c>
      <c r="G163" s="66" t="str">
        <f t="shared" si="10"/>
        <v>Mega</v>
      </c>
      <c r="H163" s="80" t="s">
        <v>39</v>
      </c>
      <c r="I163" s="80" t="s">
        <v>80</v>
      </c>
      <c r="J163" s="76"/>
      <c r="K163" s="66">
        <v>1.0E7</v>
      </c>
      <c r="L163" s="66">
        <v>2.0E7</v>
      </c>
      <c r="M163" s="71" t="s">
        <v>52</v>
      </c>
      <c r="N163" s="66">
        <v>2.0E7</v>
      </c>
      <c r="O163" s="66">
        <v>5000000.0</v>
      </c>
      <c r="P163" s="66">
        <v>2.8E7</v>
      </c>
      <c r="Q163" s="66">
        <v>5000000.0</v>
      </c>
      <c r="R163" s="66">
        <v>2.8E7</v>
      </c>
      <c r="S163" s="76"/>
      <c r="T163" s="66">
        <v>3.0E7</v>
      </c>
      <c r="U163" s="76"/>
      <c r="V163" s="76"/>
      <c r="W163" s="66">
        <v>3000000.0</v>
      </c>
      <c r="X163" s="76"/>
      <c r="Y163" s="86"/>
    </row>
    <row r="164">
      <c r="A164" s="60">
        <v>161.0</v>
      </c>
      <c r="B164" s="79" t="s">
        <v>517</v>
      </c>
      <c r="C164" s="68">
        <v>1900000.0</v>
      </c>
      <c r="D164" s="66" t="str">
        <f t="shared" si="9"/>
        <v>Mega</v>
      </c>
      <c r="E164" s="64" t="s">
        <v>518</v>
      </c>
      <c r="F164" s="68">
        <v>1.61E7</v>
      </c>
      <c r="G164" s="66" t="str">
        <f t="shared" si="10"/>
        <v>Mega</v>
      </c>
      <c r="H164" s="80" t="s">
        <v>39</v>
      </c>
      <c r="I164" s="80" t="s">
        <v>80</v>
      </c>
      <c r="J164" s="66">
        <v>2500000.0</v>
      </c>
      <c r="K164" s="66">
        <v>4000000.0</v>
      </c>
      <c r="L164" s="76"/>
      <c r="M164" s="66">
        <v>3000000.0</v>
      </c>
      <c r="N164" s="66">
        <v>1.5E7</v>
      </c>
      <c r="O164" s="76"/>
      <c r="P164" s="66">
        <v>2.5E7</v>
      </c>
      <c r="Q164" s="99"/>
      <c r="R164" s="66">
        <v>3.5E7</v>
      </c>
      <c r="S164" s="76"/>
      <c r="T164" s="76"/>
      <c r="U164" s="76"/>
      <c r="V164" s="76"/>
      <c r="W164" s="66">
        <v>3.5E7</v>
      </c>
      <c r="X164" s="76"/>
      <c r="Y164" s="86"/>
    </row>
    <row r="165">
      <c r="A165" s="60">
        <v>162.0</v>
      </c>
      <c r="B165" s="79" t="s">
        <v>519</v>
      </c>
      <c r="C165" s="69">
        <v>601000.0</v>
      </c>
      <c r="D165" s="66" t="str">
        <f t="shared" si="9"/>
        <v>Macro</v>
      </c>
      <c r="E165" s="64" t="s">
        <v>520</v>
      </c>
      <c r="F165" s="68">
        <v>1400000.0</v>
      </c>
      <c r="G165" s="66" t="str">
        <f t="shared" si="10"/>
        <v>Mega</v>
      </c>
      <c r="H165" s="80" t="s">
        <v>39</v>
      </c>
      <c r="I165" s="80" t="s">
        <v>429</v>
      </c>
      <c r="J165" s="76"/>
      <c r="K165" s="66">
        <v>7000000.0</v>
      </c>
      <c r="L165" s="76"/>
      <c r="M165" s="76"/>
      <c r="N165" s="66">
        <v>4.0E7</v>
      </c>
      <c r="O165" s="76"/>
      <c r="P165" s="66">
        <v>5.0E7</v>
      </c>
      <c r="Q165" s="66">
        <v>4.5E7</v>
      </c>
      <c r="R165" s="66">
        <v>6.0E7</v>
      </c>
      <c r="S165" s="76"/>
      <c r="T165" s="66">
        <v>7.0E7</v>
      </c>
      <c r="U165" s="76"/>
      <c r="V165" s="76"/>
      <c r="W165" s="76"/>
      <c r="X165" s="76"/>
      <c r="Y165" s="86"/>
    </row>
    <row r="166">
      <c r="A166" s="60">
        <v>163.0</v>
      </c>
      <c r="B166" s="79" t="s">
        <v>521</v>
      </c>
      <c r="C166" s="68">
        <v>3000000.0</v>
      </c>
      <c r="D166" s="66" t="str">
        <f t="shared" si="9"/>
        <v>Mega</v>
      </c>
      <c r="E166" s="64" t="s">
        <v>522</v>
      </c>
      <c r="F166" s="68">
        <v>1300000.0</v>
      </c>
      <c r="G166" s="66" t="str">
        <f t="shared" si="10"/>
        <v>Mega</v>
      </c>
      <c r="H166" s="80" t="s">
        <v>39</v>
      </c>
      <c r="I166" s="80" t="s">
        <v>429</v>
      </c>
      <c r="J166" s="76"/>
      <c r="K166" s="66">
        <v>1.5E7</v>
      </c>
      <c r="L166" s="66">
        <v>2.25E7</v>
      </c>
      <c r="M166" s="71" t="s">
        <v>52</v>
      </c>
      <c r="N166" s="66">
        <v>3.0E7</v>
      </c>
      <c r="O166" s="66">
        <v>3.5E7</v>
      </c>
      <c r="P166" s="66">
        <v>5.0E7</v>
      </c>
      <c r="Q166" s="76"/>
      <c r="R166" s="66">
        <v>5.0E7</v>
      </c>
      <c r="S166" s="76"/>
      <c r="T166" s="66">
        <v>5.0E7</v>
      </c>
      <c r="U166" s="76"/>
      <c r="V166" s="66">
        <v>5000000.0</v>
      </c>
      <c r="W166" s="76"/>
      <c r="X166" s="76"/>
      <c r="Y166" s="86"/>
    </row>
    <row r="167">
      <c r="A167" s="60">
        <v>164.0</v>
      </c>
      <c r="B167" s="88" t="s">
        <v>523</v>
      </c>
      <c r="C167" s="69">
        <v>104000.0</v>
      </c>
      <c r="D167" s="66" t="str">
        <f t="shared" ref="D167:D179" si="11">ifs(C167&lt;10000, "Nano", C167&lt;=100000, "Micro", C167&lt;=500000, "Mid", C167&lt;=1000000, "Macro", C167&gt;1000000, "Mega")</f>
        <v>Mid</v>
      </c>
      <c r="E167" s="89" t="s">
        <v>524</v>
      </c>
      <c r="F167" s="69">
        <v>41300.0</v>
      </c>
      <c r="G167" s="66" t="str">
        <f t="shared" si="10"/>
        <v>Micro</v>
      </c>
      <c r="H167" s="80" t="s">
        <v>83</v>
      </c>
      <c r="I167" s="80" t="s">
        <v>144</v>
      </c>
      <c r="J167" s="76"/>
      <c r="K167" s="66">
        <v>2500000.0</v>
      </c>
      <c r="L167" s="66">
        <v>5000000.0</v>
      </c>
      <c r="M167" s="71" t="s">
        <v>52</v>
      </c>
      <c r="N167" s="66">
        <v>3500000.0</v>
      </c>
      <c r="O167" s="76"/>
      <c r="P167" s="66">
        <v>7500000.0</v>
      </c>
      <c r="Q167" s="76"/>
      <c r="R167" s="76"/>
      <c r="S167" s="76"/>
      <c r="T167" s="76"/>
      <c r="U167" s="76"/>
      <c r="V167" s="76"/>
      <c r="W167" s="76"/>
      <c r="X167" s="76"/>
      <c r="Y167" s="86"/>
    </row>
    <row r="168">
      <c r="A168" s="60">
        <v>165.0</v>
      </c>
      <c r="B168" s="88" t="s">
        <v>525</v>
      </c>
      <c r="C168" s="68">
        <v>1300000.0</v>
      </c>
      <c r="D168" s="66" t="str">
        <f t="shared" si="11"/>
        <v>Mega</v>
      </c>
      <c r="E168" s="89" t="s">
        <v>526</v>
      </c>
      <c r="F168" s="68">
        <v>1400000.0</v>
      </c>
      <c r="G168" s="66" t="str">
        <f t="shared" si="10"/>
        <v>Mega</v>
      </c>
      <c r="H168" s="80" t="s">
        <v>83</v>
      </c>
      <c r="I168" s="80" t="s">
        <v>80</v>
      </c>
      <c r="J168" s="66">
        <v>2000000.0</v>
      </c>
      <c r="K168" s="66">
        <v>1.2E7</v>
      </c>
      <c r="L168" s="66">
        <v>3.0E7</v>
      </c>
      <c r="M168" s="71" t="s">
        <v>52</v>
      </c>
      <c r="N168" s="66">
        <v>3.0E7</v>
      </c>
      <c r="O168" s="66">
        <v>5000000.0</v>
      </c>
      <c r="P168" s="66">
        <v>5.0E7</v>
      </c>
      <c r="Q168" s="66">
        <v>1.0E7</v>
      </c>
      <c r="R168" s="66">
        <v>5.0E7</v>
      </c>
      <c r="S168" s="66">
        <v>8.5E7</v>
      </c>
      <c r="T168" s="66">
        <v>3.0E7</v>
      </c>
      <c r="U168" s="66">
        <v>7.0E7</v>
      </c>
      <c r="V168" s="66">
        <v>2.0E7</v>
      </c>
      <c r="W168" s="66">
        <v>1.0E7</v>
      </c>
      <c r="X168" s="66">
        <v>1.0E7</v>
      </c>
      <c r="Y168" s="86"/>
    </row>
    <row r="169">
      <c r="A169" s="60">
        <v>166.0</v>
      </c>
      <c r="B169" s="88" t="s">
        <v>527</v>
      </c>
      <c r="C169" s="68">
        <v>1.39E7</v>
      </c>
      <c r="D169" s="66" t="str">
        <f t="shared" si="11"/>
        <v>Mega</v>
      </c>
      <c r="E169" s="89" t="s">
        <v>527</v>
      </c>
      <c r="F169" s="68">
        <v>1.63E7</v>
      </c>
      <c r="G169" s="66" t="str">
        <f t="shared" si="10"/>
        <v>Mega</v>
      </c>
      <c r="H169" s="80" t="s">
        <v>83</v>
      </c>
      <c r="I169" s="80" t="s">
        <v>144</v>
      </c>
      <c r="J169" s="76"/>
      <c r="K169" s="66">
        <v>3.0E7</v>
      </c>
      <c r="L169" s="66">
        <v>1.0E8</v>
      </c>
      <c r="M169" s="71" t="s">
        <v>52</v>
      </c>
      <c r="N169" s="66">
        <v>7.0E7</v>
      </c>
      <c r="O169" s="66">
        <v>1.0E8</v>
      </c>
      <c r="P169" s="66">
        <v>1.1E8</v>
      </c>
      <c r="Q169" s="76"/>
      <c r="R169" s="66">
        <v>1.1E8</v>
      </c>
      <c r="S169" s="66">
        <v>1.95E8</v>
      </c>
      <c r="T169" s="76"/>
      <c r="U169" s="76"/>
      <c r="V169" s="76"/>
      <c r="W169" s="76"/>
      <c r="X169" s="76"/>
      <c r="Y169" s="86"/>
    </row>
    <row r="170">
      <c r="A170" s="60">
        <v>167.0</v>
      </c>
      <c r="B170" s="88" t="s">
        <v>528</v>
      </c>
      <c r="C170" s="68">
        <v>2200000.0</v>
      </c>
      <c r="D170" s="66" t="str">
        <f t="shared" si="11"/>
        <v>Mega</v>
      </c>
      <c r="E170" s="89" t="s">
        <v>528</v>
      </c>
      <c r="F170" s="69">
        <v>867100.0</v>
      </c>
      <c r="G170" s="66" t="str">
        <f t="shared" si="10"/>
        <v>Macro</v>
      </c>
      <c r="H170" s="80" t="s">
        <v>83</v>
      </c>
      <c r="I170" s="80" t="s">
        <v>80</v>
      </c>
      <c r="J170" s="76"/>
      <c r="K170" s="66">
        <v>1.2E7</v>
      </c>
      <c r="L170" s="76"/>
      <c r="M170" s="71" t="s">
        <v>52</v>
      </c>
      <c r="N170" s="66">
        <v>2.2E7</v>
      </c>
      <c r="O170" s="76"/>
      <c r="P170" s="66">
        <v>4.0E7</v>
      </c>
      <c r="Q170" s="76"/>
      <c r="R170" s="76"/>
      <c r="S170" s="76"/>
      <c r="T170" s="66">
        <v>4.0E7</v>
      </c>
      <c r="U170" s="76"/>
      <c r="V170" s="76"/>
      <c r="W170" s="76"/>
      <c r="X170" s="76"/>
      <c r="Y170" s="86"/>
    </row>
    <row r="171">
      <c r="A171" s="60">
        <v>168.0</v>
      </c>
      <c r="B171" s="88" t="s">
        <v>529</v>
      </c>
      <c r="C171" s="68">
        <v>9500000.0</v>
      </c>
      <c r="D171" s="66" t="str">
        <f t="shared" si="11"/>
        <v>Mega</v>
      </c>
      <c r="E171" s="89" t="s">
        <v>530</v>
      </c>
      <c r="F171" s="68">
        <v>6800000.0</v>
      </c>
      <c r="G171" s="66" t="str">
        <f t="shared" si="10"/>
        <v>Mega</v>
      </c>
      <c r="H171" s="80" t="s">
        <v>39</v>
      </c>
      <c r="I171" s="80" t="s">
        <v>531</v>
      </c>
      <c r="J171" s="76"/>
      <c r="K171" s="66">
        <v>1.5E7</v>
      </c>
      <c r="L171" s="66">
        <v>3.5E7</v>
      </c>
      <c r="M171" s="76"/>
      <c r="N171" s="66">
        <v>6.5E7</v>
      </c>
      <c r="O171" s="76"/>
      <c r="P171" s="66">
        <v>9.0E7</v>
      </c>
      <c r="Q171" s="76"/>
      <c r="R171" s="66">
        <v>7.0E7</v>
      </c>
      <c r="S171" s="66">
        <v>1.25E8</v>
      </c>
      <c r="T171" s="66">
        <v>6.5E7</v>
      </c>
      <c r="U171" s="76"/>
      <c r="V171" s="76"/>
      <c r="W171" s="76"/>
      <c r="X171" s="76"/>
      <c r="Y171" s="86"/>
    </row>
    <row r="172">
      <c r="A172" s="60">
        <v>169.0</v>
      </c>
      <c r="B172" s="88" t="s">
        <v>532</v>
      </c>
      <c r="C172" s="68">
        <v>2000000.0</v>
      </c>
      <c r="D172" s="66" t="str">
        <f t="shared" si="11"/>
        <v>Mega</v>
      </c>
      <c r="E172" s="89" t="s">
        <v>533</v>
      </c>
      <c r="F172" s="68">
        <v>5000000.0</v>
      </c>
      <c r="G172" s="66" t="str">
        <f t="shared" si="10"/>
        <v>Mega</v>
      </c>
      <c r="H172" s="80" t="s">
        <v>534</v>
      </c>
      <c r="I172" s="80" t="s">
        <v>531</v>
      </c>
      <c r="J172" s="76"/>
      <c r="K172" s="66">
        <v>5500000.0</v>
      </c>
      <c r="L172" s="66">
        <v>1.05E7</v>
      </c>
      <c r="M172" s="76"/>
      <c r="N172" s="76"/>
      <c r="O172" s="66">
        <v>1.4E7</v>
      </c>
      <c r="P172" s="66">
        <v>2.75E7</v>
      </c>
      <c r="Q172" s="76"/>
      <c r="R172" s="66">
        <v>3.0E7</v>
      </c>
      <c r="S172" s="66">
        <v>3.85E7</v>
      </c>
      <c r="T172" s="66">
        <v>9500000.0</v>
      </c>
      <c r="U172" s="76"/>
      <c r="V172" s="76"/>
      <c r="W172" s="66">
        <v>3500000.0</v>
      </c>
      <c r="X172" s="76"/>
      <c r="Y172" s="86"/>
    </row>
    <row r="173">
      <c r="A173" s="60">
        <v>170.0</v>
      </c>
      <c r="B173" s="88" t="s">
        <v>535</v>
      </c>
      <c r="C173" s="68">
        <v>1500000.0</v>
      </c>
      <c r="D173" s="66" t="str">
        <f t="shared" si="11"/>
        <v>Mega</v>
      </c>
      <c r="E173" s="89" t="s">
        <v>535</v>
      </c>
      <c r="F173" s="69">
        <v>739300.0</v>
      </c>
      <c r="G173" s="66" t="str">
        <f t="shared" si="10"/>
        <v>Macro</v>
      </c>
      <c r="H173" s="80" t="s">
        <v>536</v>
      </c>
      <c r="I173" s="80" t="s">
        <v>144</v>
      </c>
      <c r="J173" s="76"/>
      <c r="K173" s="66">
        <v>5500000.0</v>
      </c>
      <c r="L173" s="66">
        <v>7500000.0</v>
      </c>
      <c r="M173" s="76"/>
      <c r="N173" s="66">
        <v>3.5E7</v>
      </c>
      <c r="O173" s="76"/>
      <c r="P173" s="66">
        <v>5.0E7</v>
      </c>
      <c r="Q173" s="76"/>
      <c r="R173" s="66">
        <v>2.0E7</v>
      </c>
      <c r="S173" s="66">
        <v>6.0E7</v>
      </c>
      <c r="T173" s="66">
        <v>3.0E7</v>
      </c>
      <c r="U173" s="76"/>
      <c r="V173" s="76"/>
      <c r="W173" s="66">
        <v>2500000.0</v>
      </c>
      <c r="X173" s="76"/>
      <c r="Y173" s="86"/>
    </row>
    <row r="174">
      <c r="A174" s="60">
        <v>171.0</v>
      </c>
      <c r="B174" s="88" t="s">
        <v>537</v>
      </c>
      <c r="C174" s="68">
        <v>3000000.0</v>
      </c>
      <c r="D174" s="66" t="str">
        <f t="shared" si="11"/>
        <v>Mega</v>
      </c>
      <c r="E174" s="89" t="s">
        <v>538</v>
      </c>
      <c r="F174" s="68">
        <v>8100000.0</v>
      </c>
      <c r="G174" s="66" t="str">
        <f t="shared" si="10"/>
        <v>Mega</v>
      </c>
      <c r="H174" s="101" t="s">
        <v>39</v>
      </c>
      <c r="I174" s="80" t="s">
        <v>144</v>
      </c>
      <c r="J174" s="76"/>
      <c r="K174" s="66">
        <v>1.05E7</v>
      </c>
      <c r="L174" s="66">
        <v>2.5E7</v>
      </c>
      <c r="M174" s="76"/>
      <c r="N174" s="66">
        <v>2.5E7</v>
      </c>
      <c r="O174" s="76"/>
      <c r="P174" s="66">
        <v>3.5E7</v>
      </c>
      <c r="Q174" s="76"/>
      <c r="R174" s="66">
        <v>4.0E7</v>
      </c>
      <c r="S174" s="66">
        <v>6.0E7</v>
      </c>
      <c r="T174" s="76"/>
      <c r="U174" s="76"/>
      <c r="V174" s="76"/>
      <c r="W174" s="66">
        <v>5000000.0</v>
      </c>
      <c r="X174" s="76"/>
      <c r="Y174" s="86"/>
    </row>
    <row r="175">
      <c r="A175" s="60">
        <v>172.0</v>
      </c>
      <c r="B175" s="88" t="s">
        <v>539</v>
      </c>
      <c r="C175" s="69">
        <v>414000.0</v>
      </c>
      <c r="D175" s="66" t="str">
        <f t="shared" si="11"/>
        <v>Mid</v>
      </c>
      <c r="E175" s="89" t="s">
        <v>539</v>
      </c>
      <c r="F175" s="68">
        <v>1400000.0</v>
      </c>
      <c r="G175" s="66" t="str">
        <f t="shared" si="10"/>
        <v>Mega</v>
      </c>
      <c r="H175" s="80" t="s">
        <v>534</v>
      </c>
      <c r="I175" s="80" t="s">
        <v>540</v>
      </c>
      <c r="J175" s="76"/>
      <c r="K175" s="66">
        <v>5500000.0</v>
      </c>
      <c r="L175" s="66">
        <v>1.2E7</v>
      </c>
      <c r="M175" s="76"/>
      <c r="N175" s="66">
        <v>9000000.0</v>
      </c>
      <c r="O175" s="76"/>
      <c r="P175" s="66">
        <v>1.65E7</v>
      </c>
      <c r="Q175" s="76"/>
      <c r="R175" s="66">
        <v>1.7E7</v>
      </c>
      <c r="S175" s="66">
        <v>2.25E7</v>
      </c>
      <c r="T175" s="66">
        <v>7500000.0</v>
      </c>
      <c r="U175" s="76"/>
      <c r="V175" s="76"/>
      <c r="W175" s="76"/>
      <c r="X175" s="76"/>
      <c r="Y175" s="86"/>
    </row>
    <row r="176">
      <c r="A176" s="60">
        <v>173.0</v>
      </c>
      <c r="B176" s="88" t="s">
        <v>541</v>
      </c>
      <c r="C176" s="69">
        <v>279000.0</v>
      </c>
      <c r="D176" s="66" t="str">
        <f t="shared" si="11"/>
        <v>Mid</v>
      </c>
      <c r="E176" s="89" t="s">
        <v>541</v>
      </c>
      <c r="F176" s="69">
        <v>628300.0</v>
      </c>
      <c r="G176" s="66" t="str">
        <f t="shared" si="10"/>
        <v>Macro</v>
      </c>
      <c r="H176" s="80" t="s">
        <v>534</v>
      </c>
      <c r="I176" s="60" t="s">
        <v>542</v>
      </c>
      <c r="J176" s="76"/>
      <c r="K176" s="66">
        <v>3500000.0</v>
      </c>
      <c r="L176" s="66">
        <v>500000.0</v>
      </c>
      <c r="M176" s="76"/>
      <c r="N176" s="66">
        <v>5000000.0</v>
      </c>
      <c r="O176" s="76"/>
      <c r="P176" s="66">
        <v>6000000.0</v>
      </c>
      <c r="Q176" s="76"/>
      <c r="R176" s="66">
        <v>7000000.0</v>
      </c>
      <c r="S176" s="66">
        <v>8500000.0</v>
      </c>
      <c r="T176" s="66">
        <v>5000000.0</v>
      </c>
      <c r="U176" s="76"/>
      <c r="V176" s="76"/>
      <c r="W176" s="66">
        <v>2000000.0</v>
      </c>
      <c r="X176" s="76"/>
      <c r="Y176" s="86"/>
    </row>
    <row r="177">
      <c r="A177" s="60">
        <v>174.0</v>
      </c>
      <c r="B177" s="88" t="s">
        <v>543</v>
      </c>
      <c r="C177" s="69">
        <v>65300.0</v>
      </c>
      <c r="D177" s="66" t="str">
        <f t="shared" si="11"/>
        <v>Micro</v>
      </c>
      <c r="E177" s="89" t="s">
        <v>543</v>
      </c>
      <c r="F177" s="69">
        <v>594500.0</v>
      </c>
      <c r="G177" s="66" t="str">
        <f t="shared" si="10"/>
        <v>Macro</v>
      </c>
      <c r="H177" s="80" t="s">
        <v>46</v>
      </c>
      <c r="I177" s="80" t="s">
        <v>80</v>
      </c>
      <c r="J177" s="76"/>
      <c r="K177" s="76"/>
      <c r="L177" s="66">
        <v>6000000.0</v>
      </c>
      <c r="M177" s="71" t="s">
        <v>52</v>
      </c>
      <c r="N177" s="76"/>
      <c r="O177" s="76"/>
      <c r="P177" s="76"/>
      <c r="Q177" s="76"/>
      <c r="R177" s="66">
        <v>1.5E7</v>
      </c>
      <c r="S177" s="66">
        <v>2.3E7</v>
      </c>
      <c r="T177" s="76"/>
      <c r="U177" s="72">
        <v>1.0</v>
      </c>
      <c r="V177" s="66">
        <v>1500000.0</v>
      </c>
      <c r="W177" s="76"/>
      <c r="X177" s="76"/>
      <c r="Y177" s="86"/>
    </row>
    <row r="178">
      <c r="A178" s="60">
        <v>175.0</v>
      </c>
      <c r="B178" s="88" t="s">
        <v>544</v>
      </c>
      <c r="C178" s="68">
        <v>8000000.0</v>
      </c>
      <c r="D178" s="66" t="str">
        <f t="shared" si="11"/>
        <v>Mega</v>
      </c>
      <c r="E178" s="89" t="s">
        <v>545</v>
      </c>
      <c r="F178" s="68">
        <v>1.62E7</v>
      </c>
      <c r="G178" s="66" t="str">
        <f t="shared" si="10"/>
        <v>Mega</v>
      </c>
      <c r="H178" s="80" t="s">
        <v>297</v>
      </c>
      <c r="I178" s="80" t="s">
        <v>546</v>
      </c>
      <c r="J178" s="76"/>
      <c r="K178" s="66">
        <v>1.5E7</v>
      </c>
      <c r="L178" s="76"/>
      <c r="M178" s="66">
        <v>2500000.0</v>
      </c>
      <c r="N178" s="66">
        <v>5.0E7</v>
      </c>
      <c r="O178" s="76"/>
      <c r="P178" s="66">
        <v>8.0E7</v>
      </c>
      <c r="Q178" s="76"/>
      <c r="R178" s="66">
        <v>1.0E8</v>
      </c>
      <c r="S178" s="76"/>
      <c r="T178" s="76"/>
      <c r="U178" s="76"/>
      <c r="V178" s="76"/>
      <c r="W178" s="66">
        <v>1.5E7</v>
      </c>
      <c r="X178" s="76"/>
      <c r="Y178" s="86"/>
    </row>
    <row r="179">
      <c r="A179" s="60">
        <v>176.0</v>
      </c>
      <c r="B179" s="88" t="s">
        <v>547</v>
      </c>
      <c r="C179" s="68">
        <v>1200000.0</v>
      </c>
      <c r="D179" s="66" t="str">
        <f t="shared" si="11"/>
        <v>Mega</v>
      </c>
      <c r="E179" s="89" t="s">
        <v>548</v>
      </c>
      <c r="F179" s="68">
        <v>1000000.0</v>
      </c>
      <c r="G179" s="66" t="str">
        <f t="shared" si="10"/>
        <v>Macro</v>
      </c>
      <c r="H179" s="80" t="s">
        <v>39</v>
      </c>
      <c r="I179" s="80" t="s">
        <v>549</v>
      </c>
      <c r="J179" s="76"/>
      <c r="K179" s="66">
        <v>1.5E7</v>
      </c>
      <c r="L179" s="66">
        <v>2.5E7</v>
      </c>
      <c r="M179" s="66">
        <v>1000000.0</v>
      </c>
      <c r="N179" s="66">
        <v>3.5E7</v>
      </c>
      <c r="O179" s="66">
        <v>2500000.0</v>
      </c>
      <c r="P179" s="66">
        <v>6.5E7</v>
      </c>
      <c r="Q179" s="76"/>
      <c r="R179" s="66">
        <v>6.5E7</v>
      </c>
      <c r="S179" s="76"/>
      <c r="T179" s="76"/>
      <c r="U179" s="76"/>
      <c r="V179" s="76"/>
      <c r="W179" s="76"/>
      <c r="X179" s="76"/>
      <c r="Y179" s="86"/>
    </row>
  </sheetData>
  <mergeCells count="10">
    <mergeCell ref="K53:X53"/>
    <mergeCell ref="J57:M57"/>
    <mergeCell ref="U96:V96"/>
    <mergeCell ref="A1:I1"/>
    <mergeCell ref="J1:X1"/>
    <mergeCell ref="A2:A3"/>
    <mergeCell ref="B2:I2"/>
    <mergeCell ref="K2:Q2"/>
    <mergeCell ref="R2:X2"/>
    <mergeCell ref="J37:T37"/>
  </mergeCells>
  <conditionalFormatting sqref="A1:A179 B1:Y24 B26:Y104">
    <cfRule type="containsBlanks" dxfId="0" priority="1">
      <formula>LEN(TRIM(A1))=0</formula>
    </cfRule>
  </conditionalFormatting>
  <conditionalFormatting sqref="J105:Y106">
    <cfRule type="containsBlanks" dxfId="0" priority="2">
      <formula>LEN(TRIM(J105))=0</formula>
    </cfRule>
  </conditionalFormatting>
  <conditionalFormatting sqref="A1:Y179">
    <cfRule type="containsBlanks" dxfId="1" priority="3">
      <formula>LEN(TRIM(A1))=0</formula>
    </cfRule>
  </conditionalFormatting>
  <dataValidations>
    <dataValidation type="list" allowBlank="1" showErrorMessage="1" sqref="D4:D179 G4:G179">
      <formula1>"Mega,Macro,Micro,Nano,Mid,#N/A"</formula1>
    </dataValidation>
  </dataValidations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  <hyperlink r:id="rId47" ref="B27"/>
    <hyperlink r:id="rId48" ref="E27"/>
    <hyperlink r:id="rId49" ref="B28"/>
    <hyperlink r:id="rId50" ref="E28"/>
    <hyperlink r:id="rId51" ref="B29"/>
    <hyperlink r:id="rId52" ref="E29"/>
    <hyperlink r:id="rId53" ref="B30"/>
    <hyperlink r:id="rId54" ref="E30"/>
    <hyperlink r:id="rId55" ref="B31"/>
    <hyperlink r:id="rId56" ref="E31"/>
    <hyperlink r:id="rId57" ref="B32"/>
    <hyperlink r:id="rId58" ref="E32"/>
    <hyperlink r:id="rId59" ref="B33"/>
    <hyperlink r:id="rId60" ref="E33"/>
    <hyperlink r:id="rId61" ref="B34"/>
    <hyperlink r:id="rId62" ref="E34"/>
    <hyperlink r:id="rId63" ref="B35"/>
    <hyperlink r:id="rId64" ref="E35"/>
    <hyperlink r:id="rId65" ref="B36"/>
    <hyperlink r:id="rId66" ref="E36"/>
    <hyperlink r:id="rId67" ref="B37"/>
    <hyperlink r:id="rId68" ref="E37"/>
    <hyperlink r:id="rId69" ref="B38"/>
    <hyperlink r:id="rId70" ref="E38"/>
    <hyperlink r:id="rId71" ref="B39"/>
    <hyperlink r:id="rId72" ref="E39"/>
    <hyperlink r:id="rId73" ref="B40"/>
    <hyperlink r:id="rId74" ref="E40"/>
    <hyperlink r:id="rId75" ref="B41"/>
    <hyperlink r:id="rId76" ref="E41"/>
    <hyperlink r:id="rId77" ref="B42"/>
    <hyperlink r:id="rId78" ref="E42"/>
    <hyperlink r:id="rId79" ref="B43"/>
    <hyperlink r:id="rId80" ref="E43"/>
    <hyperlink r:id="rId81" ref="B44"/>
    <hyperlink r:id="rId82" ref="E44"/>
    <hyperlink r:id="rId83" ref="B45"/>
    <hyperlink r:id="rId84" ref="E45"/>
    <hyperlink r:id="rId85" ref="B46"/>
    <hyperlink r:id="rId86" ref="E46"/>
    <hyperlink r:id="rId87" ref="B47"/>
    <hyperlink r:id="rId88" ref="E47"/>
    <hyperlink r:id="rId89" ref="B48"/>
    <hyperlink r:id="rId90" ref="E48"/>
    <hyperlink r:id="rId91" ref="B49"/>
    <hyperlink r:id="rId92" ref="E49"/>
    <hyperlink r:id="rId93" ref="B50"/>
    <hyperlink r:id="rId94" ref="E50"/>
    <hyperlink r:id="rId95" ref="B51"/>
    <hyperlink r:id="rId96" ref="E51"/>
    <hyperlink r:id="rId97" ref="B52"/>
    <hyperlink r:id="rId98" ref="E52"/>
    <hyperlink r:id="rId99" ref="B53"/>
    <hyperlink r:id="rId100" ref="E53"/>
    <hyperlink r:id="rId101" ref="B54"/>
    <hyperlink r:id="rId102" ref="E54"/>
    <hyperlink r:id="rId103" ref="B55"/>
    <hyperlink r:id="rId104" ref="E55"/>
    <hyperlink r:id="rId105" ref="B56"/>
    <hyperlink r:id="rId106" ref="E56"/>
    <hyperlink r:id="rId107" ref="B57"/>
    <hyperlink r:id="rId108" ref="E57"/>
    <hyperlink r:id="rId109" ref="B58"/>
    <hyperlink r:id="rId110" ref="E58"/>
    <hyperlink r:id="rId111" ref="B59"/>
    <hyperlink r:id="rId112" ref="E59"/>
    <hyperlink r:id="rId113" ref="B60"/>
    <hyperlink r:id="rId114" ref="E60"/>
    <hyperlink r:id="rId115" ref="B61"/>
    <hyperlink r:id="rId116" ref="E61"/>
    <hyperlink r:id="rId117" ref="B62"/>
    <hyperlink r:id="rId118" ref="E62"/>
    <hyperlink r:id="rId119" ref="B63"/>
    <hyperlink r:id="rId120" ref="E63"/>
    <hyperlink r:id="rId121" ref="B64"/>
    <hyperlink r:id="rId122" ref="E64"/>
    <hyperlink r:id="rId123" ref="B65"/>
    <hyperlink r:id="rId124" ref="E65"/>
    <hyperlink r:id="rId125" ref="B66"/>
    <hyperlink r:id="rId126" ref="E66"/>
    <hyperlink r:id="rId127" ref="B67"/>
    <hyperlink r:id="rId128" ref="E67"/>
    <hyperlink r:id="rId129" ref="B68"/>
    <hyperlink r:id="rId130" ref="E68"/>
    <hyperlink r:id="rId131" ref="B69"/>
    <hyperlink r:id="rId132" ref="E69"/>
    <hyperlink r:id="rId133" ref="B70"/>
    <hyperlink r:id="rId134" ref="E70"/>
    <hyperlink r:id="rId135" ref="B71"/>
    <hyperlink r:id="rId136" ref="E71"/>
    <hyperlink r:id="rId137" ref="B72"/>
    <hyperlink r:id="rId138" ref="E72"/>
    <hyperlink r:id="rId139" ref="B73"/>
    <hyperlink r:id="rId140" ref="E73"/>
    <hyperlink r:id="rId141" ref="B74"/>
    <hyperlink r:id="rId142" ref="E74"/>
    <hyperlink r:id="rId143" ref="B75"/>
    <hyperlink r:id="rId144" ref="E75"/>
    <hyperlink r:id="rId145" ref="B76"/>
    <hyperlink r:id="rId146" ref="E76"/>
    <hyperlink r:id="rId147" ref="B77"/>
    <hyperlink r:id="rId148" ref="E77"/>
    <hyperlink r:id="rId149" ref="B78"/>
    <hyperlink r:id="rId150" ref="E78"/>
    <hyperlink r:id="rId151" ref="B79"/>
    <hyperlink r:id="rId152" ref="E79"/>
    <hyperlink r:id="rId153" ref="B80"/>
    <hyperlink r:id="rId154" ref="E80"/>
    <hyperlink r:id="rId155" ref="B81"/>
    <hyperlink r:id="rId156" ref="E81"/>
    <hyperlink r:id="rId157" ref="B82"/>
    <hyperlink r:id="rId158" ref="E82"/>
    <hyperlink r:id="rId159" ref="B83"/>
    <hyperlink r:id="rId160" ref="E83"/>
    <hyperlink r:id="rId161" ref="B84"/>
    <hyperlink r:id="rId162" ref="E84"/>
    <hyperlink r:id="rId163" ref="B85"/>
    <hyperlink r:id="rId164" ref="E85"/>
    <hyperlink r:id="rId165" ref="B86"/>
    <hyperlink r:id="rId166" ref="E86"/>
    <hyperlink r:id="rId167" ref="B87"/>
    <hyperlink r:id="rId168" ref="E87"/>
    <hyperlink r:id="rId169" ref="B88"/>
    <hyperlink r:id="rId170" ref="E88"/>
    <hyperlink r:id="rId171" ref="B89"/>
    <hyperlink r:id="rId172" ref="E89"/>
    <hyperlink r:id="rId173" ref="B90"/>
    <hyperlink r:id="rId174" ref="E90"/>
    <hyperlink r:id="rId175" ref="B91"/>
    <hyperlink r:id="rId176" ref="E91"/>
    <hyperlink r:id="rId177" ref="B92"/>
    <hyperlink r:id="rId178" ref="E92"/>
    <hyperlink r:id="rId179" ref="B93"/>
    <hyperlink r:id="rId180" ref="E93"/>
    <hyperlink r:id="rId181" ref="B94"/>
    <hyperlink r:id="rId182" ref="E94"/>
    <hyperlink r:id="rId183" ref="B95"/>
    <hyperlink r:id="rId184" ref="E95"/>
    <hyperlink r:id="rId185" ref="B96"/>
    <hyperlink r:id="rId186" ref="E96"/>
    <hyperlink r:id="rId187" ref="B97"/>
    <hyperlink r:id="rId188" ref="E97"/>
    <hyperlink r:id="rId189" ref="B98"/>
    <hyperlink r:id="rId190" ref="E98"/>
    <hyperlink r:id="rId191" ref="B99"/>
    <hyperlink r:id="rId192" ref="E99"/>
    <hyperlink r:id="rId193" ref="B100"/>
    <hyperlink r:id="rId194" ref="E100"/>
    <hyperlink r:id="rId195" ref="B101"/>
    <hyperlink r:id="rId196" ref="E101"/>
    <hyperlink r:id="rId197" ref="B102"/>
    <hyperlink r:id="rId198" ref="E102"/>
    <hyperlink r:id="rId199" ref="B103"/>
    <hyperlink r:id="rId200" ref="E103"/>
    <hyperlink r:id="rId201" ref="B104"/>
    <hyperlink r:id="rId202" ref="E104"/>
    <hyperlink r:id="rId203" ref="B105"/>
    <hyperlink r:id="rId204" ref="E105"/>
    <hyperlink r:id="rId205" ref="B106"/>
    <hyperlink r:id="rId206" ref="E106"/>
    <hyperlink r:id="rId207" ref="B107"/>
    <hyperlink r:id="rId208" ref="E107"/>
    <hyperlink r:id="rId209" ref="B108"/>
    <hyperlink r:id="rId210" ref="E108"/>
    <hyperlink r:id="rId211" ref="E109"/>
    <hyperlink r:id="rId212" ref="B110"/>
    <hyperlink r:id="rId213" ref="E110"/>
    <hyperlink r:id="rId214" ref="B111"/>
    <hyperlink r:id="rId215" ref="E111"/>
    <hyperlink r:id="rId216" ref="B112"/>
    <hyperlink r:id="rId217" ref="E112"/>
    <hyperlink r:id="rId218" ref="B113"/>
    <hyperlink r:id="rId219" ref="E113"/>
    <hyperlink r:id="rId220" ref="B114"/>
    <hyperlink r:id="rId221" ref="E114"/>
    <hyperlink r:id="rId222" ref="B115"/>
    <hyperlink r:id="rId223" ref="E115"/>
    <hyperlink r:id="rId224" ref="B116"/>
    <hyperlink r:id="rId225" ref="E116"/>
    <hyperlink r:id="rId226" ref="B117"/>
    <hyperlink r:id="rId227" ref="E117"/>
    <hyperlink r:id="rId228" ref="B118"/>
    <hyperlink r:id="rId229" ref="E118"/>
    <hyperlink r:id="rId230" ref="B119"/>
    <hyperlink r:id="rId231" ref="E119"/>
    <hyperlink r:id="rId232" ref="B120"/>
    <hyperlink r:id="rId233" ref="E120"/>
    <hyperlink r:id="rId234" ref="B121"/>
    <hyperlink r:id="rId235" ref="E121"/>
    <hyperlink r:id="rId236" ref="B122"/>
    <hyperlink r:id="rId237" ref="E122"/>
    <hyperlink r:id="rId238" ref="B123"/>
    <hyperlink r:id="rId239" ref="E123"/>
    <hyperlink r:id="rId240" ref="B124"/>
    <hyperlink r:id="rId241" ref="E124"/>
    <hyperlink r:id="rId242" ref="B125"/>
    <hyperlink r:id="rId243" ref="E125"/>
    <hyperlink r:id="rId244" ref="B126"/>
    <hyperlink r:id="rId245" ref="E126"/>
    <hyperlink r:id="rId246" ref="B127"/>
    <hyperlink r:id="rId247" ref="E127"/>
    <hyperlink r:id="rId248" ref="B128"/>
    <hyperlink r:id="rId249" ref="E128"/>
    <hyperlink r:id="rId250" ref="B129"/>
    <hyperlink r:id="rId251" ref="E129"/>
    <hyperlink r:id="rId252" ref="B130"/>
    <hyperlink r:id="rId253" ref="E130"/>
    <hyperlink r:id="rId254" ref="B131"/>
    <hyperlink r:id="rId255" ref="E131"/>
    <hyperlink r:id="rId256" ref="B132"/>
    <hyperlink r:id="rId257" ref="E132"/>
    <hyperlink r:id="rId258" ref="B133"/>
    <hyperlink r:id="rId259" ref="E133"/>
    <hyperlink r:id="rId260" ref="B134"/>
    <hyperlink r:id="rId261" ref="E134"/>
    <hyperlink r:id="rId262" ref="B135"/>
    <hyperlink r:id="rId263" ref="E135"/>
    <hyperlink r:id="rId264" ref="B136"/>
    <hyperlink r:id="rId265" ref="E136"/>
    <hyperlink r:id="rId266" ref="B137"/>
    <hyperlink r:id="rId267" ref="E137"/>
    <hyperlink r:id="rId268" ref="B138"/>
    <hyperlink r:id="rId269" ref="E138"/>
    <hyperlink r:id="rId270" ref="B139"/>
    <hyperlink r:id="rId271" ref="E139"/>
    <hyperlink r:id="rId272" ref="B140"/>
    <hyperlink r:id="rId273" ref="E140"/>
    <hyperlink r:id="rId274" ref="B141"/>
    <hyperlink r:id="rId275" ref="E141"/>
    <hyperlink r:id="rId276" ref="B142"/>
    <hyperlink r:id="rId277" ref="E142"/>
    <hyperlink r:id="rId278" ref="B143"/>
    <hyperlink r:id="rId279" ref="E143"/>
    <hyperlink r:id="rId280" ref="B144"/>
    <hyperlink r:id="rId281" ref="E144"/>
    <hyperlink r:id="rId282" ref="B145"/>
    <hyperlink r:id="rId283" ref="E145"/>
    <hyperlink r:id="rId284" ref="B146"/>
    <hyperlink r:id="rId285" ref="E146"/>
    <hyperlink r:id="rId286" ref="B147"/>
    <hyperlink r:id="rId287" ref="E147"/>
    <hyperlink r:id="rId288" ref="B148"/>
    <hyperlink r:id="rId289" ref="E148"/>
    <hyperlink r:id="rId290" ref="B149"/>
    <hyperlink r:id="rId291" ref="E149"/>
    <hyperlink r:id="rId292" ref="B150"/>
    <hyperlink r:id="rId293" ref="E150"/>
    <hyperlink r:id="rId294" ref="B151"/>
    <hyperlink r:id="rId295" ref="E151"/>
    <hyperlink r:id="rId296" ref="B152"/>
    <hyperlink r:id="rId297" ref="E152"/>
    <hyperlink r:id="rId298" ref="B153"/>
    <hyperlink r:id="rId299" ref="E153"/>
    <hyperlink r:id="rId300" ref="B154"/>
    <hyperlink r:id="rId301" ref="E154"/>
    <hyperlink r:id="rId302" ref="B155"/>
    <hyperlink r:id="rId303" ref="B156"/>
    <hyperlink r:id="rId304" ref="E156"/>
    <hyperlink r:id="rId305" ref="B157"/>
    <hyperlink r:id="rId306" ref="E157"/>
    <hyperlink r:id="rId307" ref="B158"/>
    <hyperlink r:id="rId308" ref="E158"/>
    <hyperlink r:id="rId309" ref="B159"/>
    <hyperlink r:id="rId310" ref="E159"/>
    <hyperlink r:id="rId311" ref="B160"/>
    <hyperlink r:id="rId312" ref="E160"/>
    <hyperlink r:id="rId313" ref="B161"/>
    <hyperlink r:id="rId314" ref="E161"/>
    <hyperlink r:id="rId315" ref="B162"/>
    <hyperlink r:id="rId316" ref="E162"/>
    <hyperlink r:id="rId317" ref="B163"/>
    <hyperlink r:id="rId318" ref="E163"/>
    <hyperlink r:id="rId319" ref="B164"/>
    <hyperlink r:id="rId320" ref="E164"/>
    <hyperlink r:id="rId321" ref="B165"/>
    <hyperlink r:id="rId322" ref="E165"/>
    <hyperlink r:id="rId323" ref="B166"/>
    <hyperlink r:id="rId324" ref="E166"/>
    <hyperlink r:id="rId325" ref="B167"/>
    <hyperlink r:id="rId326" ref="E167"/>
    <hyperlink r:id="rId327" ref="B168"/>
    <hyperlink r:id="rId328" ref="E168"/>
    <hyperlink r:id="rId329" ref="B169"/>
    <hyperlink r:id="rId330" ref="E169"/>
    <hyperlink r:id="rId331" ref="B170"/>
    <hyperlink r:id="rId332" ref="E170"/>
    <hyperlink r:id="rId333" ref="B171"/>
    <hyperlink r:id="rId334" ref="E171"/>
    <hyperlink r:id="rId335" ref="B172"/>
    <hyperlink r:id="rId336" ref="E172"/>
    <hyperlink r:id="rId337" ref="B173"/>
    <hyperlink r:id="rId338" ref="E173"/>
    <hyperlink r:id="rId339" ref="B174"/>
    <hyperlink r:id="rId340" ref="E174"/>
    <hyperlink r:id="rId341" ref="B175"/>
    <hyperlink r:id="rId342" ref="E175"/>
    <hyperlink r:id="rId343" ref="B176"/>
    <hyperlink r:id="rId344" ref="E176"/>
    <hyperlink r:id="rId345" ref="B177"/>
    <hyperlink r:id="rId346" ref="E177"/>
    <hyperlink r:id="rId347" ref="B178"/>
    <hyperlink r:id="rId348" ref="E178"/>
    <hyperlink r:id="rId349" ref="B179"/>
    <hyperlink r:id="rId350" ref="E179"/>
  </hyperlinks>
  <drawing r:id="rId35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75"/>
  <cols>
    <col customWidth="1" min="1" max="1" width="5.5"/>
    <col customWidth="1" min="2" max="2" width="14.75"/>
  </cols>
  <sheetData>
    <row r="1">
      <c r="A1" s="102" t="s">
        <v>2</v>
      </c>
      <c r="B1" s="103" t="s">
        <v>3</v>
      </c>
      <c r="C1" s="104"/>
      <c r="D1" s="104"/>
      <c r="E1" s="104"/>
      <c r="F1" s="104"/>
      <c r="G1" s="104"/>
      <c r="H1" s="104"/>
      <c r="I1" s="105" t="s">
        <v>4</v>
      </c>
      <c r="J1" s="106" t="s">
        <v>5</v>
      </c>
      <c r="K1" s="104"/>
      <c r="L1" s="104"/>
      <c r="M1" s="104"/>
      <c r="N1" s="104"/>
      <c r="O1" s="104"/>
      <c r="P1" s="107"/>
      <c r="Q1" s="108" t="s">
        <v>6</v>
      </c>
      <c r="R1" s="104"/>
      <c r="S1" s="104"/>
      <c r="T1" s="104"/>
      <c r="U1" s="104"/>
      <c r="V1" s="104"/>
      <c r="W1" s="107"/>
      <c r="X1" s="54" t="s">
        <v>36</v>
      </c>
    </row>
    <row r="2">
      <c r="A2" s="12"/>
      <c r="B2" s="109" t="s">
        <v>7</v>
      </c>
      <c r="C2" s="109" t="s">
        <v>8</v>
      </c>
      <c r="D2" s="109" t="s">
        <v>9</v>
      </c>
      <c r="E2" s="109" t="s">
        <v>10</v>
      </c>
      <c r="F2" s="110" t="s">
        <v>8</v>
      </c>
      <c r="G2" s="109" t="s">
        <v>9</v>
      </c>
      <c r="H2" s="109" t="s">
        <v>11</v>
      </c>
      <c r="I2" s="111" t="s">
        <v>13</v>
      </c>
      <c r="J2" s="111" t="s">
        <v>14</v>
      </c>
      <c r="K2" s="111" t="s">
        <v>15</v>
      </c>
      <c r="L2" s="112" t="s">
        <v>16</v>
      </c>
      <c r="M2" s="111" t="s">
        <v>17</v>
      </c>
      <c r="N2" s="111" t="s">
        <v>18</v>
      </c>
      <c r="O2" s="111" t="s">
        <v>19</v>
      </c>
      <c r="P2" s="112" t="s">
        <v>20</v>
      </c>
      <c r="Q2" s="111" t="s">
        <v>10</v>
      </c>
      <c r="R2" s="111" t="s">
        <v>21</v>
      </c>
      <c r="S2" s="111" t="s">
        <v>22</v>
      </c>
      <c r="T2" s="112" t="s">
        <v>23</v>
      </c>
      <c r="U2" s="112" t="s">
        <v>24</v>
      </c>
      <c r="V2" s="112" t="s">
        <v>25</v>
      </c>
      <c r="W2" s="112" t="s">
        <v>26</v>
      </c>
      <c r="X2" s="59" t="s">
        <v>37</v>
      </c>
    </row>
    <row r="3">
      <c r="A3" s="113">
        <v>1.0</v>
      </c>
      <c r="B3" s="79" t="s">
        <v>95</v>
      </c>
      <c r="C3" s="69">
        <v>442000.0</v>
      </c>
      <c r="D3" s="80" t="str">
        <f t="shared" ref="D3:D7" si="1">ifs(C3&lt;10000, "Nano", C3&lt;=100000, "Micro", C3&lt;=500000, "Mid", C3&lt;=1000000, "Macro", C3&gt;1000000, "Mega")</f>
        <v>Mid</v>
      </c>
      <c r="E3" s="64" t="s">
        <v>95</v>
      </c>
      <c r="F3" s="68">
        <v>2100000.0</v>
      </c>
      <c r="G3" s="80" t="str">
        <f t="shared" ref="G3:G7" si="2">ifs(F3&lt;10000, "Nano", F3&lt;=100000, "Micro", F3&lt;=500000, "Mid", F3&lt;=1000000, "Macro", F3&gt;1000000, "Mega")</f>
        <v>Mega</v>
      </c>
      <c r="H3" s="80" t="s">
        <v>46</v>
      </c>
      <c r="I3" s="114">
        <v>500000.0</v>
      </c>
      <c r="J3" s="114">
        <v>500000.0</v>
      </c>
      <c r="K3" s="114" t="s">
        <v>97</v>
      </c>
      <c r="L3" s="115">
        <v>500000.0</v>
      </c>
      <c r="M3" s="114">
        <v>4000000.0</v>
      </c>
      <c r="N3" s="116" t="s">
        <v>98</v>
      </c>
      <c r="O3" s="114">
        <v>5000000.0</v>
      </c>
      <c r="P3" s="115" t="s">
        <v>52</v>
      </c>
      <c r="Q3" s="114">
        <v>8000000.0</v>
      </c>
      <c r="R3" s="114">
        <v>1.0E7</v>
      </c>
      <c r="S3" s="114" t="s">
        <v>99</v>
      </c>
      <c r="T3" s="117">
        <v>0.4</v>
      </c>
      <c r="U3" s="114" t="s">
        <v>100</v>
      </c>
      <c r="V3" s="114" t="s">
        <v>101</v>
      </c>
      <c r="W3" s="114" t="s">
        <v>102</v>
      </c>
      <c r="X3" s="78">
        <v>7000000.0</v>
      </c>
    </row>
    <row r="4">
      <c r="A4" s="113">
        <v>2.0</v>
      </c>
      <c r="B4" s="79" t="s">
        <v>178</v>
      </c>
      <c r="C4" s="74">
        <v>186000.0</v>
      </c>
      <c r="D4" s="80" t="str">
        <f t="shared" si="1"/>
        <v>Mid</v>
      </c>
      <c r="E4" s="79" t="s">
        <v>179</v>
      </c>
      <c r="F4" s="118">
        <v>5000000.0</v>
      </c>
      <c r="G4" s="80" t="str">
        <f t="shared" si="2"/>
        <v>Mega</v>
      </c>
      <c r="H4" s="80" t="s">
        <v>39</v>
      </c>
      <c r="I4" s="119">
        <v>300000.0</v>
      </c>
      <c r="J4" s="119">
        <v>500000.0</v>
      </c>
      <c r="K4" s="120">
        <v>500000.0</v>
      </c>
      <c r="L4" s="121" t="s">
        <v>52</v>
      </c>
      <c r="M4" s="119">
        <v>5000000.0</v>
      </c>
      <c r="N4" s="119">
        <v>2500000.0</v>
      </c>
      <c r="O4" s="119">
        <v>4500000.0</v>
      </c>
      <c r="P4" s="121" t="s">
        <v>52</v>
      </c>
      <c r="Q4" s="119">
        <v>8500000.0</v>
      </c>
      <c r="R4" s="119">
        <v>4000000.0</v>
      </c>
      <c r="S4" s="119">
        <v>7000000.0</v>
      </c>
      <c r="T4" s="119">
        <v>5000000.0</v>
      </c>
      <c r="U4" s="119">
        <v>3000000.0</v>
      </c>
      <c r="V4" s="119">
        <v>1000000.0</v>
      </c>
      <c r="W4" s="119">
        <v>2000000.0</v>
      </c>
      <c r="X4" s="122"/>
    </row>
    <row r="5">
      <c r="A5" s="113">
        <v>3.0</v>
      </c>
      <c r="B5" s="79" t="s">
        <v>163</v>
      </c>
      <c r="C5" s="74">
        <v>183000.0</v>
      </c>
      <c r="D5" s="80" t="str">
        <f t="shared" si="1"/>
        <v>Mid</v>
      </c>
      <c r="E5" s="79" t="s">
        <v>164</v>
      </c>
      <c r="F5" s="69">
        <v>153100.0</v>
      </c>
      <c r="G5" s="80" t="str">
        <f t="shared" si="2"/>
        <v>Mid</v>
      </c>
      <c r="H5" s="80" t="s">
        <v>39</v>
      </c>
      <c r="I5" s="83" t="s">
        <v>166</v>
      </c>
      <c r="J5" s="3"/>
      <c r="K5" s="3"/>
      <c r="L5" s="3"/>
      <c r="M5" s="3"/>
      <c r="N5" s="3"/>
      <c r="O5" s="3"/>
      <c r="P5" s="3"/>
      <c r="Q5" s="3"/>
      <c r="R5" s="3"/>
      <c r="S5" s="4"/>
      <c r="T5" s="114">
        <v>250000.0</v>
      </c>
      <c r="U5" s="123"/>
      <c r="V5" s="123"/>
      <c r="W5" s="123"/>
      <c r="X5" s="76"/>
    </row>
    <row r="6">
      <c r="A6" s="113">
        <v>4.0</v>
      </c>
      <c r="B6" s="79" t="s">
        <v>195</v>
      </c>
      <c r="C6" s="74">
        <v>119000.0</v>
      </c>
      <c r="D6" s="80" t="str">
        <f t="shared" si="1"/>
        <v>Mid</v>
      </c>
      <c r="E6" s="64" t="s">
        <v>196</v>
      </c>
      <c r="F6" s="74">
        <v>745000.0</v>
      </c>
      <c r="G6" s="80" t="str">
        <f t="shared" si="2"/>
        <v>Macro</v>
      </c>
      <c r="H6" s="80" t="s">
        <v>46</v>
      </c>
      <c r="I6" s="123"/>
      <c r="J6" s="124" t="s">
        <v>199</v>
      </c>
      <c r="K6" s="119" t="s">
        <v>200</v>
      </c>
      <c r="L6" s="121" t="s">
        <v>52</v>
      </c>
      <c r="M6" s="125"/>
      <c r="N6" s="125"/>
      <c r="O6" s="119">
        <v>5500000.0</v>
      </c>
      <c r="P6" s="121" t="s">
        <v>52</v>
      </c>
      <c r="Q6" s="119">
        <v>6000000.0</v>
      </c>
      <c r="R6" s="119">
        <v>9000000.0</v>
      </c>
      <c r="S6" s="125"/>
      <c r="T6" s="126">
        <v>0.5</v>
      </c>
      <c r="U6" s="121" t="s">
        <v>201</v>
      </c>
      <c r="V6" s="119">
        <v>1000000.0</v>
      </c>
      <c r="W6" s="119">
        <v>1500000.0</v>
      </c>
      <c r="X6" s="122"/>
    </row>
    <row r="7">
      <c r="A7" s="113">
        <v>5.0</v>
      </c>
      <c r="B7" s="127" t="s">
        <v>208</v>
      </c>
      <c r="C7" s="74">
        <v>103000.0</v>
      </c>
      <c r="D7" s="80" t="str">
        <f t="shared" si="1"/>
        <v>Mid</v>
      </c>
      <c r="E7" s="64" t="s">
        <v>209</v>
      </c>
      <c r="F7" s="74">
        <v>969000.0</v>
      </c>
      <c r="G7" s="80" t="str">
        <f t="shared" si="2"/>
        <v>Macro</v>
      </c>
      <c r="H7" s="63" t="s">
        <v>39</v>
      </c>
      <c r="I7" s="123"/>
      <c r="J7" s="114">
        <v>600000.0</v>
      </c>
      <c r="K7" s="114">
        <v>1000000.0</v>
      </c>
      <c r="L7" s="115" t="s">
        <v>52</v>
      </c>
      <c r="M7" s="114">
        <v>1700000.0</v>
      </c>
      <c r="N7" s="114" t="s">
        <v>211</v>
      </c>
      <c r="O7" s="114">
        <v>3000000.0</v>
      </c>
      <c r="P7" s="115" t="s">
        <v>52</v>
      </c>
      <c r="Q7" s="114">
        <v>6000000.0</v>
      </c>
      <c r="R7" s="114">
        <v>1.0E7</v>
      </c>
      <c r="S7" s="114">
        <v>2500000.0</v>
      </c>
      <c r="T7" s="114">
        <v>2000000.0</v>
      </c>
      <c r="U7" s="115" t="s">
        <v>52</v>
      </c>
      <c r="V7" s="115" t="s">
        <v>52</v>
      </c>
      <c r="W7" s="114">
        <v>1500000.0</v>
      </c>
      <c r="X7" s="66"/>
    </row>
    <row r="8">
      <c r="A8" s="113">
        <v>6.0</v>
      </c>
      <c r="B8" s="73" t="s">
        <v>218</v>
      </c>
      <c r="C8" s="74" t="s">
        <v>219</v>
      </c>
      <c r="D8" s="63" t="s">
        <v>220</v>
      </c>
      <c r="E8" s="73" t="s">
        <v>218</v>
      </c>
      <c r="F8" s="74" t="s">
        <v>221</v>
      </c>
      <c r="G8" s="63" t="s">
        <v>220</v>
      </c>
      <c r="H8" s="63" t="s">
        <v>39</v>
      </c>
      <c r="I8" s="114">
        <v>625000.0</v>
      </c>
      <c r="J8" s="114">
        <v>800000.0</v>
      </c>
      <c r="K8" s="114">
        <v>800000.0</v>
      </c>
      <c r="L8" s="115" t="s">
        <v>52</v>
      </c>
      <c r="M8" s="114">
        <v>2500000.0</v>
      </c>
      <c r="N8" s="114">
        <v>500000.0</v>
      </c>
      <c r="O8" s="114">
        <v>6000000.0</v>
      </c>
      <c r="P8" s="123"/>
      <c r="Q8" s="114">
        <v>8000000.0</v>
      </c>
      <c r="R8" s="114">
        <v>4000000.0</v>
      </c>
      <c r="S8" s="114">
        <v>4000000.0</v>
      </c>
      <c r="T8" s="117">
        <v>1.0</v>
      </c>
      <c r="U8" s="114">
        <v>1000000.0</v>
      </c>
      <c r="V8" s="114">
        <v>500000.0</v>
      </c>
      <c r="W8" s="114" t="s">
        <v>222</v>
      </c>
      <c r="X8" s="66"/>
    </row>
    <row r="9">
      <c r="A9" s="113">
        <v>7.0</v>
      </c>
      <c r="B9" s="79" t="s">
        <v>246</v>
      </c>
      <c r="C9" s="74">
        <v>14800.0</v>
      </c>
      <c r="D9" s="80" t="str">
        <f t="shared" ref="D9:D10" si="3">ifs(C9&lt;10000, "Nano", C9&lt;=100000, "Micro", C9&lt;=500000, "Mid", C9&lt;=1000000, "Macro", C9&gt;1000000, "Mega")</f>
        <v>Micro</v>
      </c>
      <c r="E9" s="79" t="s">
        <v>247</v>
      </c>
      <c r="F9" s="74">
        <v>902400.0</v>
      </c>
      <c r="G9" s="80" t="str">
        <f t="shared" ref="G9:G22" si="4">ifs(F9&lt;10000, "Nano", F9&lt;=100000, "Micro", F9&lt;=500000, "Mid", F9&lt;=1000000, "Macro", F9&gt;1000000, "Mega")</f>
        <v>Macro</v>
      </c>
      <c r="H9" s="80" t="s">
        <v>248</v>
      </c>
      <c r="I9" s="66">
        <v>150000.0</v>
      </c>
      <c r="J9" s="66">
        <v>150000.0</v>
      </c>
      <c r="K9" s="66">
        <v>200000.0</v>
      </c>
      <c r="L9" s="71" t="s">
        <v>52</v>
      </c>
      <c r="M9" s="66">
        <v>200000.0</v>
      </c>
      <c r="N9" s="66">
        <v>300000.0</v>
      </c>
      <c r="O9" s="66">
        <v>800000.0</v>
      </c>
      <c r="P9" s="71" t="s">
        <v>52</v>
      </c>
      <c r="Q9" s="66">
        <v>2800000.0</v>
      </c>
      <c r="R9" s="66">
        <v>3000000.0</v>
      </c>
      <c r="S9" s="66">
        <v>600000.0</v>
      </c>
      <c r="T9" s="66">
        <v>500000.0</v>
      </c>
      <c r="U9" s="66">
        <v>350000.0</v>
      </c>
      <c r="V9" s="71" t="s">
        <v>52</v>
      </c>
      <c r="W9" s="66">
        <v>800000.0</v>
      </c>
      <c r="X9" s="66"/>
    </row>
    <row r="10">
      <c r="A10" s="113">
        <v>8.0</v>
      </c>
      <c r="B10" s="128" t="s">
        <v>249</v>
      </c>
      <c r="C10" s="69">
        <v>3906.0</v>
      </c>
      <c r="D10" s="80" t="str">
        <f t="shared" si="3"/>
        <v>Nano</v>
      </c>
      <c r="E10" s="79" t="s">
        <v>250</v>
      </c>
      <c r="F10" s="69">
        <v>217700.0</v>
      </c>
      <c r="G10" s="80" t="str">
        <f t="shared" si="4"/>
        <v>Mid</v>
      </c>
      <c r="H10" s="129" t="s">
        <v>39</v>
      </c>
      <c r="I10" s="114">
        <v>200000.0</v>
      </c>
      <c r="J10" s="114">
        <v>500000.0</v>
      </c>
      <c r="K10" s="114">
        <v>1300000.0</v>
      </c>
      <c r="L10" s="114">
        <v>200000.0</v>
      </c>
      <c r="M10" s="114">
        <v>1500000.0</v>
      </c>
      <c r="N10" s="114">
        <v>1500000.0</v>
      </c>
      <c r="O10" s="114">
        <v>2000000.0</v>
      </c>
      <c r="P10" s="115" t="s">
        <v>52</v>
      </c>
      <c r="Q10" s="114">
        <v>2800000.0</v>
      </c>
      <c r="R10" s="114">
        <v>3500000.0</v>
      </c>
      <c r="S10" s="114">
        <v>5000000.0</v>
      </c>
      <c r="T10" s="117">
        <v>1.0</v>
      </c>
      <c r="U10" s="117">
        <v>0.3</v>
      </c>
      <c r="V10" s="114">
        <v>500000.0</v>
      </c>
      <c r="W10" s="114">
        <v>1000000.0</v>
      </c>
      <c r="X10" s="66"/>
    </row>
    <row r="11">
      <c r="A11" s="113">
        <v>9.0</v>
      </c>
      <c r="B11" s="79" t="s">
        <v>252</v>
      </c>
      <c r="C11" s="69">
        <v>1952.0</v>
      </c>
      <c r="D11" s="80" t="str">
        <f>ifs(C11&lt;10000, "Nano", C11&lt;=50000, "Micro", C11&lt;=500000, "Mid", C11&lt;=1000000, "Macro", C11&gt;1000000, "Mega")</f>
        <v>Nano</v>
      </c>
      <c r="E11" s="79" t="s">
        <v>253</v>
      </c>
      <c r="F11" s="69">
        <v>259000.0</v>
      </c>
      <c r="G11" s="80" t="str">
        <f t="shared" si="4"/>
        <v>Mid</v>
      </c>
      <c r="H11" s="80" t="s">
        <v>39</v>
      </c>
      <c r="I11" s="76"/>
      <c r="J11" s="76"/>
      <c r="K11" s="76"/>
      <c r="L11" s="76"/>
      <c r="M11" s="76"/>
      <c r="N11" s="76"/>
      <c r="O11" s="66">
        <v>250000.0</v>
      </c>
      <c r="P11" s="71" t="s">
        <v>52</v>
      </c>
      <c r="Q11" s="66">
        <v>750000.0</v>
      </c>
      <c r="R11" s="66">
        <v>975000.0</v>
      </c>
      <c r="S11" s="76"/>
      <c r="T11" s="66">
        <v>150000.0</v>
      </c>
      <c r="U11" s="66" t="s">
        <v>254</v>
      </c>
      <c r="V11" s="71" t="s">
        <v>52</v>
      </c>
      <c r="W11" s="66" t="s">
        <v>254</v>
      </c>
      <c r="X11" s="66"/>
    </row>
    <row r="12">
      <c r="A12" s="130">
        <v>2.0</v>
      </c>
      <c r="B12" s="131" t="s">
        <v>263</v>
      </c>
      <c r="C12" s="132">
        <v>155000.0</v>
      </c>
      <c r="D12" s="133" t="str">
        <f t="shared" ref="D12:D14" si="5">ifs(C12&lt;10000, "Nano", C12&lt;=100000, "Micro", C12&lt;=500000, "Mid", C12&lt;=1000000, "Macro", C12&gt;1000000, "Mega")</f>
        <v>Mid</v>
      </c>
      <c r="E12" s="131" t="s">
        <v>264</v>
      </c>
      <c r="F12" s="134">
        <v>2800000.0</v>
      </c>
      <c r="G12" s="133" t="str">
        <f t="shared" si="4"/>
        <v>Mega</v>
      </c>
      <c r="H12" s="133" t="s">
        <v>39</v>
      </c>
      <c r="I12" s="135"/>
      <c r="J12" s="122">
        <v>1000000.0</v>
      </c>
      <c r="K12" s="135"/>
      <c r="L12" s="122">
        <v>500000.0</v>
      </c>
      <c r="M12" s="135"/>
      <c r="N12" s="135"/>
      <c r="O12" s="122">
        <v>5000000.0</v>
      </c>
      <c r="P12" s="135"/>
      <c r="Q12" s="122">
        <v>7000000.0</v>
      </c>
      <c r="R12" s="122">
        <v>9000000.0</v>
      </c>
      <c r="S12" s="136" t="s">
        <v>265</v>
      </c>
      <c r="T12" s="122">
        <v>2000000.0</v>
      </c>
      <c r="U12" s="135"/>
      <c r="V12" s="122">
        <v>2000000.0</v>
      </c>
      <c r="W12" s="122">
        <v>8000000.0</v>
      </c>
      <c r="X12" s="66"/>
    </row>
    <row r="13">
      <c r="A13" s="130">
        <v>24.0</v>
      </c>
      <c r="B13" s="131" t="s">
        <v>330</v>
      </c>
      <c r="C13" s="132">
        <v>234000.0</v>
      </c>
      <c r="D13" s="133" t="str">
        <f t="shared" si="5"/>
        <v>Mid</v>
      </c>
      <c r="E13" s="131" t="s">
        <v>331</v>
      </c>
      <c r="F13" s="132">
        <v>130700.0</v>
      </c>
      <c r="G13" s="133" t="str">
        <f t="shared" si="4"/>
        <v>Mid</v>
      </c>
      <c r="H13" s="133" t="s">
        <v>83</v>
      </c>
      <c r="I13" s="135"/>
      <c r="J13" s="135"/>
      <c r="K13" s="135"/>
      <c r="L13" s="135"/>
      <c r="M13" s="135"/>
      <c r="N13" s="135"/>
      <c r="O13" s="122">
        <v>1700000.0</v>
      </c>
      <c r="P13" s="135"/>
      <c r="Q13" s="135"/>
      <c r="R13" s="135"/>
      <c r="S13" s="135"/>
      <c r="T13" s="135"/>
      <c r="U13" s="135"/>
      <c r="V13" s="135"/>
      <c r="W13" s="135"/>
      <c r="X13" s="66"/>
    </row>
    <row r="14">
      <c r="A14" s="130">
        <v>37.0</v>
      </c>
      <c r="B14" s="137" t="s">
        <v>367</v>
      </c>
      <c r="C14" s="132">
        <v>60000.0</v>
      </c>
      <c r="D14" s="133" t="str">
        <f t="shared" si="5"/>
        <v>Micro</v>
      </c>
      <c r="E14" s="131" t="s">
        <v>367</v>
      </c>
      <c r="F14" s="132">
        <v>249000.0</v>
      </c>
      <c r="G14" s="133" t="str">
        <f t="shared" si="4"/>
        <v>Mid</v>
      </c>
      <c r="H14" s="138" t="s">
        <v>39</v>
      </c>
      <c r="I14" s="119">
        <v>850000.0</v>
      </c>
      <c r="J14" s="119">
        <v>450000.0</v>
      </c>
      <c r="K14" s="119">
        <v>800000.0</v>
      </c>
      <c r="L14" s="121" t="s">
        <v>52</v>
      </c>
      <c r="M14" s="119">
        <v>600000.0</v>
      </c>
      <c r="N14" s="119">
        <v>900000.0</v>
      </c>
      <c r="O14" s="119">
        <v>2300000.0</v>
      </c>
      <c r="P14" s="121" t="s">
        <v>52</v>
      </c>
      <c r="Q14" s="139"/>
      <c r="R14" s="119">
        <v>2800000.0</v>
      </c>
      <c r="S14" s="139"/>
      <c r="T14" s="119">
        <v>500000.0</v>
      </c>
      <c r="U14" s="139"/>
      <c r="V14" s="121" t="s">
        <v>52</v>
      </c>
      <c r="W14" s="119">
        <v>500000.0</v>
      </c>
      <c r="X14" s="66"/>
    </row>
    <row r="15">
      <c r="A15" s="130">
        <v>70.0</v>
      </c>
      <c r="B15" s="131" t="s">
        <v>434</v>
      </c>
      <c r="C15" s="134">
        <v>1900000.0</v>
      </c>
      <c r="D15" s="133" t="str">
        <f t="shared" ref="D15:D22" si="6">ifs(C15&lt;10000, "Nano", C15&lt;=50000, "Micro", C15&lt;=500000, "Mid", C15&lt;=1000000, "Macro", C15&gt;1000000, "Mega")</f>
        <v>Mega</v>
      </c>
      <c r="E15" s="140" t="s">
        <v>435</v>
      </c>
      <c r="F15" s="134">
        <v>3300000.0</v>
      </c>
      <c r="G15" s="133" t="str">
        <f t="shared" si="4"/>
        <v>Mega</v>
      </c>
      <c r="H15" s="133" t="s">
        <v>39</v>
      </c>
      <c r="I15" s="141"/>
      <c r="J15" s="141"/>
      <c r="K15" s="122">
        <v>8000000.0</v>
      </c>
      <c r="L15" s="141"/>
      <c r="M15" s="141"/>
      <c r="N15" s="122">
        <v>1.2E7</v>
      </c>
      <c r="O15" s="122">
        <v>1.5E7</v>
      </c>
      <c r="P15" s="142"/>
      <c r="Q15" s="122">
        <v>1.7E7</v>
      </c>
      <c r="R15" s="122">
        <v>2.6E7</v>
      </c>
      <c r="S15" s="141"/>
      <c r="T15" s="122">
        <v>1.0E7</v>
      </c>
      <c r="U15" s="122">
        <v>1000000.0</v>
      </c>
      <c r="V15" s="141"/>
      <c r="W15" s="122">
        <v>4000000.0</v>
      </c>
      <c r="X15" s="66"/>
    </row>
    <row r="16">
      <c r="A16" s="130">
        <v>71.0</v>
      </c>
      <c r="B16" s="131" t="s">
        <v>437</v>
      </c>
      <c r="C16" s="132">
        <v>716000.0</v>
      </c>
      <c r="D16" s="133" t="str">
        <f t="shared" si="6"/>
        <v>Macro</v>
      </c>
      <c r="E16" s="140" t="s">
        <v>438</v>
      </c>
      <c r="F16" s="132">
        <v>518100.0</v>
      </c>
      <c r="G16" s="133" t="str">
        <f t="shared" si="4"/>
        <v>Macro</v>
      </c>
      <c r="H16" s="133" t="s">
        <v>46</v>
      </c>
      <c r="I16" s="141"/>
      <c r="J16" s="141"/>
      <c r="K16" s="141"/>
      <c r="L16" s="141"/>
      <c r="M16" s="141"/>
      <c r="N16" s="141"/>
      <c r="O16" s="122">
        <v>1.8E7</v>
      </c>
      <c r="P16" s="142"/>
      <c r="Q16" s="122">
        <v>1.8E7</v>
      </c>
      <c r="R16" s="122">
        <v>1000000.0</v>
      </c>
      <c r="S16" s="141"/>
      <c r="T16" s="142"/>
      <c r="U16" s="142"/>
      <c r="V16" s="141"/>
      <c r="W16" s="141"/>
      <c r="X16" s="66"/>
    </row>
    <row r="17">
      <c r="A17" s="130">
        <v>75.0</v>
      </c>
      <c r="B17" s="131" t="s">
        <v>445</v>
      </c>
      <c r="C17" s="132">
        <v>497000.0</v>
      </c>
      <c r="D17" s="133" t="str">
        <f t="shared" si="6"/>
        <v>Mid</v>
      </c>
      <c r="E17" s="140" t="s">
        <v>446</v>
      </c>
      <c r="F17" s="134">
        <v>3700000.0</v>
      </c>
      <c r="G17" s="133" t="str">
        <f t="shared" si="4"/>
        <v>Mega</v>
      </c>
      <c r="H17" s="133" t="s">
        <v>39</v>
      </c>
      <c r="I17" s="141"/>
      <c r="J17" s="122">
        <v>2000000.0</v>
      </c>
      <c r="K17" s="122" t="s">
        <v>447</v>
      </c>
      <c r="L17" s="122">
        <v>1000000.0</v>
      </c>
      <c r="M17" s="122">
        <v>5000000.0</v>
      </c>
      <c r="N17" s="141"/>
      <c r="O17" s="122">
        <v>1.1E7</v>
      </c>
      <c r="P17" s="122">
        <v>2000000.0</v>
      </c>
      <c r="Q17" s="122">
        <v>1.3E7</v>
      </c>
      <c r="R17" s="122">
        <v>2.2E7</v>
      </c>
      <c r="S17" s="141"/>
      <c r="T17" s="122">
        <v>5000000.0</v>
      </c>
      <c r="U17" s="122">
        <v>2000000.0</v>
      </c>
      <c r="V17" s="122">
        <v>1000000.0</v>
      </c>
      <c r="W17" s="141"/>
      <c r="X17" s="66"/>
    </row>
    <row r="18">
      <c r="A18" s="130">
        <v>77.0</v>
      </c>
      <c r="B18" s="131" t="s">
        <v>454</v>
      </c>
      <c r="C18" s="132">
        <v>490000.0</v>
      </c>
      <c r="D18" s="133" t="str">
        <f t="shared" si="6"/>
        <v>Mid</v>
      </c>
      <c r="E18" s="140" t="s">
        <v>455</v>
      </c>
      <c r="F18" s="132">
        <v>648900.0</v>
      </c>
      <c r="G18" s="133" t="str">
        <f t="shared" si="4"/>
        <v>Macro</v>
      </c>
      <c r="H18" s="133" t="s">
        <v>39</v>
      </c>
      <c r="I18" s="141"/>
      <c r="J18" s="122">
        <v>4000000.0</v>
      </c>
      <c r="K18" s="141"/>
      <c r="L18" s="122">
        <v>1000000.0</v>
      </c>
      <c r="M18" s="122">
        <v>7000000.0</v>
      </c>
      <c r="N18" s="122">
        <v>9000000.0</v>
      </c>
      <c r="O18" s="122">
        <v>1.2E7</v>
      </c>
      <c r="P18" s="142"/>
      <c r="Q18" s="122">
        <v>8000000.0</v>
      </c>
      <c r="R18" s="141"/>
      <c r="S18" s="122">
        <v>7000000.0</v>
      </c>
      <c r="T18" s="141"/>
      <c r="U18" s="142"/>
      <c r="V18" s="141"/>
      <c r="W18" s="141"/>
      <c r="X18" s="66"/>
    </row>
    <row r="19">
      <c r="A19" s="130">
        <v>78.0</v>
      </c>
      <c r="B19" s="131" t="s">
        <v>456</v>
      </c>
      <c r="C19" s="134">
        <v>2800000.0</v>
      </c>
      <c r="D19" s="133" t="str">
        <f t="shared" si="6"/>
        <v>Mega</v>
      </c>
      <c r="E19" s="140" t="s">
        <v>456</v>
      </c>
      <c r="F19" s="134">
        <v>4300000.0</v>
      </c>
      <c r="G19" s="133" t="str">
        <f t="shared" si="4"/>
        <v>Mega</v>
      </c>
      <c r="H19" s="133" t="s">
        <v>39</v>
      </c>
      <c r="I19" s="141"/>
      <c r="J19" s="122">
        <v>8000000.0</v>
      </c>
      <c r="K19" s="141"/>
      <c r="L19" s="141"/>
      <c r="M19" s="122">
        <v>1.5E7</v>
      </c>
      <c r="N19" s="122">
        <v>1.0E7</v>
      </c>
      <c r="O19" s="122">
        <v>3.0E7</v>
      </c>
      <c r="P19" s="122">
        <v>7500000.0</v>
      </c>
      <c r="Q19" s="122">
        <v>3.5E7</v>
      </c>
      <c r="R19" s="141"/>
      <c r="S19" s="122">
        <v>3.5E7</v>
      </c>
      <c r="T19" s="122">
        <v>9000000.0</v>
      </c>
      <c r="U19" s="142"/>
      <c r="V19" s="141"/>
      <c r="W19" s="141"/>
      <c r="X19" s="66"/>
    </row>
    <row r="20">
      <c r="A20" s="130">
        <v>79.0</v>
      </c>
      <c r="B20" s="131" t="s">
        <v>457</v>
      </c>
      <c r="C20" s="132">
        <v>303000.0</v>
      </c>
      <c r="D20" s="133" t="str">
        <f t="shared" si="6"/>
        <v>Mid</v>
      </c>
      <c r="E20" s="140" t="s">
        <v>457</v>
      </c>
      <c r="F20" s="132">
        <v>466600.0</v>
      </c>
      <c r="G20" s="133" t="str">
        <f t="shared" si="4"/>
        <v>Mid</v>
      </c>
      <c r="H20" s="133" t="s">
        <v>458</v>
      </c>
      <c r="I20" s="141"/>
      <c r="J20" s="122">
        <v>450000.0</v>
      </c>
      <c r="K20" s="122">
        <v>800000.0</v>
      </c>
      <c r="L20" s="122">
        <v>200000.0</v>
      </c>
      <c r="M20" s="122">
        <v>2000000.0</v>
      </c>
      <c r="N20" s="122">
        <v>2500000.0</v>
      </c>
      <c r="O20" s="122">
        <v>3500000.0</v>
      </c>
      <c r="P20" s="143" t="s">
        <v>52</v>
      </c>
      <c r="Q20" s="122">
        <v>4500000.0</v>
      </c>
      <c r="R20" s="122">
        <v>5500000.0</v>
      </c>
      <c r="S20" s="141"/>
      <c r="T20" s="141"/>
      <c r="U20" s="142"/>
      <c r="V20" s="141"/>
      <c r="W20" s="122" t="s">
        <v>459</v>
      </c>
      <c r="X20" s="66"/>
    </row>
    <row r="21">
      <c r="A21" s="130">
        <v>106.0</v>
      </c>
      <c r="B21" s="131" t="s">
        <v>504</v>
      </c>
      <c r="C21" s="132">
        <v>143000.0</v>
      </c>
      <c r="D21" s="133" t="str">
        <f t="shared" si="6"/>
        <v>Mid</v>
      </c>
      <c r="E21" s="140" t="s">
        <v>505</v>
      </c>
      <c r="F21" s="132">
        <v>198100.0</v>
      </c>
      <c r="G21" s="133" t="str">
        <f t="shared" si="4"/>
        <v>Mid</v>
      </c>
      <c r="H21" s="133" t="s">
        <v>168</v>
      </c>
      <c r="I21" s="141"/>
      <c r="J21" s="122" t="s">
        <v>506</v>
      </c>
      <c r="K21" s="141"/>
      <c r="L21" s="141"/>
      <c r="M21" s="141"/>
      <c r="N21" s="141"/>
      <c r="O21" s="141"/>
      <c r="P21" s="142"/>
      <c r="Q21" s="141"/>
      <c r="R21" s="141"/>
      <c r="S21" s="141"/>
      <c r="T21" s="141"/>
      <c r="U21" s="142"/>
      <c r="V21" s="142"/>
      <c r="W21" s="141"/>
      <c r="X21" s="66"/>
    </row>
    <row r="22">
      <c r="A22" s="130">
        <v>109.0</v>
      </c>
      <c r="B22" s="131" t="s">
        <v>510</v>
      </c>
      <c r="C22" s="132">
        <v>5000.0</v>
      </c>
      <c r="D22" s="133" t="str">
        <f t="shared" si="6"/>
        <v>Nano</v>
      </c>
      <c r="E22" s="140" t="s">
        <v>510</v>
      </c>
      <c r="F22" s="132">
        <v>282400.0</v>
      </c>
      <c r="G22" s="133" t="str">
        <f t="shared" si="4"/>
        <v>Mid</v>
      </c>
      <c r="H22" s="133" t="s">
        <v>50</v>
      </c>
      <c r="I22" s="141"/>
      <c r="J22" s="141"/>
      <c r="K22" s="141"/>
      <c r="L22" s="141"/>
      <c r="M22" s="141"/>
      <c r="N22" s="141"/>
      <c r="O22" s="141"/>
      <c r="P22" s="142"/>
      <c r="Q22" s="122">
        <v>1000000.0</v>
      </c>
      <c r="R22" s="122">
        <v>1300000.0</v>
      </c>
      <c r="S22" s="141"/>
      <c r="T22" s="141"/>
      <c r="U22" s="142"/>
      <c r="V22" s="142"/>
      <c r="W22" s="122">
        <v>100000.0</v>
      </c>
      <c r="X22" s="66"/>
    </row>
  </sheetData>
  <mergeCells count="5">
    <mergeCell ref="A1:A2"/>
    <mergeCell ref="B1:H1"/>
    <mergeCell ref="J1:P1"/>
    <mergeCell ref="Q1:W1"/>
    <mergeCell ref="I5:S5"/>
  </mergeCells>
  <conditionalFormatting sqref="A1:A22 B1:W11 X1:X22">
    <cfRule type="containsBlanks" dxfId="0" priority="1">
      <formula>LEN(TRIM(A1))=0</formula>
    </cfRule>
  </conditionalFormatting>
  <dataValidations>
    <dataValidation type="list" allowBlank="1" showErrorMessage="1" sqref="D3:D22 G3:G22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B13"/>
    <hyperlink r:id="rId22" ref="E13"/>
    <hyperlink r:id="rId23" ref="B14"/>
    <hyperlink r:id="rId24" ref="E14"/>
    <hyperlink r:id="rId25" ref="B15"/>
    <hyperlink r:id="rId26" ref="E15"/>
    <hyperlink r:id="rId27" ref="B16"/>
    <hyperlink r:id="rId28" ref="E16"/>
    <hyperlink r:id="rId29" ref="B17"/>
    <hyperlink r:id="rId30" ref="E17"/>
    <hyperlink r:id="rId31" ref="B18"/>
    <hyperlink r:id="rId32" ref="E18"/>
    <hyperlink r:id="rId33" ref="B19"/>
    <hyperlink r:id="rId34" ref="E19"/>
    <hyperlink r:id="rId35" ref="B20"/>
    <hyperlink r:id="rId36" ref="E20"/>
    <hyperlink r:id="rId37" ref="B21"/>
    <hyperlink r:id="rId38" ref="E21"/>
    <hyperlink r:id="rId39" ref="B22"/>
    <hyperlink r:id="rId40" ref="E22"/>
  </hyperlinks>
  <drawing r:id="rId4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113">
        <v>1.0</v>
      </c>
      <c r="B3" s="153" t="s">
        <v>48</v>
      </c>
      <c r="C3" s="69">
        <v>999000.0</v>
      </c>
      <c r="D3" s="63" t="str">
        <f t="shared" ref="D3:D16" si="1">ifs(C3&lt;10000, "Nano", C3&lt;=100000, "Micro", C3&lt;=500000, "Mid", C3&lt;=1000000, "Macro", C3&gt;1000000, "Mega")</f>
        <v>Macro</v>
      </c>
      <c r="E3" s="61" t="s">
        <v>49</v>
      </c>
      <c r="F3" s="69">
        <v>89900.0</v>
      </c>
      <c r="G3" s="63" t="str">
        <f t="shared" ref="G3:G18" si="2">ifs(F3&lt;10000, "Nano", F3&lt;=100000, "Micro", F3&lt;=500000, "Mid", F3&lt;=1000000, "Macro", F3&gt;1000000, "Mega")</f>
        <v>Micro</v>
      </c>
      <c r="H3" s="154" t="s">
        <v>50</v>
      </c>
      <c r="I3" s="114">
        <v>2000000.0</v>
      </c>
      <c r="J3" s="114">
        <v>3500000.0</v>
      </c>
      <c r="K3" s="114">
        <v>6500000.0</v>
      </c>
      <c r="L3" s="115" t="s">
        <v>52</v>
      </c>
      <c r="M3" s="114">
        <v>8000000.0</v>
      </c>
      <c r="N3" s="114">
        <v>1000000.0</v>
      </c>
      <c r="O3" s="114">
        <v>1.3E7</v>
      </c>
      <c r="P3" s="114">
        <v>1000000.0</v>
      </c>
      <c r="Q3" s="114">
        <v>8000000.0</v>
      </c>
      <c r="R3" s="114">
        <v>1.9E7</v>
      </c>
      <c r="S3" s="114">
        <v>1.0E7</v>
      </c>
      <c r="T3" s="155">
        <v>0.5</v>
      </c>
      <c r="U3" s="114">
        <v>1000000.0</v>
      </c>
      <c r="V3" s="114">
        <v>1000000.0</v>
      </c>
      <c r="W3" s="114">
        <v>5000000.0</v>
      </c>
    </row>
    <row r="4">
      <c r="A4" s="113">
        <v>2.0</v>
      </c>
      <c r="B4" s="127" t="s">
        <v>85</v>
      </c>
      <c r="C4" s="69">
        <v>519000.0</v>
      </c>
      <c r="D4" s="80" t="str">
        <f t="shared" si="1"/>
        <v>Macro</v>
      </c>
      <c r="E4" s="79" t="s">
        <v>86</v>
      </c>
      <c r="F4" s="69">
        <v>170700.0</v>
      </c>
      <c r="G4" s="80" t="str">
        <f t="shared" si="2"/>
        <v>Mid</v>
      </c>
      <c r="H4" s="129" t="s">
        <v>87</v>
      </c>
      <c r="I4" s="114">
        <v>400000.0</v>
      </c>
      <c r="J4" s="114">
        <v>500000.0</v>
      </c>
      <c r="K4" s="114">
        <v>650000.0</v>
      </c>
      <c r="L4" s="115" t="s">
        <v>52</v>
      </c>
      <c r="M4" s="114">
        <v>850000.0</v>
      </c>
      <c r="N4" s="114">
        <v>950000.0</v>
      </c>
      <c r="O4" s="114">
        <v>1000000.0</v>
      </c>
      <c r="P4" s="115" t="s">
        <v>52</v>
      </c>
      <c r="Q4" s="114">
        <v>750000.0</v>
      </c>
      <c r="R4" s="114">
        <v>1500000.0</v>
      </c>
      <c r="S4" s="123"/>
      <c r="T4" s="115" t="s">
        <v>52</v>
      </c>
      <c r="U4" s="123"/>
      <c r="V4" s="115" t="s">
        <v>52</v>
      </c>
      <c r="W4" s="66" t="s">
        <v>89</v>
      </c>
    </row>
    <row r="5">
      <c r="A5" s="113">
        <v>3.0</v>
      </c>
      <c r="B5" s="79" t="s">
        <v>105</v>
      </c>
      <c r="C5" s="74">
        <v>425000.0</v>
      </c>
      <c r="D5" s="80" t="str">
        <f t="shared" si="1"/>
        <v>Mid</v>
      </c>
      <c r="E5" s="79" t="s">
        <v>105</v>
      </c>
      <c r="F5" s="74">
        <v>108300.0</v>
      </c>
      <c r="G5" s="80" t="str">
        <f t="shared" si="2"/>
        <v>Mid</v>
      </c>
      <c r="H5" s="129" t="s">
        <v>50</v>
      </c>
      <c r="I5" s="114">
        <v>600000.0</v>
      </c>
      <c r="J5" s="114">
        <v>7000000.0</v>
      </c>
      <c r="K5" s="114">
        <v>8000000.0</v>
      </c>
      <c r="L5" s="115" t="s">
        <v>52</v>
      </c>
      <c r="M5" s="114">
        <v>7000000.0</v>
      </c>
      <c r="N5" s="114">
        <v>8000000.0</v>
      </c>
      <c r="O5" s="114">
        <v>1.5E7</v>
      </c>
      <c r="P5" s="115" t="s">
        <v>52</v>
      </c>
      <c r="Q5" s="114">
        <v>8000000.0</v>
      </c>
      <c r="R5" s="114">
        <v>1.5E7</v>
      </c>
      <c r="S5" s="114">
        <v>5000000.0</v>
      </c>
      <c r="T5" s="115" t="s">
        <v>52</v>
      </c>
      <c r="U5" s="114" t="s">
        <v>107</v>
      </c>
      <c r="V5" s="114">
        <v>1000000.0</v>
      </c>
      <c r="W5" s="114">
        <v>5000000.0</v>
      </c>
    </row>
    <row r="6">
      <c r="A6" s="113">
        <v>4.0</v>
      </c>
      <c r="B6" s="127" t="s">
        <v>112</v>
      </c>
      <c r="C6" s="69">
        <v>392000.0</v>
      </c>
      <c r="D6" s="80" t="str">
        <f t="shared" si="1"/>
        <v>Mid</v>
      </c>
      <c r="E6" s="79" t="s">
        <v>113</v>
      </c>
      <c r="F6" s="65">
        <v>2900000.0</v>
      </c>
      <c r="G6" s="80" t="str">
        <f t="shared" si="2"/>
        <v>Mega</v>
      </c>
      <c r="H6" s="154" t="s">
        <v>39</v>
      </c>
      <c r="I6" s="114">
        <v>1500000.0</v>
      </c>
      <c r="J6" s="114">
        <v>5500000.0</v>
      </c>
      <c r="K6" s="114">
        <v>7000000.0</v>
      </c>
      <c r="L6" s="115" t="s">
        <v>52</v>
      </c>
      <c r="M6" s="114">
        <v>4500000.0</v>
      </c>
      <c r="N6" s="114" t="s">
        <v>115</v>
      </c>
      <c r="O6" s="114">
        <v>1.2E7</v>
      </c>
      <c r="P6" s="114">
        <v>1500000.0</v>
      </c>
      <c r="Q6" s="114">
        <v>2.2E7</v>
      </c>
      <c r="R6" s="114">
        <v>1.0E7</v>
      </c>
      <c r="S6" s="114">
        <v>1.0E7</v>
      </c>
      <c r="T6" s="114">
        <v>3.5E7</v>
      </c>
      <c r="U6" s="117">
        <v>0.5</v>
      </c>
      <c r="V6" s="114">
        <v>1500000.0</v>
      </c>
      <c r="W6" s="114">
        <v>3000000.0</v>
      </c>
    </row>
    <row r="7">
      <c r="A7" s="113">
        <v>5.0</v>
      </c>
      <c r="B7" s="127" t="s">
        <v>134</v>
      </c>
      <c r="C7" s="74">
        <v>271000.0</v>
      </c>
      <c r="D7" s="80" t="str">
        <f t="shared" si="1"/>
        <v>Mid</v>
      </c>
      <c r="E7" s="79" t="s">
        <v>134</v>
      </c>
      <c r="F7" s="65">
        <v>1100000.0</v>
      </c>
      <c r="G7" s="80" t="str">
        <f t="shared" si="2"/>
        <v>Mega</v>
      </c>
      <c r="H7" s="129" t="s">
        <v>50</v>
      </c>
      <c r="I7" s="114">
        <v>400000.0</v>
      </c>
      <c r="J7" s="114">
        <v>2000000.0</v>
      </c>
      <c r="K7" s="114">
        <v>5000000.0</v>
      </c>
      <c r="L7" s="115" t="s">
        <v>52</v>
      </c>
      <c r="M7" s="114">
        <v>3500000.0</v>
      </c>
      <c r="N7" s="114">
        <v>4000000.0</v>
      </c>
      <c r="O7" s="114">
        <v>7500000.0</v>
      </c>
      <c r="P7" s="115" t="s">
        <v>52</v>
      </c>
      <c r="Q7" s="114">
        <v>1.0E7</v>
      </c>
      <c r="R7" s="114">
        <v>1.5E7</v>
      </c>
      <c r="S7" s="114">
        <v>8000000.0</v>
      </c>
      <c r="T7" s="114">
        <v>1.5E7</v>
      </c>
      <c r="U7" s="117">
        <v>0.5</v>
      </c>
      <c r="V7" s="114">
        <v>1000000.0</v>
      </c>
      <c r="W7" s="114">
        <v>2000000.0</v>
      </c>
    </row>
    <row r="8">
      <c r="A8" s="113">
        <v>6.0</v>
      </c>
      <c r="B8" s="127" t="s">
        <v>136</v>
      </c>
      <c r="C8" s="74">
        <v>270000.0</v>
      </c>
      <c r="D8" s="80" t="str">
        <f t="shared" si="1"/>
        <v>Mid</v>
      </c>
      <c r="E8" s="79" t="s">
        <v>137</v>
      </c>
      <c r="F8" s="69">
        <v>25900.0</v>
      </c>
      <c r="G8" s="80" t="str">
        <f t="shared" si="2"/>
        <v>Micro</v>
      </c>
      <c r="H8" s="129" t="s">
        <v>138</v>
      </c>
      <c r="I8" s="114">
        <v>200000.0</v>
      </c>
      <c r="J8" s="114">
        <v>1000000.0</v>
      </c>
      <c r="K8" s="123"/>
      <c r="L8" s="115" t="s">
        <v>52</v>
      </c>
      <c r="M8" s="114">
        <v>1500000.0</v>
      </c>
      <c r="N8" s="114">
        <v>2000000.0</v>
      </c>
      <c r="O8" s="114">
        <v>3000000.0</v>
      </c>
      <c r="P8" s="115" t="s">
        <v>52</v>
      </c>
      <c r="Q8" s="114">
        <v>500000.0</v>
      </c>
      <c r="R8" s="123"/>
      <c r="S8" s="123"/>
      <c r="T8" s="123"/>
      <c r="U8" s="123"/>
      <c r="V8" s="115" t="s">
        <v>52</v>
      </c>
      <c r="W8" s="123"/>
    </row>
    <row r="9">
      <c r="A9" s="113">
        <v>7.0</v>
      </c>
      <c r="B9" s="127" t="s">
        <v>152</v>
      </c>
      <c r="C9" s="69">
        <v>210000.0</v>
      </c>
      <c r="D9" s="80" t="str">
        <f t="shared" si="1"/>
        <v>Mid</v>
      </c>
      <c r="E9" s="79" t="s">
        <v>152</v>
      </c>
      <c r="F9" s="69">
        <v>132400.0</v>
      </c>
      <c r="G9" s="80" t="str">
        <f t="shared" si="2"/>
        <v>Mid</v>
      </c>
      <c r="H9" s="129" t="s">
        <v>153</v>
      </c>
      <c r="I9" s="114">
        <v>500000.0</v>
      </c>
      <c r="J9" s="114">
        <v>1500000.0</v>
      </c>
      <c r="K9" s="114">
        <v>3500000.0</v>
      </c>
      <c r="L9" s="115" t="s">
        <v>52</v>
      </c>
      <c r="M9" s="114">
        <v>3500000.0</v>
      </c>
      <c r="N9" s="114">
        <v>4500000.0</v>
      </c>
      <c r="O9" s="114">
        <v>6000000.0</v>
      </c>
      <c r="P9" s="115" t="s">
        <v>52</v>
      </c>
      <c r="Q9" s="114">
        <v>2500000.0</v>
      </c>
      <c r="R9" s="114">
        <v>6000000.0</v>
      </c>
      <c r="S9" s="114">
        <v>4000000.0</v>
      </c>
      <c r="T9" s="117">
        <v>0.5</v>
      </c>
      <c r="U9" s="114">
        <v>1000000.0</v>
      </c>
      <c r="V9" s="115" t="s">
        <v>52</v>
      </c>
      <c r="W9" s="114">
        <v>8000000.0</v>
      </c>
    </row>
    <row r="10">
      <c r="A10" s="113">
        <v>8.0</v>
      </c>
      <c r="B10" s="79" t="s">
        <v>167</v>
      </c>
      <c r="C10" s="69">
        <v>175000.0</v>
      </c>
      <c r="D10" s="80" t="str">
        <f t="shared" si="1"/>
        <v>Mid</v>
      </c>
      <c r="E10" s="79" t="s">
        <v>167</v>
      </c>
      <c r="F10" s="74">
        <v>135600.0</v>
      </c>
      <c r="G10" s="80" t="str">
        <f t="shared" si="2"/>
        <v>Mid</v>
      </c>
      <c r="H10" s="129" t="s">
        <v>168</v>
      </c>
      <c r="I10" s="114">
        <v>300000.0</v>
      </c>
      <c r="J10" s="114">
        <v>600000.0</v>
      </c>
      <c r="K10" s="114">
        <v>800000.0</v>
      </c>
      <c r="L10" s="115" t="s">
        <v>52</v>
      </c>
      <c r="M10" s="114">
        <v>1000000.0</v>
      </c>
      <c r="N10" s="115" t="s">
        <v>52</v>
      </c>
      <c r="O10" s="114" t="s">
        <v>169</v>
      </c>
      <c r="P10" s="114">
        <v>100000.0</v>
      </c>
      <c r="Q10" s="114">
        <v>1000000.0</v>
      </c>
      <c r="R10" s="114">
        <v>1800000.0</v>
      </c>
      <c r="S10" s="114" t="s">
        <v>62</v>
      </c>
      <c r="T10" s="114">
        <v>100000.0</v>
      </c>
      <c r="U10" s="114">
        <v>100000.0</v>
      </c>
      <c r="V10" s="114" t="s">
        <v>62</v>
      </c>
      <c r="W10" s="114">
        <v>1000000.0</v>
      </c>
    </row>
    <row r="11">
      <c r="A11" s="113">
        <v>9.0</v>
      </c>
      <c r="B11" s="127" t="s">
        <v>175</v>
      </c>
      <c r="C11" s="69">
        <v>154000.0</v>
      </c>
      <c r="D11" s="80" t="str">
        <f t="shared" si="1"/>
        <v>Mid</v>
      </c>
      <c r="E11" s="79" t="s">
        <v>176</v>
      </c>
      <c r="F11" s="74">
        <v>35100.0</v>
      </c>
      <c r="G11" s="80" t="str">
        <f t="shared" si="2"/>
        <v>Micro</v>
      </c>
      <c r="H11" s="129" t="s">
        <v>83</v>
      </c>
      <c r="I11" s="114">
        <v>300000.0</v>
      </c>
      <c r="J11" s="114">
        <v>800000.0</v>
      </c>
      <c r="K11" s="114">
        <v>1000000.0</v>
      </c>
      <c r="L11" s="115" t="s">
        <v>52</v>
      </c>
      <c r="M11" s="114">
        <v>1000000.0</v>
      </c>
      <c r="N11" s="114">
        <v>1100000.0</v>
      </c>
      <c r="O11" s="114">
        <v>1500000.0</v>
      </c>
      <c r="P11" s="115" t="s">
        <v>52</v>
      </c>
      <c r="Q11" s="114">
        <v>600000.0</v>
      </c>
      <c r="R11" s="114">
        <v>1700000.0</v>
      </c>
      <c r="S11" s="123"/>
      <c r="T11" s="114">
        <v>1000000.0</v>
      </c>
      <c r="U11" s="114">
        <v>350000.0</v>
      </c>
      <c r="V11" s="115" t="s">
        <v>52</v>
      </c>
      <c r="W11" s="114">
        <v>4500000.0</v>
      </c>
    </row>
    <row r="12">
      <c r="A12" s="113">
        <v>10.0</v>
      </c>
      <c r="B12" s="127" t="s">
        <v>181</v>
      </c>
      <c r="C12" s="69">
        <v>146000.0</v>
      </c>
      <c r="D12" s="80" t="str">
        <f t="shared" si="1"/>
        <v>Mid</v>
      </c>
      <c r="E12" s="79" t="s">
        <v>181</v>
      </c>
      <c r="F12" s="69">
        <v>9762.0</v>
      </c>
      <c r="G12" s="80" t="str">
        <f t="shared" si="2"/>
        <v>Nano</v>
      </c>
      <c r="H12" s="129" t="s">
        <v>46</v>
      </c>
      <c r="I12" s="114">
        <v>200000.0</v>
      </c>
      <c r="J12" s="114">
        <v>300000.0</v>
      </c>
      <c r="K12" s="114">
        <v>500000.0</v>
      </c>
      <c r="L12" s="115" t="s">
        <v>52</v>
      </c>
      <c r="M12" s="114">
        <v>750000.0</v>
      </c>
      <c r="N12" s="114">
        <v>750000.0</v>
      </c>
      <c r="O12" s="114">
        <v>950000.0</v>
      </c>
      <c r="P12" s="115" t="s">
        <v>52</v>
      </c>
      <c r="Q12" s="114">
        <v>400000.0</v>
      </c>
      <c r="R12" s="114">
        <v>700000.0</v>
      </c>
      <c r="S12" s="123"/>
      <c r="T12" s="114">
        <v>250000.0</v>
      </c>
      <c r="U12" s="115" t="s">
        <v>52</v>
      </c>
      <c r="V12" s="115" t="s">
        <v>52</v>
      </c>
      <c r="W12" s="114">
        <v>1200000.0</v>
      </c>
    </row>
    <row r="13">
      <c r="A13" s="113">
        <v>11.0</v>
      </c>
      <c r="B13" s="79" t="s">
        <v>184</v>
      </c>
      <c r="C13" s="74">
        <v>138000.0</v>
      </c>
      <c r="D13" s="80" t="str">
        <f t="shared" si="1"/>
        <v>Mid</v>
      </c>
      <c r="E13" s="79" t="s">
        <v>185</v>
      </c>
      <c r="F13" s="74">
        <v>72900.0</v>
      </c>
      <c r="G13" s="80" t="str">
        <f t="shared" si="2"/>
        <v>Micro</v>
      </c>
      <c r="H13" s="129" t="s">
        <v>50</v>
      </c>
      <c r="I13" s="114">
        <v>1000000.0</v>
      </c>
      <c r="J13" s="114">
        <v>1500000.0</v>
      </c>
      <c r="K13" s="114">
        <v>2700000.0</v>
      </c>
      <c r="L13" s="115" t="s">
        <v>52</v>
      </c>
      <c r="M13" s="114">
        <v>3000000.0</v>
      </c>
      <c r="N13" s="114">
        <v>3500000.0</v>
      </c>
      <c r="O13" s="114">
        <v>7000000.0</v>
      </c>
      <c r="P13" s="115" t="s">
        <v>52</v>
      </c>
      <c r="Q13" s="114">
        <v>3500000.0</v>
      </c>
      <c r="R13" s="114">
        <v>8000000.0</v>
      </c>
      <c r="S13" s="114">
        <v>2500000.0</v>
      </c>
      <c r="T13" s="114">
        <v>2000000.0</v>
      </c>
      <c r="U13" s="114">
        <v>3000000.0</v>
      </c>
      <c r="V13" s="123"/>
      <c r="W13" s="114">
        <v>4500000.0</v>
      </c>
    </row>
    <row r="14">
      <c r="A14" s="113">
        <v>12.0</v>
      </c>
      <c r="B14" s="127" t="s">
        <v>192</v>
      </c>
      <c r="C14" s="69">
        <v>119000.0</v>
      </c>
      <c r="D14" s="80" t="str">
        <f t="shared" si="1"/>
        <v>Mid</v>
      </c>
      <c r="E14" s="79" t="s">
        <v>193</v>
      </c>
      <c r="F14" s="69">
        <v>14700.0</v>
      </c>
      <c r="G14" s="80" t="str">
        <f t="shared" si="2"/>
        <v>Micro</v>
      </c>
      <c r="H14" s="129" t="s">
        <v>50</v>
      </c>
      <c r="I14" s="114">
        <v>100000.0</v>
      </c>
      <c r="J14" s="114">
        <v>200000.0</v>
      </c>
      <c r="K14" s="114">
        <v>250000.0</v>
      </c>
      <c r="L14" s="114">
        <v>100000.0</v>
      </c>
      <c r="M14" s="114">
        <v>300000.0</v>
      </c>
      <c r="N14" s="114">
        <v>500000.0</v>
      </c>
      <c r="O14" s="114">
        <v>700000.0</v>
      </c>
      <c r="P14" s="115" t="s">
        <v>52</v>
      </c>
      <c r="Q14" s="114">
        <v>400000.0</v>
      </c>
      <c r="R14" s="114">
        <v>700000.0</v>
      </c>
      <c r="S14" s="114">
        <v>500000.0</v>
      </c>
      <c r="T14" s="114">
        <v>200000.0</v>
      </c>
      <c r="U14" s="115" t="s">
        <v>52</v>
      </c>
      <c r="V14" s="115" t="s">
        <v>52</v>
      </c>
      <c r="W14" s="156"/>
    </row>
    <row r="15">
      <c r="A15" s="113">
        <v>13.0</v>
      </c>
      <c r="B15" s="127" t="s">
        <v>202</v>
      </c>
      <c r="C15" s="69">
        <v>112000.0</v>
      </c>
      <c r="D15" s="80" t="str">
        <f t="shared" si="1"/>
        <v>Mid</v>
      </c>
      <c r="E15" s="79" t="s">
        <v>203</v>
      </c>
      <c r="F15" s="69">
        <v>7480.0</v>
      </c>
      <c r="G15" s="80" t="str">
        <f t="shared" si="2"/>
        <v>Nano</v>
      </c>
      <c r="H15" s="129" t="s">
        <v>83</v>
      </c>
      <c r="I15" s="114">
        <v>200000.0</v>
      </c>
      <c r="J15" s="114">
        <v>300000.0</v>
      </c>
      <c r="K15" s="114">
        <v>300000.0</v>
      </c>
      <c r="L15" s="115" t="s">
        <v>52</v>
      </c>
      <c r="M15" s="114">
        <v>400000.0</v>
      </c>
      <c r="N15" s="114">
        <v>450000.0</v>
      </c>
      <c r="O15" s="114">
        <v>700000.0</v>
      </c>
      <c r="P15" s="115" t="s">
        <v>52</v>
      </c>
      <c r="Q15" s="114">
        <v>500000.0</v>
      </c>
      <c r="R15" s="114">
        <v>900000.0</v>
      </c>
      <c r="S15" s="123"/>
      <c r="T15" s="115" t="s">
        <v>52</v>
      </c>
      <c r="U15" s="115" t="s">
        <v>52</v>
      </c>
      <c r="V15" s="115" t="s">
        <v>52</v>
      </c>
      <c r="W15" s="114">
        <v>2000000.0</v>
      </c>
    </row>
    <row r="16">
      <c r="A16" s="113">
        <v>14.0</v>
      </c>
      <c r="B16" s="127" t="s">
        <v>215</v>
      </c>
      <c r="C16" s="74">
        <v>97000.0</v>
      </c>
      <c r="D16" s="80" t="str">
        <f t="shared" si="1"/>
        <v>Micro</v>
      </c>
      <c r="E16" s="64" t="s">
        <v>550</v>
      </c>
      <c r="F16" s="69">
        <v>44000.0</v>
      </c>
      <c r="G16" s="80" t="str">
        <f t="shared" si="2"/>
        <v>Micro</v>
      </c>
      <c r="H16" s="129" t="s">
        <v>66</v>
      </c>
      <c r="I16" s="114">
        <v>150000.0</v>
      </c>
      <c r="J16" s="114">
        <v>200000.0</v>
      </c>
      <c r="K16" s="114">
        <v>300000.0</v>
      </c>
      <c r="L16" s="115" t="s">
        <v>52</v>
      </c>
      <c r="M16" s="114">
        <v>400000.0</v>
      </c>
      <c r="N16" s="114">
        <v>400000.0</v>
      </c>
      <c r="O16" s="114">
        <v>500000.0</v>
      </c>
      <c r="P16" s="115" t="s">
        <v>52</v>
      </c>
      <c r="Q16" s="114">
        <v>400000.0</v>
      </c>
      <c r="R16" s="114">
        <v>750000.0</v>
      </c>
      <c r="S16" s="123"/>
      <c r="T16" s="115" t="s">
        <v>52</v>
      </c>
      <c r="U16" s="115" t="s">
        <v>52</v>
      </c>
      <c r="V16" s="115" t="s">
        <v>52</v>
      </c>
      <c r="W16" s="114" t="s">
        <v>217</v>
      </c>
    </row>
    <row r="17">
      <c r="A17" s="113">
        <v>15.0</v>
      </c>
      <c r="B17" s="157" t="s">
        <v>422</v>
      </c>
      <c r="C17" s="158"/>
      <c r="D17" s="97"/>
      <c r="E17" s="79" t="s">
        <v>256</v>
      </c>
      <c r="F17" s="159">
        <v>1700000.0</v>
      </c>
      <c r="G17" s="80" t="str">
        <f t="shared" si="2"/>
        <v>Mega</v>
      </c>
      <c r="H17" s="80" t="s">
        <v>50</v>
      </c>
      <c r="I17" s="76"/>
      <c r="J17" s="100"/>
      <c r="K17" s="100"/>
      <c r="L17" s="100"/>
      <c r="M17" s="100"/>
      <c r="N17" s="100"/>
      <c r="O17" s="100"/>
      <c r="P17" s="76"/>
      <c r="Q17" s="100"/>
      <c r="R17" s="100"/>
      <c r="S17" s="76"/>
      <c r="T17" s="100"/>
      <c r="U17" s="160"/>
      <c r="V17" s="100"/>
      <c r="W17" s="100"/>
    </row>
    <row r="18">
      <c r="A18" s="113">
        <v>16.0</v>
      </c>
      <c r="B18" s="79" t="s">
        <v>305</v>
      </c>
      <c r="C18" s="69">
        <v>129000.0</v>
      </c>
      <c r="D18" s="80" t="str">
        <f>ifs(C18&lt;10000, "Nano", C18&lt;=100000, "Micro", C18&lt;=500000, "Mid", C18&lt;=1000000, "Macro", C18&gt;1000000, "Mega")</f>
        <v>Mid</v>
      </c>
      <c r="E18" s="79" t="s">
        <v>306</v>
      </c>
      <c r="F18" s="69">
        <v>166400.0</v>
      </c>
      <c r="G18" s="80" t="str">
        <f t="shared" si="2"/>
        <v>Mid</v>
      </c>
      <c r="H18" s="80" t="s">
        <v>83</v>
      </c>
      <c r="I18" s="161"/>
      <c r="J18" s="66">
        <v>2500000.0</v>
      </c>
      <c r="K18" s="66">
        <v>4500000.0</v>
      </c>
      <c r="L18" s="86"/>
      <c r="M18" s="66">
        <v>4000000.0</v>
      </c>
      <c r="N18" s="66">
        <v>5500000.0</v>
      </c>
      <c r="O18" s="66">
        <v>8500000.0</v>
      </c>
      <c r="P18" s="66">
        <v>3000000.0</v>
      </c>
      <c r="Q18" s="66">
        <v>7500000.0</v>
      </c>
      <c r="R18" s="66">
        <v>3500000.0</v>
      </c>
      <c r="S18" s="86"/>
      <c r="T18" s="72">
        <v>1.0</v>
      </c>
      <c r="U18" s="86"/>
      <c r="V18" s="86"/>
      <c r="W18" s="66" t="s">
        <v>308</v>
      </c>
    </row>
  </sheetData>
  <mergeCells count="4">
    <mergeCell ref="A1:A2"/>
    <mergeCell ref="B1:H1"/>
    <mergeCell ref="J1:P1"/>
    <mergeCell ref="Q1:W1"/>
  </mergeCells>
  <conditionalFormatting sqref="A3:W3 A5 A7 A9 A11 A13:A14 A16 A18">
    <cfRule type="containsBlanks" dxfId="1" priority="1">
      <formula>LEN(TRIM(A3))=0</formula>
    </cfRule>
  </conditionalFormatting>
  <conditionalFormatting sqref="A3:W3 A5 A7 A9 A11 A13:A14 A16 A18 I18:W18">
    <cfRule type="containsBlanks" dxfId="0" priority="2">
      <formula>LEN(TRIM(A3))=0</formula>
    </cfRule>
  </conditionalFormatting>
  <dataValidations>
    <dataValidation type="list" allowBlank="1" showErrorMessage="1" sqref="D3:D18 G3:G18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B13"/>
    <hyperlink r:id="rId22" ref="E13"/>
    <hyperlink r:id="rId23" ref="B14"/>
    <hyperlink r:id="rId24" ref="E14"/>
    <hyperlink r:id="rId25" ref="B15"/>
    <hyperlink r:id="rId26" ref="E15"/>
    <hyperlink r:id="rId27" ref="B16"/>
    <hyperlink r:id="rId28" ref="E16"/>
    <hyperlink r:id="rId29" ref="E17"/>
    <hyperlink r:id="rId30" ref="B18"/>
    <hyperlink r:id="rId31" ref="E18"/>
  </hyperlinks>
  <drawing r:id="rId3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162">
        <v>1.0</v>
      </c>
      <c r="B3" s="163" t="s">
        <v>90</v>
      </c>
      <c r="C3" s="132">
        <v>477000.0</v>
      </c>
      <c r="D3" s="164" t="str">
        <f>ifs(C3&lt;10000, "Nano", C3&lt;=100000, "Micro", C3&lt;=500000, "Mid", C3&lt;=1000000, "Macro", C3&gt;1000000, "Mega")</f>
        <v>Mid</v>
      </c>
      <c r="E3" s="165" t="s">
        <v>91</v>
      </c>
      <c r="F3" s="132">
        <v>810000.0</v>
      </c>
      <c r="G3" s="164" t="str">
        <f t="shared" ref="G3:G4" si="1">ifs(F3&lt;10000, "Nano", F3&lt;=100000, "Micro", F3&lt;=500000, "Mid", F3&lt;=1000000, "Macro", F3&gt;1000000, "Mega")</f>
        <v>Macro</v>
      </c>
      <c r="H3" s="166" t="s">
        <v>66</v>
      </c>
      <c r="I3" s="167"/>
      <c r="J3" s="168">
        <v>500000.0</v>
      </c>
      <c r="K3" s="167"/>
      <c r="L3" s="169" t="s">
        <v>52</v>
      </c>
      <c r="M3" s="168">
        <v>2000000.0</v>
      </c>
      <c r="N3" s="167"/>
      <c r="O3" s="168">
        <v>3500000.0</v>
      </c>
      <c r="P3" s="169" t="s">
        <v>52</v>
      </c>
      <c r="Q3" s="168">
        <v>2500000.0</v>
      </c>
      <c r="R3" s="168">
        <v>4000000.0</v>
      </c>
      <c r="S3" s="168">
        <v>4000000.0</v>
      </c>
      <c r="T3" s="168">
        <v>2000000.0</v>
      </c>
      <c r="U3" s="168">
        <v>1000000.0</v>
      </c>
      <c r="V3" s="169" t="s">
        <v>52</v>
      </c>
      <c r="W3" s="168">
        <v>5000000.0</v>
      </c>
    </row>
    <row r="4">
      <c r="A4" s="170">
        <v>2.0</v>
      </c>
      <c r="B4" s="171" t="s">
        <v>511</v>
      </c>
      <c r="C4" s="172">
        <v>4000000.0</v>
      </c>
      <c r="D4" s="164" t="str">
        <f>ifs(C4&lt;10000, "Nano", C4&lt;=50000, "Micro", C4&lt;=500000, "Mid", C4&lt;=1000000, "Macro", C4&gt;1000000, "Mega")</f>
        <v>Mega</v>
      </c>
      <c r="E4" s="165" t="s">
        <v>511</v>
      </c>
      <c r="F4" s="172">
        <v>6000000.0</v>
      </c>
      <c r="G4" s="164" t="str">
        <f t="shared" si="1"/>
        <v>Mega</v>
      </c>
      <c r="H4" s="164" t="s">
        <v>39</v>
      </c>
      <c r="I4" s="141"/>
      <c r="J4" s="122">
        <v>3750000.0</v>
      </c>
      <c r="K4" s="141"/>
      <c r="L4" s="141"/>
      <c r="M4" s="122">
        <v>5500000.0</v>
      </c>
      <c r="N4" s="141"/>
      <c r="O4" s="122">
        <v>6500000.0</v>
      </c>
      <c r="P4" s="142"/>
      <c r="Q4" s="122">
        <v>7500000.0</v>
      </c>
      <c r="R4" s="141"/>
      <c r="S4" s="141"/>
      <c r="T4" s="141"/>
      <c r="U4" s="141"/>
      <c r="V4" s="141"/>
      <c r="W4" s="141"/>
    </row>
  </sheetData>
  <mergeCells count="4">
    <mergeCell ref="A1:A2"/>
    <mergeCell ref="B1:H1"/>
    <mergeCell ref="J1:P1"/>
    <mergeCell ref="Q1:W1"/>
  </mergeCells>
  <dataValidations>
    <dataValidation type="list" allowBlank="1" showErrorMessage="1" sqref="D3:D4 G3:G4">
      <formula1>"Mega,Macro,Micro,Nano,Mid,#N/A"</formula1>
    </dataValidation>
  </dataValidations>
  <hyperlinks>
    <hyperlink r:id="rId1" ref="B3"/>
    <hyperlink r:id="rId2" ref="E3"/>
    <hyperlink r:id="rId3" ref="B4"/>
    <hyperlink r:id="rId4" ref="E4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17.38"/>
    <col customWidth="1" min="5" max="5" width="15.75"/>
    <col customWidth="1" min="17" max="17" width="16.0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173">
        <v>1.0</v>
      </c>
      <c r="B3" s="79" t="s">
        <v>381</v>
      </c>
      <c r="C3" s="69">
        <v>52000.0</v>
      </c>
      <c r="D3" s="80" t="str">
        <f t="shared" ref="D3:D10" si="1">ifs(C3&lt;10000, "Nano", C3&lt;=100000, "Micro", C3&lt;=500000, "Mid", C3&lt;=1000000, "Macro", C3&gt;1000000, "Mega")</f>
        <v>Micro</v>
      </c>
      <c r="E3" s="79" t="s">
        <v>381</v>
      </c>
      <c r="F3" s="69">
        <v>153600.0</v>
      </c>
      <c r="G3" s="80" t="str">
        <f t="shared" ref="G3:G12" si="2">ifs(F3&lt;10000, "Nano", F3&lt;=100000, "Micro", F3&lt;=500000, "Mid", F3&lt;=1000000, "Macro", F3&gt;1000000, "Mega")</f>
        <v>Mid</v>
      </c>
      <c r="H3" s="80" t="s">
        <v>83</v>
      </c>
      <c r="I3" s="100"/>
      <c r="J3" s="100"/>
      <c r="K3" s="100"/>
      <c r="L3" s="100"/>
      <c r="M3" s="100"/>
      <c r="N3" s="100"/>
      <c r="O3" s="100"/>
      <c r="P3" s="100"/>
      <c r="Q3" s="66" t="s">
        <v>382</v>
      </c>
      <c r="R3" s="100"/>
      <c r="S3" s="100"/>
      <c r="T3" s="66">
        <v>150000.0</v>
      </c>
      <c r="U3" s="100"/>
      <c r="V3" s="100"/>
      <c r="W3" s="100"/>
    </row>
    <row r="4">
      <c r="A4" s="173">
        <v>2.0</v>
      </c>
      <c r="B4" s="79" t="s">
        <v>218</v>
      </c>
      <c r="C4" s="69">
        <v>51500.0</v>
      </c>
      <c r="D4" s="80" t="str">
        <f t="shared" si="1"/>
        <v>Micro</v>
      </c>
      <c r="E4" s="85" t="s">
        <v>218</v>
      </c>
      <c r="F4" s="69">
        <v>611000.0</v>
      </c>
      <c r="G4" s="80" t="str">
        <f t="shared" si="2"/>
        <v>Macro</v>
      </c>
      <c r="H4" s="80" t="s">
        <v>551</v>
      </c>
      <c r="I4" s="114">
        <v>625000.0</v>
      </c>
      <c r="J4" s="114">
        <v>800000.0</v>
      </c>
      <c r="K4" s="114">
        <v>800000.0</v>
      </c>
      <c r="L4" s="115" t="s">
        <v>52</v>
      </c>
      <c r="M4" s="114">
        <v>2500000.0</v>
      </c>
      <c r="N4" s="114">
        <v>500000.0</v>
      </c>
      <c r="O4" s="114">
        <v>6000000.0</v>
      </c>
      <c r="P4" s="156"/>
      <c r="Q4" s="114">
        <v>8000000.0</v>
      </c>
      <c r="R4" s="114">
        <v>4000000.0</v>
      </c>
      <c r="S4" s="114">
        <v>4000000.0</v>
      </c>
      <c r="T4" s="117">
        <v>1.0</v>
      </c>
      <c r="U4" s="114">
        <v>1000000.0</v>
      </c>
      <c r="V4" s="114">
        <v>500000.0</v>
      </c>
      <c r="W4" s="114" t="s">
        <v>222</v>
      </c>
    </row>
    <row r="5">
      <c r="A5" s="173">
        <v>3.0</v>
      </c>
      <c r="B5" s="128" t="s">
        <v>249</v>
      </c>
      <c r="C5" s="69">
        <v>3906.0</v>
      </c>
      <c r="D5" s="80" t="str">
        <f t="shared" si="1"/>
        <v>Nano</v>
      </c>
      <c r="E5" s="85" t="s">
        <v>250</v>
      </c>
      <c r="F5" s="69">
        <v>217700.0</v>
      </c>
      <c r="G5" s="80" t="str">
        <f t="shared" si="2"/>
        <v>Mid</v>
      </c>
      <c r="H5" s="129" t="s">
        <v>39</v>
      </c>
      <c r="I5" s="114">
        <v>200000.0</v>
      </c>
      <c r="J5" s="114">
        <v>500000.0</v>
      </c>
      <c r="K5" s="114">
        <v>1300000.0</v>
      </c>
      <c r="L5" s="114">
        <v>200000.0</v>
      </c>
      <c r="M5" s="114">
        <v>1500000.0</v>
      </c>
      <c r="N5" s="114">
        <v>1500000.0</v>
      </c>
      <c r="O5" s="114">
        <v>2000000.0</v>
      </c>
      <c r="P5" s="115" t="s">
        <v>52</v>
      </c>
      <c r="Q5" s="114">
        <v>2800000.0</v>
      </c>
      <c r="R5" s="114">
        <v>3500000.0</v>
      </c>
      <c r="S5" s="114">
        <v>5000000.0</v>
      </c>
      <c r="T5" s="117">
        <v>1.0</v>
      </c>
      <c r="U5" s="117">
        <v>0.3</v>
      </c>
      <c r="V5" s="114">
        <v>500000.0</v>
      </c>
      <c r="W5" s="114">
        <v>1000000.0</v>
      </c>
    </row>
    <row r="6">
      <c r="A6" s="173">
        <v>4.0</v>
      </c>
      <c r="B6" s="79" t="s">
        <v>379</v>
      </c>
      <c r="C6" s="69">
        <v>43000.0</v>
      </c>
      <c r="D6" s="80" t="str">
        <f t="shared" si="1"/>
        <v>Micro</v>
      </c>
      <c r="E6" s="79" t="s">
        <v>379</v>
      </c>
      <c r="F6" s="69">
        <v>147100.0</v>
      </c>
      <c r="G6" s="80" t="str">
        <f t="shared" si="2"/>
        <v>Mid</v>
      </c>
      <c r="H6" s="80" t="s">
        <v>380</v>
      </c>
      <c r="I6" s="100"/>
      <c r="J6" s="66">
        <v>500000.0</v>
      </c>
      <c r="K6" s="100"/>
      <c r="L6" s="100"/>
      <c r="M6" s="100"/>
      <c r="N6" s="66">
        <v>2000000.0</v>
      </c>
      <c r="O6" s="66">
        <v>3000000.0</v>
      </c>
      <c r="P6" s="100"/>
      <c r="Q6" s="66">
        <v>5000000.0</v>
      </c>
      <c r="R6" s="66">
        <v>6000000.0</v>
      </c>
      <c r="S6" s="80"/>
      <c r="T6" s="80"/>
      <c r="U6" s="80"/>
      <c r="V6" s="80"/>
      <c r="W6" s="80"/>
    </row>
    <row r="7">
      <c r="A7" s="173">
        <v>5.0</v>
      </c>
      <c r="B7" s="79" t="s">
        <v>374</v>
      </c>
      <c r="C7" s="69">
        <v>14000.0</v>
      </c>
      <c r="D7" s="80" t="str">
        <f t="shared" si="1"/>
        <v>Micro</v>
      </c>
      <c r="E7" s="79" t="s">
        <v>374</v>
      </c>
      <c r="F7" s="69">
        <v>261500.0</v>
      </c>
      <c r="G7" s="80" t="str">
        <f t="shared" si="2"/>
        <v>Mid</v>
      </c>
      <c r="H7" s="80" t="s">
        <v>39</v>
      </c>
      <c r="I7" s="80"/>
      <c r="J7" s="66">
        <v>200000.0</v>
      </c>
      <c r="K7" s="90" t="s">
        <v>375</v>
      </c>
      <c r="L7" s="100"/>
      <c r="M7" s="66" t="s">
        <v>376</v>
      </c>
      <c r="N7" s="100"/>
      <c r="O7" s="66" t="s">
        <v>377</v>
      </c>
      <c r="P7" s="100"/>
      <c r="Q7" s="66">
        <v>2500000.0</v>
      </c>
      <c r="R7" s="100"/>
      <c r="S7" s="100"/>
      <c r="T7" s="100"/>
      <c r="U7" s="100"/>
      <c r="V7" s="100"/>
      <c r="W7" s="66" t="s">
        <v>378</v>
      </c>
    </row>
    <row r="8">
      <c r="A8" s="173">
        <v>6.0</v>
      </c>
      <c r="B8" s="174" t="s">
        <v>278</v>
      </c>
      <c r="C8" s="175">
        <v>1875.0</v>
      </c>
      <c r="D8" s="176" t="str">
        <f t="shared" si="1"/>
        <v>Nano</v>
      </c>
      <c r="E8" s="174" t="s">
        <v>278</v>
      </c>
      <c r="F8" s="175">
        <v>19600.0</v>
      </c>
      <c r="G8" s="176" t="str">
        <f t="shared" si="2"/>
        <v>Micro</v>
      </c>
      <c r="H8" s="176" t="s">
        <v>83</v>
      </c>
      <c r="I8" s="100"/>
      <c r="J8" s="66">
        <v>150000.0</v>
      </c>
      <c r="K8" s="66">
        <v>300000.0</v>
      </c>
      <c r="L8" s="100"/>
      <c r="M8" s="66">
        <v>300000.0</v>
      </c>
      <c r="N8" s="100"/>
      <c r="O8" s="66">
        <v>300000.0</v>
      </c>
      <c r="P8" s="100"/>
      <c r="Q8" s="66">
        <v>600000.0</v>
      </c>
      <c r="R8" s="66">
        <v>750000.0</v>
      </c>
      <c r="S8" s="100"/>
      <c r="T8" s="100"/>
      <c r="U8" s="100"/>
      <c r="V8" s="100"/>
      <c r="W8" s="66">
        <v>750000.0</v>
      </c>
    </row>
    <row r="9">
      <c r="A9" s="173">
        <v>7.0</v>
      </c>
      <c r="B9" s="79" t="s">
        <v>344</v>
      </c>
      <c r="C9" s="69">
        <v>288000.0</v>
      </c>
      <c r="D9" s="80" t="str">
        <f t="shared" si="1"/>
        <v>Mid</v>
      </c>
      <c r="E9" s="79" t="s">
        <v>344</v>
      </c>
      <c r="F9" s="69">
        <v>393000.0</v>
      </c>
      <c r="G9" s="80" t="str">
        <f t="shared" si="2"/>
        <v>Mid</v>
      </c>
      <c r="H9" s="80" t="s">
        <v>39</v>
      </c>
      <c r="I9" s="114">
        <v>1000000.0</v>
      </c>
      <c r="J9" s="114">
        <v>1500000.0</v>
      </c>
      <c r="K9" s="114">
        <v>3500000.0</v>
      </c>
      <c r="L9" s="114">
        <v>1000000.0</v>
      </c>
      <c r="M9" s="114">
        <v>3500000.0</v>
      </c>
      <c r="N9" s="66">
        <v>4000000.0</v>
      </c>
      <c r="O9" s="114">
        <v>5900000.0</v>
      </c>
      <c r="P9" s="114">
        <v>1000000.0</v>
      </c>
      <c r="Q9" s="114">
        <v>3500000.0</v>
      </c>
      <c r="R9" s="114">
        <v>8000000.0</v>
      </c>
      <c r="S9" s="156"/>
      <c r="T9" s="114">
        <v>1000000.0</v>
      </c>
      <c r="U9" s="114" t="s">
        <v>346</v>
      </c>
      <c r="V9" s="114" t="s">
        <v>347</v>
      </c>
      <c r="W9" s="114" t="s">
        <v>348</v>
      </c>
    </row>
    <row r="10">
      <c r="A10" s="173">
        <v>8.0</v>
      </c>
      <c r="B10" s="79" t="s">
        <v>369</v>
      </c>
      <c r="C10" s="69">
        <v>34900.0</v>
      </c>
      <c r="D10" s="80" t="str">
        <f t="shared" si="1"/>
        <v>Micro</v>
      </c>
      <c r="E10" s="79" t="s">
        <v>369</v>
      </c>
      <c r="F10" s="69">
        <v>141000.0</v>
      </c>
      <c r="G10" s="80" t="str">
        <f t="shared" si="2"/>
        <v>Mid</v>
      </c>
      <c r="H10" s="80" t="s">
        <v>39</v>
      </c>
      <c r="I10" s="100"/>
      <c r="J10" s="66">
        <v>2000000.0</v>
      </c>
      <c r="K10" s="66">
        <v>3000000.0</v>
      </c>
      <c r="L10" s="66">
        <v>500000.0</v>
      </c>
      <c r="M10" s="66">
        <v>2000000.0</v>
      </c>
      <c r="N10" s="100"/>
      <c r="O10" s="66">
        <v>4000000.0</v>
      </c>
      <c r="P10" s="115" t="s">
        <v>52</v>
      </c>
      <c r="Q10" s="66">
        <v>5000000.0</v>
      </c>
      <c r="R10" s="66">
        <v>8000000.0</v>
      </c>
      <c r="S10" s="100"/>
      <c r="T10" s="66">
        <v>3000000.0</v>
      </c>
      <c r="U10" s="71" t="s">
        <v>52</v>
      </c>
      <c r="V10" s="71" t="s">
        <v>52</v>
      </c>
      <c r="W10" s="66">
        <v>1000000.0</v>
      </c>
    </row>
    <row r="11">
      <c r="A11" s="173">
        <v>9.0</v>
      </c>
      <c r="B11" s="79" t="s">
        <v>437</v>
      </c>
      <c r="C11" s="69">
        <v>716000.0</v>
      </c>
      <c r="D11" s="80" t="str">
        <f>ifs(C11&lt;10000, "Nano", C11&lt;=50000, "Micro", C11&lt;=500000, "Mid", C11&lt;=1000000, "Macro", C11&gt;1000000, "Mega")</f>
        <v>Macro</v>
      </c>
      <c r="E11" s="64" t="s">
        <v>438</v>
      </c>
      <c r="F11" s="69">
        <v>518100.0</v>
      </c>
      <c r="G11" s="80" t="str">
        <f t="shared" si="2"/>
        <v>Macro</v>
      </c>
      <c r="H11" s="80" t="s">
        <v>46</v>
      </c>
      <c r="I11" s="100"/>
      <c r="J11" s="100"/>
      <c r="K11" s="100"/>
      <c r="L11" s="100"/>
      <c r="M11" s="100"/>
      <c r="N11" s="100"/>
      <c r="O11" s="66">
        <v>1.8E7</v>
      </c>
      <c r="P11" s="160"/>
      <c r="Q11" s="66">
        <v>1.8E7</v>
      </c>
      <c r="R11" s="66">
        <v>1000000.0</v>
      </c>
      <c r="S11" s="91"/>
      <c r="T11" s="93"/>
      <c r="U11" s="93"/>
      <c r="V11" s="91"/>
      <c r="W11" s="91"/>
    </row>
    <row r="12">
      <c r="A12" s="173">
        <v>10.0</v>
      </c>
      <c r="B12" s="79" t="s">
        <v>163</v>
      </c>
      <c r="C12" s="74">
        <v>183000.0</v>
      </c>
      <c r="D12" s="80" t="str">
        <f>ifs(C12&lt;10000, "Nano", C12&lt;=100000, "Micro", C12&lt;=500000, "Mid", C12&lt;=1000000, "Macro", C12&gt;1000000, "Mega")</f>
        <v>Mid</v>
      </c>
      <c r="E12" s="79" t="s">
        <v>164</v>
      </c>
      <c r="F12" s="69">
        <v>153100.0</v>
      </c>
      <c r="G12" s="80" t="str">
        <f t="shared" si="2"/>
        <v>Mid</v>
      </c>
      <c r="H12" s="80" t="s">
        <v>39</v>
      </c>
      <c r="I12" s="83" t="s">
        <v>166</v>
      </c>
      <c r="J12" s="3"/>
      <c r="K12" s="3"/>
      <c r="L12" s="3"/>
      <c r="M12" s="3"/>
      <c r="N12" s="3"/>
      <c r="O12" s="3"/>
      <c r="P12" s="3"/>
      <c r="Q12" s="3"/>
      <c r="R12" s="3"/>
      <c r="S12" s="4"/>
      <c r="T12" s="114">
        <v>250000.0</v>
      </c>
      <c r="U12" s="156"/>
      <c r="V12" s="156"/>
      <c r="W12" s="156"/>
    </row>
  </sheetData>
  <mergeCells count="5">
    <mergeCell ref="A1:A2"/>
    <mergeCell ref="B1:H1"/>
    <mergeCell ref="J1:P1"/>
    <mergeCell ref="Q1:W1"/>
    <mergeCell ref="I12:S12"/>
  </mergeCells>
  <conditionalFormatting sqref="I3:W12">
    <cfRule type="containsBlanks" dxfId="0" priority="1">
      <formula>LEN(TRIM(I3))=0</formula>
    </cfRule>
  </conditionalFormatting>
  <dataValidations>
    <dataValidation type="list" allowBlank="1" showErrorMessage="1" sqref="D3:D12 G3:G12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</hyperlinks>
  <drawing r:id="rId2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14.5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60">
        <v>1.0</v>
      </c>
      <c r="B3" s="79" t="s">
        <v>383</v>
      </c>
      <c r="C3" s="68">
        <v>1000000.0</v>
      </c>
      <c r="D3" s="80" t="str">
        <f t="shared" ref="D3:D15" si="1">ifs(C3&lt;10000, "Nano", C3&lt;=100000, "Micro", C3&lt;=500000, "Mid", C3&lt;=1000000, "Macro", C3&gt;1000000, "Mega")</f>
        <v>Macro</v>
      </c>
      <c r="E3" s="79" t="s">
        <v>384</v>
      </c>
      <c r="F3" s="68">
        <v>1000000.0</v>
      </c>
      <c r="G3" s="80" t="str">
        <f t="shared" ref="G3:G20" si="2">ifs(F3&lt;10000, "Nano", F3&lt;=100000, "Micro", F3&lt;=500000, "Mid", F3&lt;=1000000, "Macro", F3&gt;1000000, "Mega")</f>
        <v>Macro</v>
      </c>
      <c r="H3" s="80" t="s">
        <v>39</v>
      </c>
      <c r="I3" s="86"/>
      <c r="J3" s="66">
        <v>1.0E7</v>
      </c>
      <c r="K3" s="66">
        <v>2.1E7</v>
      </c>
      <c r="L3" s="71" t="s">
        <v>52</v>
      </c>
      <c r="M3" s="66">
        <v>2.7E7</v>
      </c>
      <c r="N3" s="66">
        <v>5000000.0</v>
      </c>
      <c r="O3" s="66" t="s">
        <v>386</v>
      </c>
      <c r="P3" s="66">
        <v>8000000.0</v>
      </c>
      <c r="Q3" s="66" t="s">
        <v>387</v>
      </c>
      <c r="R3" s="66">
        <v>5.0E7</v>
      </c>
      <c r="S3" s="66">
        <v>3.0E7</v>
      </c>
      <c r="T3" s="72">
        <v>0.5</v>
      </c>
      <c r="U3" s="72">
        <v>0.35</v>
      </c>
      <c r="V3" s="86"/>
      <c r="W3" s="66" t="s">
        <v>388</v>
      </c>
    </row>
    <row r="4">
      <c r="A4" s="113">
        <v>2.0</v>
      </c>
      <c r="B4" s="79" t="s">
        <v>105</v>
      </c>
      <c r="C4" s="74">
        <v>425000.0</v>
      </c>
      <c r="D4" s="80" t="str">
        <f t="shared" si="1"/>
        <v>Mid</v>
      </c>
      <c r="E4" s="64" t="s">
        <v>105</v>
      </c>
      <c r="F4" s="74">
        <v>108300.0</v>
      </c>
      <c r="G4" s="80" t="str">
        <f t="shared" si="2"/>
        <v>Mid</v>
      </c>
      <c r="H4" s="114" t="s">
        <v>50</v>
      </c>
      <c r="I4" s="114">
        <v>600000.0</v>
      </c>
      <c r="J4" s="114">
        <v>7000000.0</v>
      </c>
      <c r="K4" s="114">
        <v>8000000.0</v>
      </c>
      <c r="L4" s="115" t="s">
        <v>52</v>
      </c>
      <c r="M4" s="114">
        <v>7000000.0</v>
      </c>
      <c r="N4" s="114">
        <v>8000000.0</v>
      </c>
      <c r="O4" s="114">
        <v>1.5E7</v>
      </c>
      <c r="P4" s="115" t="s">
        <v>52</v>
      </c>
      <c r="Q4" s="114">
        <v>8000000.0</v>
      </c>
      <c r="R4" s="114">
        <v>1.5E7</v>
      </c>
      <c r="S4" s="114">
        <v>5000000.0</v>
      </c>
      <c r="T4" s="115" t="s">
        <v>52</v>
      </c>
      <c r="U4" s="114" t="s">
        <v>107</v>
      </c>
      <c r="V4" s="114">
        <v>1000000.0</v>
      </c>
      <c r="W4" s="114">
        <v>5000000.0</v>
      </c>
    </row>
    <row r="5">
      <c r="A5" s="113">
        <v>3.0</v>
      </c>
      <c r="B5" s="79" t="s">
        <v>126</v>
      </c>
      <c r="C5" s="69">
        <v>305000.0</v>
      </c>
      <c r="D5" s="80" t="str">
        <f t="shared" si="1"/>
        <v>Mid</v>
      </c>
      <c r="E5" s="64" t="s">
        <v>127</v>
      </c>
      <c r="F5" s="69" t="s">
        <v>128</v>
      </c>
      <c r="G5" s="80" t="str">
        <f t="shared" si="2"/>
        <v>Mega</v>
      </c>
      <c r="H5" s="78" t="s">
        <v>39</v>
      </c>
      <c r="I5" s="66">
        <v>1000000.0</v>
      </c>
      <c r="J5" s="66">
        <v>3000000.0</v>
      </c>
      <c r="K5" s="66">
        <v>4000000.0</v>
      </c>
      <c r="L5" s="66" t="s">
        <v>52</v>
      </c>
      <c r="M5" s="66">
        <v>3500000.0</v>
      </c>
      <c r="N5" s="71" t="s">
        <v>52</v>
      </c>
      <c r="O5" s="66">
        <v>9000000.0</v>
      </c>
      <c r="P5" s="71" t="s">
        <v>52</v>
      </c>
      <c r="Q5" s="66">
        <v>7000000.0</v>
      </c>
      <c r="R5" s="66">
        <v>4500000.0</v>
      </c>
      <c r="S5" s="66">
        <v>4000000.0</v>
      </c>
      <c r="T5" s="66" t="s">
        <v>130</v>
      </c>
      <c r="U5" s="71" t="s">
        <v>52</v>
      </c>
      <c r="V5" s="71" t="s">
        <v>52</v>
      </c>
      <c r="W5" s="66">
        <v>1000000.0</v>
      </c>
    </row>
    <row r="6">
      <c r="A6" s="113">
        <v>4.0</v>
      </c>
      <c r="B6" s="127" t="s">
        <v>155</v>
      </c>
      <c r="C6" s="74">
        <v>197000.0</v>
      </c>
      <c r="D6" s="80" t="str">
        <f t="shared" si="1"/>
        <v>Mid</v>
      </c>
      <c r="E6" s="79" t="s">
        <v>156</v>
      </c>
      <c r="F6" s="68">
        <v>1800000.0</v>
      </c>
      <c r="G6" s="80" t="str">
        <f t="shared" si="2"/>
        <v>Mega</v>
      </c>
      <c r="H6" s="129" t="s">
        <v>50</v>
      </c>
      <c r="I6" s="114">
        <v>250000.0</v>
      </c>
      <c r="J6" s="114">
        <v>1500000.0</v>
      </c>
      <c r="K6" s="114">
        <v>3000000.0</v>
      </c>
      <c r="L6" s="115" t="s">
        <v>52</v>
      </c>
      <c r="M6" s="114">
        <v>5000000.0</v>
      </c>
      <c r="N6" s="123"/>
      <c r="O6" s="114">
        <v>1.1E7</v>
      </c>
      <c r="P6" s="115" t="s">
        <v>52</v>
      </c>
      <c r="Q6" s="114">
        <v>1.5E7</v>
      </c>
      <c r="R6" s="114" t="s">
        <v>158</v>
      </c>
      <c r="S6" s="114" t="s">
        <v>159</v>
      </c>
      <c r="T6" s="123"/>
      <c r="U6" s="123"/>
      <c r="V6" s="115" t="s">
        <v>52</v>
      </c>
      <c r="W6" s="114" t="s">
        <v>160</v>
      </c>
    </row>
    <row r="7">
      <c r="A7" s="60">
        <v>5.0</v>
      </c>
      <c r="B7" s="79" t="s">
        <v>259</v>
      </c>
      <c r="C7" s="69">
        <v>351000.0</v>
      </c>
      <c r="D7" s="80" t="str">
        <f t="shared" si="1"/>
        <v>Mid</v>
      </c>
      <c r="E7" s="79" t="s">
        <v>260</v>
      </c>
      <c r="F7" s="69">
        <v>256000.0</v>
      </c>
      <c r="G7" s="80" t="str">
        <f t="shared" si="2"/>
        <v>Mid</v>
      </c>
      <c r="H7" s="80" t="s">
        <v>39</v>
      </c>
      <c r="I7" s="86"/>
      <c r="J7" s="66">
        <v>8000000.0</v>
      </c>
      <c r="K7" s="66">
        <v>1.5E7</v>
      </c>
      <c r="L7" s="71" t="s">
        <v>52</v>
      </c>
      <c r="M7" s="66">
        <v>2.0E7</v>
      </c>
      <c r="N7" s="86"/>
      <c r="O7" s="66">
        <v>2.5E7</v>
      </c>
      <c r="P7" s="86"/>
      <c r="Q7" s="66">
        <v>2.0E7</v>
      </c>
      <c r="R7" s="66">
        <v>3.5E7</v>
      </c>
      <c r="S7" s="86"/>
      <c r="T7" s="66" t="s">
        <v>262</v>
      </c>
      <c r="U7" s="72">
        <v>0.5</v>
      </c>
      <c r="V7" s="86"/>
      <c r="W7" s="86"/>
    </row>
    <row r="8">
      <c r="A8" s="113">
        <v>6.0</v>
      </c>
      <c r="B8" s="79" t="s">
        <v>277</v>
      </c>
      <c r="C8" s="68">
        <v>2500000.0</v>
      </c>
      <c r="D8" s="80" t="str">
        <f t="shared" si="1"/>
        <v>Mega</v>
      </c>
      <c r="E8" s="79" t="s">
        <v>277</v>
      </c>
      <c r="F8" s="68">
        <v>2300000.0</v>
      </c>
      <c r="G8" s="80" t="str">
        <f t="shared" si="2"/>
        <v>Mega</v>
      </c>
      <c r="H8" s="80" t="s">
        <v>50</v>
      </c>
      <c r="I8" s="86"/>
      <c r="J8" s="66">
        <v>6000000.0</v>
      </c>
      <c r="K8" s="66">
        <v>1.65E7</v>
      </c>
      <c r="L8" s="86"/>
      <c r="M8" s="66">
        <v>2.5E7</v>
      </c>
      <c r="N8" s="66">
        <v>2.8E7</v>
      </c>
      <c r="O8" s="66">
        <v>3.5E7</v>
      </c>
      <c r="P8" s="86"/>
      <c r="Q8" s="66">
        <v>3.5E7</v>
      </c>
      <c r="R8" s="66">
        <v>4.5E7</v>
      </c>
      <c r="S8" s="86"/>
      <c r="T8" s="86"/>
      <c r="U8" s="86"/>
      <c r="V8" s="66">
        <v>5000000.0</v>
      </c>
      <c r="W8" s="86"/>
    </row>
    <row r="9">
      <c r="A9" s="113">
        <v>7.0</v>
      </c>
      <c r="B9" s="79" t="s">
        <v>284</v>
      </c>
      <c r="C9" s="69">
        <v>1789.0</v>
      </c>
      <c r="D9" s="80" t="str">
        <f t="shared" si="1"/>
        <v>Nano</v>
      </c>
      <c r="E9" s="79" t="s">
        <v>285</v>
      </c>
      <c r="F9" s="69">
        <v>67500.0</v>
      </c>
      <c r="G9" s="80" t="str">
        <f t="shared" si="2"/>
        <v>Micro</v>
      </c>
      <c r="H9" s="80" t="s">
        <v>39</v>
      </c>
      <c r="I9" s="86"/>
      <c r="J9" s="86"/>
      <c r="K9" s="86"/>
      <c r="L9" s="86"/>
      <c r="M9" s="86"/>
      <c r="N9" s="86"/>
      <c r="O9" s="86"/>
      <c r="P9" s="86"/>
      <c r="Q9" s="66">
        <v>1800000.0</v>
      </c>
      <c r="R9" s="86"/>
      <c r="S9" s="86"/>
      <c r="T9" s="66">
        <v>1000000.0</v>
      </c>
      <c r="U9" s="71" t="s">
        <v>286</v>
      </c>
      <c r="V9" s="66">
        <v>300000.0</v>
      </c>
      <c r="W9" s="86"/>
    </row>
    <row r="10">
      <c r="A10" s="113">
        <v>8.0</v>
      </c>
      <c r="B10" s="79" t="s">
        <v>287</v>
      </c>
      <c r="C10" s="69">
        <v>379000.0</v>
      </c>
      <c r="D10" s="80" t="str">
        <f t="shared" si="1"/>
        <v>Mid</v>
      </c>
      <c r="E10" s="79" t="s">
        <v>287</v>
      </c>
      <c r="F10" s="69">
        <v>60200.0</v>
      </c>
      <c r="G10" s="80" t="str">
        <f t="shared" si="2"/>
        <v>Micro</v>
      </c>
      <c r="H10" s="80" t="s">
        <v>288</v>
      </c>
      <c r="I10" s="86"/>
      <c r="J10" s="66">
        <v>4000000.0</v>
      </c>
      <c r="K10" s="66">
        <v>9500000.0</v>
      </c>
      <c r="L10" s="66">
        <v>1000000.0</v>
      </c>
      <c r="M10" s="66">
        <v>9000000.0</v>
      </c>
      <c r="N10" s="66">
        <v>1.0E7</v>
      </c>
      <c r="O10" s="66">
        <v>1.75E7</v>
      </c>
      <c r="P10" s="86"/>
      <c r="Q10" s="66">
        <v>1.25E7</v>
      </c>
      <c r="R10" s="86"/>
      <c r="S10" s="86"/>
      <c r="T10" s="72">
        <v>2.0</v>
      </c>
      <c r="U10" s="66" t="s">
        <v>289</v>
      </c>
      <c r="V10" s="86"/>
      <c r="W10" s="86"/>
    </row>
    <row r="11">
      <c r="A11" s="60">
        <v>9.0</v>
      </c>
      <c r="B11" s="79" t="s">
        <v>293</v>
      </c>
      <c r="C11" s="69">
        <v>76400.0</v>
      </c>
      <c r="D11" s="80" t="str">
        <f t="shared" si="1"/>
        <v>Micro</v>
      </c>
      <c r="E11" s="79" t="s">
        <v>294</v>
      </c>
      <c r="F11" s="69">
        <v>585700.0</v>
      </c>
      <c r="G11" s="80" t="str">
        <f t="shared" si="2"/>
        <v>Macro</v>
      </c>
      <c r="H11" s="80" t="s">
        <v>46</v>
      </c>
      <c r="I11" s="86"/>
      <c r="J11" s="66">
        <v>4000000.0</v>
      </c>
      <c r="K11" s="86"/>
      <c r="L11" s="86"/>
      <c r="M11" s="86"/>
      <c r="N11" s="86"/>
      <c r="O11" s="86"/>
      <c r="P11" s="86"/>
      <c r="Q11" s="66">
        <v>1.25E7</v>
      </c>
      <c r="R11" s="86"/>
      <c r="S11" s="86"/>
      <c r="T11" s="86"/>
      <c r="U11" s="66">
        <v>5000000.0</v>
      </c>
      <c r="V11" s="66">
        <v>2500000.0</v>
      </c>
      <c r="W11" s="86"/>
    </row>
    <row r="12">
      <c r="A12" s="113">
        <v>10.0</v>
      </c>
      <c r="B12" s="79" t="s">
        <v>295</v>
      </c>
      <c r="C12" s="69">
        <v>421000.0</v>
      </c>
      <c r="D12" s="80" t="str">
        <f t="shared" si="1"/>
        <v>Mid</v>
      </c>
      <c r="E12" s="79" t="s">
        <v>296</v>
      </c>
      <c r="F12" s="69">
        <v>83800.0</v>
      </c>
      <c r="G12" s="80" t="str">
        <f t="shared" si="2"/>
        <v>Micro</v>
      </c>
      <c r="H12" s="80" t="s">
        <v>297</v>
      </c>
      <c r="I12" s="86"/>
      <c r="J12" s="66">
        <v>1.0E7</v>
      </c>
      <c r="K12" s="66">
        <v>1.5E7</v>
      </c>
      <c r="L12" s="66">
        <v>2000000.0</v>
      </c>
      <c r="M12" s="66">
        <v>1.9E7</v>
      </c>
      <c r="N12" s="66">
        <v>2.1E7</v>
      </c>
      <c r="O12" s="66">
        <v>7.0E7</v>
      </c>
      <c r="P12" s="77" t="s">
        <v>299</v>
      </c>
      <c r="Q12" s="66">
        <v>3.5E7</v>
      </c>
      <c r="R12" s="66">
        <v>5.5E7</v>
      </c>
      <c r="S12" s="86"/>
      <c r="T12" s="86"/>
      <c r="U12" s="86"/>
      <c r="V12" s="86"/>
      <c r="W12" s="86"/>
    </row>
    <row r="13">
      <c r="A13" s="113">
        <v>11.0</v>
      </c>
      <c r="B13" s="79" t="s">
        <v>303</v>
      </c>
      <c r="C13" s="69">
        <v>292000.0</v>
      </c>
      <c r="D13" s="80" t="str">
        <f t="shared" si="1"/>
        <v>Mid</v>
      </c>
      <c r="E13" s="79" t="s">
        <v>303</v>
      </c>
      <c r="F13" s="69">
        <v>19300.0</v>
      </c>
      <c r="G13" s="80" t="str">
        <f t="shared" si="2"/>
        <v>Micro</v>
      </c>
      <c r="H13" s="80" t="s">
        <v>197</v>
      </c>
      <c r="I13" s="86"/>
      <c r="J13" s="66">
        <v>6000000.0</v>
      </c>
      <c r="K13" s="66">
        <v>1.8E7</v>
      </c>
      <c r="L13" s="66">
        <v>8250000.0</v>
      </c>
      <c r="M13" s="66">
        <v>1.5E7</v>
      </c>
      <c r="N13" s="66">
        <v>1.8E7</v>
      </c>
      <c r="O13" s="66">
        <v>2.5E7</v>
      </c>
      <c r="P13" s="77" t="s">
        <v>299</v>
      </c>
      <c r="Q13" s="86"/>
      <c r="R13" s="66">
        <v>2.65E7</v>
      </c>
      <c r="S13" s="66">
        <v>2.0E7</v>
      </c>
      <c r="T13" s="86"/>
      <c r="U13" s="86"/>
      <c r="V13" s="86"/>
      <c r="W13" s="86"/>
    </row>
    <row r="14">
      <c r="A14" s="113">
        <v>12.0</v>
      </c>
      <c r="B14" s="79" t="s">
        <v>305</v>
      </c>
      <c r="C14" s="69">
        <v>129000.0</v>
      </c>
      <c r="D14" s="80" t="str">
        <f t="shared" si="1"/>
        <v>Mid</v>
      </c>
      <c r="E14" s="79" t="s">
        <v>306</v>
      </c>
      <c r="F14" s="69">
        <v>166400.0</v>
      </c>
      <c r="G14" s="80" t="str">
        <f t="shared" si="2"/>
        <v>Mid</v>
      </c>
      <c r="H14" s="80" t="s">
        <v>83</v>
      </c>
      <c r="I14" s="86"/>
      <c r="J14" s="66">
        <v>2500000.0</v>
      </c>
      <c r="K14" s="66">
        <v>4500000.0</v>
      </c>
      <c r="L14" s="86"/>
      <c r="M14" s="66">
        <v>4000000.0</v>
      </c>
      <c r="N14" s="66">
        <v>5500000.0</v>
      </c>
      <c r="O14" s="66">
        <v>8500000.0</v>
      </c>
      <c r="P14" s="66">
        <v>3000000.0</v>
      </c>
      <c r="Q14" s="66">
        <v>7500000.0</v>
      </c>
      <c r="R14" s="66">
        <v>3500000.0</v>
      </c>
      <c r="S14" s="86"/>
      <c r="T14" s="72">
        <v>1.0</v>
      </c>
      <c r="U14" s="86"/>
      <c r="V14" s="86"/>
      <c r="W14" s="66" t="s">
        <v>308</v>
      </c>
    </row>
    <row r="15">
      <c r="A15" s="60">
        <v>13.0</v>
      </c>
      <c r="B15" s="79" t="s">
        <v>309</v>
      </c>
      <c r="C15" s="68">
        <v>1100000.0</v>
      </c>
      <c r="D15" s="80" t="str">
        <f t="shared" si="1"/>
        <v>Mega</v>
      </c>
      <c r="E15" s="79" t="s">
        <v>310</v>
      </c>
      <c r="F15" s="69">
        <v>237800.0</v>
      </c>
      <c r="G15" s="80" t="str">
        <f t="shared" si="2"/>
        <v>Mid</v>
      </c>
      <c r="H15" s="80" t="s">
        <v>146</v>
      </c>
      <c r="I15" s="86"/>
      <c r="J15" s="66">
        <v>9500000.0</v>
      </c>
      <c r="K15" s="66">
        <v>3.6E7</v>
      </c>
      <c r="L15" s="66">
        <v>500000.0</v>
      </c>
      <c r="M15" s="66">
        <v>3.0E7</v>
      </c>
      <c r="N15" s="66">
        <v>3000000.0</v>
      </c>
      <c r="O15" s="66">
        <v>7.0E7</v>
      </c>
      <c r="P15" s="86"/>
      <c r="Q15" s="66">
        <v>6.0E7</v>
      </c>
      <c r="R15" s="66">
        <v>1.1E8</v>
      </c>
      <c r="S15" s="66">
        <v>2.5E7</v>
      </c>
      <c r="T15" s="66" t="s">
        <v>311</v>
      </c>
      <c r="U15" s="66">
        <v>5000000.0</v>
      </c>
      <c r="V15" s="77" t="s">
        <v>312</v>
      </c>
      <c r="W15" s="66">
        <v>2.7E7</v>
      </c>
    </row>
    <row r="16">
      <c r="A16" s="113">
        <v>14.0</v>
      </c>
      <c r="B16" s="79" t="s">
        <v>462</v>
      </c>
      <c r="C16" s="69">
        <v>986000.0</v>
      </c>
      <c r="D16" s="80" t="str">
        <f t="shared" ref="D16:D20" si="3">ifs(C16&lt;10000, "Nano", C16&lt;=50000, "Micro", C16&lt;=500000, "Mid", C16&lt;=1000000, "Macro", C16&gt;1000000, "Mega")</f>
        <v>Macro</v>
      </c>
      <c r="E16" s="64" t="s">
        <v>463</v>
      </c>
      <c r="F16" s="68">
        <v>7200000.0</v>
      </c>
      <c r="G16" s="80" t="str">
        <f t="shared" si="2"/>
        <v>Mega</v>
      </c>
      <c r="H16" s="95"/>
      <c r="I16" s="76"/>
      <c r="J16" s="66">
        <v>1.0E7</v>
      </c>
      <c r="K16" s="66">
        <v>2.5E7</v>
      </c>
      <c r="L16" s="66">
        <v>1000000.0</v>
      </c>
      <c r="M16" s="66">
        <v>3.0E7</v>
      </c>
      <c r="N16" s="76"/>
      <c r="O16" s="66">
        <v>3.5E7</v>
      </c>
      <c r="P16" s="99"/>
      <c r="Q16" s="66">
        <v>4.2E7</v>
      </c>
      <c r="R16" s="66">
        <v>6.5E7</v>
      </c>
      <c r="S16" s="66">
        <v>2.5E7</v>
      </c>
      <c r="T16" s="72">
        <v>0.5</v>
      </c>
      <c r="U16" s="99"/>
      <c r="V16" s="76"/>
      <c r="W16" s="66">
        <v>2.0E7</v>
      </c>
    </row>
    <row r="17">
      <c r="A17" s="113">
        <v>15.0</v>
      </c>
      <c r="B17" s="79" t="s">
        <v>476</v>
      </c>
      <c r="C17" s="69">
        <v>313000.0</v>
      </c>
      <c r="D17" s="80" t="str">
        <f t="shared" si="3"/>
        <v>Mid</v>
      </c>
      <c r="E17" s="64" t="s">
        <v>476</v>
      </c>
      <c r="F17" s="69">
        <v>277700.0</v>
      </c>
      <c r="G17" s="80" t="str">
        <f t="shared" si="2"/>
        <v>Mid</v>
      </c>
      <c r="H17" s="95"/>
      <c r="I17" s="76"/>
      <c r="J17" s="66">
        <v>5000000.0</v>
      </c>
      <c r="K17" s="66">
        <v>1.3E7</v>
      </c>
      <c r="L17" s="76"/>
      <c r="M17" s="66">
        <v>1.5E7</v>
      </c>
      <c r="N17" s="76"/>
      <c r="O17" s="66">
        <v>2.0E7</v>
      </c>
      <c r="P17" s="99"/>
      <c r="Q17" s="66">
        <v>1.9E7</v>
      </c>
      <c r="R17" s="66">
        <v>3.5E7</v>
      </c>
      <c r="S17" s="66">
        <v>2.0E7</v>
      </c>
      <c r="T17" s="72">
        <v>0.5</v>
      </c>
      <c r="U17" s="99"/>
      <c r="V17" s="76"/>
      <c r="W17" s="66">
        <v>1.5E7</v>
      </c>
    </row>
    <row r="18">
      <c r="A18" s="113">
        <v>16.0</v>
      </c>
      <c r="B18" s="79" t="s">
        <v>478</v>
      </c>
      <c r="C18" s="68">
        <v>2000000.0</v>
      </c>
      <c r="D18" s="80" t="str">
        <f t="shared" si="3"/>
        <v>Mega</v>
      </c>
      <c r="E18" s="64" t="s">
        <v>478</v>
      </c>
      <c r="F18" s="68">
        <v>1.12E7</v>
      </c>
      <c r="G18" s="80" t="str">
        <f t="shared" si="2"/>
        <v>Mega</v>
      </c>
      <c r="H18" s="95"/>
      <c r="I18" s="76"/>
      <c r="J18" s="66">
        <v>1.3E7</v>
      </c>
      <c r="K18" s="66">
        <v>3.5E7</v>
      </c>
      <c r="L18" s="66">
        <v>1500000.0</v>
      </c>
      <c r="M18" s="66">
        <v>2.5E7</v>
      </c>
      <c r="N18" s="76"/>
      <c r="O18" s="66">
        <v>3.5E7</v>
      </c>
      <c r="P18" s="99"/>
      <c r="Q18" s="66">
        <v>5.0E7</v>
      </c>
      <c r="R18" s="66">
        <v>8.0E7</v>
      </c>
      <c r="S18" s="66">
        <v>3.0E7</v>
      </c>
      <c r="T18" s="72">
        <v>0.5</v>
      </c>
      <c r="U18" s="99"/>
      <c r="V18" s="76"/>
      <c r="W18" s="66">
        <v>2.0E7</v>
      </c>
    </row>
    <row r="19">
      <c r="A19" s="60">
        <v>17.0</v>
      </c>
      <c r="B19" s="79" t="s">
        <v>479</v>
      </c>
      <c r="C19" s="69">
        <v>253000.0</v>
      </c>
      <c r="D19" s="80" t="str">
        <f t="shared" si="3"/>
        <v>Mid</v>
      </c>
      <c r="E19" s="64" t="s">
        <v>480</v>
      </c>
      <c r="F19" s="69">
        <v>153000.0</v>
      </c>
      <c r="G19" s="80" t="str">
        <f t="shared" si="2"/>
        <v>Mid</v>
      </c>
      <c r="H19" s="95"/>
      <c r="I19" s="76"/>
      <c r="J19" s="66">
        <v>4000000.0</v>
      </c>
      <c r="K19" s="66">
        <v>7000000.0</v>
      </c>
      <c r="L19" s="66">
        <v>1000000.0</v>
      </c>
      <c r="M19" s="66">
        <v>8000000.0</v>
      </c>
      <c r="N19" s="76"/>
      <c r="O19" s="66">
        <v>1.2E7</v>
      </c>
      <c r="P19" s="99"/>
      <c r="Q19" s="66">
        <v>8000000.0</v>
      </c>
      <c r="R19" s="66">
        <v>1.7E7</v>
      </c>
      <c r="S19" s="66">
        <v>1.5E7</v>
      </c>
      <c r="T19" s="72">
        <v>0.5</v>
      </c>
      <c r="U19" s="99"/>
      <c r="V19" s="76"/>
      <c r="W19" s="66">
        <v>1.4E7</v>
      </c>
    </row>
    <row r="20">
      <c r="A20" s="113">
        <v>18.0</v>
      </c>
      <c r="B20" s="79" t="s">
        <v>507</v>
      </c>
      <c r="C20" s="69">
        <v>162000.0</v>
      </c>
      <c r="D20" s="80" t="str">
        <f t="shared" si="3"/>
        <v>Mid</v>
      </c>
      <c r="E20" s="64" t="s">
        <v>508</v>
      </c>
      <c r="F20" s="69">
        <v>337100.0</v>
      </c>
      <c r="G20" s="80" t="str">
        <f t="shared" si="2"/>
        <v>Mid</v>
      </c>
      <c r="H20" s="80" t="s">
        <v>509</v>
      </c>
      <c r="I20" s="76"/>
      <c r="J20" s="76"/>
      <c r="K20" s="66">
        <v>2500000.0</v>
      </c>
      <c r="L20" s="76"/>
      <c r="M20" s="66">
        <v>2950000.0</v>
      </c>
      <c r="N20" s="66">
        <v>100000.0</v>
      </c>
      <c r="O20" s="66">
        <v>7000000.0</v>
      </c>
      <c r="P20" s="99"/>
      <c r="Q20" s="66">
        <v>1.05E7</v>
      </c>
      <c r="R20" s="66">
        <v>9750000.0</v>
      </c>
      <c r="S20" s="66">
        <v>8000000.0</v>
      </c>
      <c r="T20" s="66">
        <v>1750000.0</v>
      </c>
      <c r="U20" s="66">
        <v>500000.0</v>
      </c>
      <c r="V20" s="66">
        <v>500000.0</v>
      </c>
      <c r="W20" s="76"/>
    </row>
  </sheetData>
  <mergeCells count="4">
    <mergeCell ref="A1:A2"/>
    <mergeCell ref="B1:H1"/>
    <mergeCell ref="J1:P1"/>
    <mergeCell ref="Q1:W1"/>
  </mergeCells>
  <conditionalFormatting sqref="A15:A20 B15:W15">
    <cfRule type="containsBlanks" dxfId="1" priority="1">
      <formula>LEN(TRIM(A15))=0</formula>
    </cfRule>
  </conditionalFormatting>
  <conditionalFormatting sqref="A3 A7 A9 A11 A13 A15:A20 B15:W15">
    <cfRule type="containsBlanks" dxfId="0" priority="2">
      <formula>LEN(TRIM(A3))=0</formula>
    </cfRule>
  </conditionalFormatting>
  <conditionalFormatting sqref="A7:A20 U7:W20 T15 T20">
    <cfRule type="containsBlanks" dxfId="0" priority="3">
      <formula>LEN(TRIM(A7))=0</formula>
    </cfRule>
  </conditionalFormatting>
  <dataValidations>
    <dataValidation type="list" allowBlank="1" showErrorMessage="1" sqref="D3:D20 G3:G20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B13"/>
    <hyperlink r:id="rId22" ref="E13"/>
    <hyperlink r:id="rId23" ref="B14"/>
    <hyperlink r:id="rId24" ref="E14"/>
    <hyperlink r:id="rId25" ref="B15"/>
    <hyperlink r:id="rId26" ref="E15"/>
    <hyperlink r:id="rId27" ref="B16"/>
    <hyperlink r:id="rId28" ref="E16"/>
    <hyperlink r:id="rId29" ref="B17"/>
    <hyperlink r:id="rId30" ref="E17"/>
    <hyperlink r:id="rId31" ref="B18"/>
    <hyperlink r:id="rId32" ref="E18"/>
    <hyperlink r:id="rId33" ref="B19"/>
    <hyperlink r:id="rId34" ref="E19"/>
    <hyperlink r:id="rId35" ref="B20"/>
    <hyperlink r:id="rId36" ref="E20"/>
  </hyperlinks>
  <drawing r:id="rId3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13.38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113">
        <v>1.0</v>
      </c>
      <c r="B3" s="127" t="s">
        <v>44</v>
      </c>
      <c r="C3" s="68">
        <v>6700000.0</v>
      </c>
      <c r="D3" s="80" t="str">
        <f t="shared" ref="D3:D10" si="1">ifs(C3&lt;10000, "Nano", C3&lt;=100000, "Micro", C3&lt;=500000, "Mid", C3&lt;=1000000, "Macro", C3&gt;1000000, "Mega")</f>
        <v>Mega</v>
      </c>
      <c r="E3" s="79" t="s">
        <v>45</v>
      </c>
      <c r="F3" s="68">
        <v>2800000.0</v>
      </c>
      <c r="G3" s="80" t="str">
        <f t="shared" ref="G3:G10" si="2">ifs(F3&lt;10000, "Nano", F3&lt;=100000, "Micro", F3&lt;=500000, "Mid", F3&lt;=1000000, "Macro", F3&gt;1000000, "Mega")</f>
        <v>Mega</v>
      </c>
      <c r="H3" s="129" t="s">
        <v>46</v>
      </c>
      <c r="I3" s="123"/>
      <c r="J3" s="114">
        <v>2.0E7</v>
      </c>
      <c r="K3" s="114">
        <v>3.5E7</v>
      </c>
      <c r="L3" s="114">
        <v>5000000.0</v>
      </c>
      <c r="M3" s="114">
        <v>3.0E7</v>
      </c>
      <c r="N3" s="114">
        <v>4.5E7</v>
      </c>
      <c r="O3" s="114">
        <v>4.5E7</v>
      </c>
      <c r="P3" s="114">
        <v>1.0E7</v>
      </c>
      <c r="Q3" s="114">
        <v>4.5E7</v>
      </c>
      <c r="R3" s="114">
        <v>6.5E7</v>
      </c>
      <c r="S3" s="114">
        <v>4.5E7</v>
      </c>
      <c r="T3" s="114">
        <v>1.0E7</v>
      </c>
      <c r="U3" s="114">
        <v>1.0E7</v>
      </c>
      <c r="V3" s="123"/>
      <c r="W3" s="114">
        <v>4.5E7</v>
      </c>
    </row>
    <row r="4" ht="18.0" customHeight="1">
      <c r="A4" s="113">
        <v>2.0</v>
      </c>
      <c r="B4" s="137" t="s">
        <v>48</v>
      </c>
      <c r="C4" s="132">
        <v>999000.0</v>
      </c>
      <c r="D4" s="133" t="str">
        <f t="shared" si="1"/>
        <v>Macro</v>
      </c>
      <c r="E4" s="177" t="s">
        <v>49</v>
      </c>
      <c r="F4" s="132">
        <v>89900.0</v>
      </c>
      <c r="G4" s="133" t="str">
        <f t="shared" si="2"/>
        <v>Micro</v>
      </c>
      <c r="H4" s="138" t="s">
        <v>50</v>
      </c>
      <c r="I4" s="119">
        <v>2000000.0</v>
      </c>
      <c r="J4" s="119">
        <v>3500000.0</v>
      </c>
      <c r="K4" s="119">
        <v>6500000.0</v>
      </c>
      <c r="L4" s="121" t="s">
        <v>52</v>
      </c>
      <c r="M4" s="119">
        <v>8000000.0</v>
      </c>
      <c r="N4" s="119">
        <v>1000000.0</v>
      </c>
      <c r="O4" s="119">
        <v>1.3E7</v>
      </c>
      <c r="P4" s="119">
        <v>1000000.0</v>
      </c>
      <c r="Q4" s="119">
        <v>8000000.0</v>
      </c>
      <c r="R4" s="119">
        <v>1.9E7</v>
      </c>
      <c r="S4" s="119">
        <v>1.0E7</v>
      </c>
      <c r="T4" s="178">
        <v>0.5</v>
      </c>
      <c r="U4" s="119">
        <v>1000000.0</v>
      </c>
      <c r="V4" s="119">
        <v>1000000.0</v>
      </c>
      <c r="W4" s="119">
        <v>5000000.0</v>
      </c>
    </row>
    <row r="5" ht="18.0" customHeight="1">
      <c r="A5" s="113">
        <v>3.0</v>
      </c>
      <c r="B5" s="127" t="s">
        <v>53</v>
      </c>
      <c r="C5" s="69">
        <v>988000.0</v>
      </c>
      <c r="D5" s="80" t="str">
        <f t="shared" si="1"/>
        <v>Macro</v>
      </c>
      <c r="E5" s="82" t="s">
        <v>54</v>
      </c>
      <c r="F5" s="69">
        <v>601100.0</v>
      </c>
      <c r="G5" s="80" t="str">
        <f t="shared" si="2"/>
        <v>Macro</v>
      </c>
      <c r="H5" s="129" t="s">
        <v>50</v>
      </c>
      <c r="I5" s="114">
        <v>500000.0</v>
      </c>
      <c r="J5" s="114">
        <v>3000000.0</v>
      </c>
      <c r="K5" s="114">
        <v>3500000.0</v>
      </c>
      <c r="L5" s="115" t="s">
        <v>52</v>
      </c>
      <c r="M5" s="114">
        <v>4000000.0</v>
      </c>
      <c r="N5" s="123"/>
      <c r="O5" s="114">
        <v>5000000.0</v>
      </c>
      <c r="P5" s="115" t="s">
        <v>52</v>
      </c>
      <c r="Q5" s="114">
        <v>1500000.0</v>
      </c>
      <c r="R5" s="114">
        <v>6000000.0</v>
      </c>
      <c r="S5" s="123"/>
      <c r="T5" s="123"/>
      <c r="U5" s="123"/>
      <c r="V5" s="115" t="s">
        <v>52</v>
      </c>
      <c r="W5" s="123"/>
    </row>
    <row r="6">
      <c r="A6" s="113">
        <v>4.0</v>
      </c>
      <c r="B6" s="127" t="s">
        <v>56</v>
      </c>
      <c r="C6" s="74">
        <v>922000.0</v>
      </c>
      <c r="D6" s="80" t="str">
        <f t="shared" si="1"/>
        <v>Macro</v>
      </c>
      <c r="E6" s="79" t="s">
        <v>57</v>
      </c>
      <c r="F6" s="68">
        <v>4400000.0</v>
      </c>
      <c r="G6" s="80" t="str">
        <f t="shared" si="2"/>
        <v>Mega</v>
      </c>
      <c r="H6" s="129" t="s">
        <v>58</v>
      </c>
      <c r="I6" s="119">
        <v>5000000.0</v>
      </c>
      <c r="J6" s="119">
        <v>5000000.0</v>
      </c>
      <c r="K6" s="119">
        <v>7000000.0</v>
      </c>
      <c r="L6" s="119">
        <v>500000.0</v>
      </c>
      <c r="M6" s="119">
        <v>7000000.0</v>
      </c>
      <c r="N6" s="119">
        <v>8000000.0</v>
      </c>
      <c r="O6" s="119">
        <v>2.0E7</v>
      </c>
      <c r="P6" s="119">
        <v>500000.0</v>
      </c>
      <c r="Q6" s="119">
        <v>2.5E7</v>
      </c>
      <c r="R6" s="119">
        <v>5000000.0</v>
      </c>
      <c r="S6" s="119">
        <v>7000000.0</v>
      </c>
      <c r="T6" s="126">
        <v>0.5</v>
      </c>
      <c r="U6" s="119">
        <v>2000000.0</v>
      </c>
      <c r="V6" s="119">
        <v>2000000.0</v>
      </c>
      <c r="W6" s="119">
        <v>1.0E7</v>
      </c>
    </row>
    <row r="7">
      <c r="A7" s="113">
        <v>5.0</v>
      </c>
      <c r="B7" s="127" t="s">
        <v>60</v>
      </c>
      <c r="C7" s="69">
        <v>887000.0</v>
      </c>
      <c r="D7" s="80" t="str">
        <f t="shared" si="1"/>
        <v>Macro</v>
      </c>
      <c r="E7" s="79" t="s">
        <v>60</v>
      </c>
      <c r="F7" s="68">
        <v>3800000.0</v>
      </c>
      <c r="G7" s="80" t="str">
        <f t="shared" si="2"/>
        <v>Mega</v>
      </c>
      <c r="H7" s="129" t="s">
        <v>46</v>
      </c>
      <c r="I7" s="114">
        <v>2000000.0</v>
      </c>
      <c r="J7" s="114">
        <v>3500000.0</v>
      </c>
      <c r="K7" s="114">
        <v>5000000.0</v>
      </c>
      <c r="L7" s="114" t="s">
        <v>52</v>
      </c>
      <c r="M7" s="114">
        <v>6000000.0</v>
      </c>
      <c r="N7" s="114">
        <v>1.0E7</v>
      </c>
      <c r="O7" s="114">
        <v>1.5E7</v>
      </c>
      <c r="P7" s="114">
        <v>1000000.0</v>
      </c>
      <c r="Q7" s="114">
        <v>1.6E7</v>
      </c>
      <c r="R7" s="114">
        <v>2.0E7</v>
      </c>
      <c r="S7" s="114" t="s">
        <v>62</v>
      </c>
      <c r="T7" s="114" t="s">
        <v>63</v>
      </c>
      <c r="U7" s="114" t="s">
        <v>52</v>
      </c>
      <c r="V7" s="114">
        <v>1000000.0</v>
      </c>
      <c r="W7" s="114" t="s">
        <v>64</v>
      </c>
    </row>
    <row r="8">
      <c r="A8" s="113">
        <v>6.0</v>
      </c>
      <c r="B8" s="127" t="s">
        <v>65</v>
      </c>
      <c r="C8" s="69">
        <v>668000.0</v>
      </c>
      <c r="D8" s="80" t="str">
        <f t="shared" si="1"/>
        <v>Macro</v>
      </c>
      <c r="E8" s="79" t="s">
        <v>65</v>
      </c>
      <c r="F8" s="68">
        <v>1000001.0</v>
      </c>
      <c r="G8" s="80" t="str">
        <f t="shared" si="2"/>
        <v>Mega</v>
      </c>
      <c r="H8" s="129" t="s">
        <v>66</v>
      </c>
      <c r="I8" s="114">
        <v>2500000.0</v>
      </c>
      <c r="J8" s="114">
        <v>2500000.0</v>
      </c>
      <c r="K8" s="114">
        <v>7500000.0</v>
      </c>
      <c r="L8" s="115" t="s">
        <v>52</v>
      </c>
      <c r="M8" s="114">
        <v>4000000.0</v>
      </c>
      <c r="N8" s="114">
        <v>7500000.0</v>
      </c>
      <c r="O8" s="114">
        <v>1.1E7</v>
      </c>
      <c r="P8" s="114">
        <v>2000000.0</v>
      </c>
      <c r="Q8" s="114">
        <v>1.2E7</v>
      </c>
      <c r="R8" s="114">
        <v>1.9E7</v>
      </c>
      <c r="S8" s="123"/>
      <c r="T8" s="114">
        <v>3000000.0</v>
      </c>
      <c r="U8" s="114">
        <v>1000000.0</v>
      </c>
      <c r="V8" s="123"/>
      <c r="W8" s="114">
        <v>4000000.0</v>
      </c>
    </row>
    <row r="9">
      <c r="A9" s="113">
        <v>7.0</v>
      </c>
      <c r="B9" s="127" t="s">
        <v>68</v>
      </c>
      <c r="C9" s="74">
        <v>587000.0</v>
      </c>
      <c r="D9" s="80" t="str">
        <f t="shared" si="1"/>
        <v>Macro</v>
      </c>
      <c r="E9" s="79" t="s">
        <v>68</v>
      </c>
      <c r="F9" s="69">
        <v>210000.0</v>
      </c>
      <c r="G9" s="80" t="str">
        <f t="shared" si="2"/>
        <v>Mid</v>
      </c>
      <c r="H9" s="129" t="s">
        <v>46</v>
      </c>
      <c r="I9" s="114">
        <v>750000.0</v>
      </c>
      <c r="J9" s="114">
        <v>1500000.0</v>
      </c>
      <c r="K9" s="114">
        <v>2000000.0</v>
      </c>
      <c r="L9" s="115" t="s">
        <v>52</v>
      </c>
      <c r="M9" s="114">
        <v>4000000.0</v>
      </c>
      <c r="N9" s="114">
        <v>4000000.0</v>
      </c>
      <c r="O9" s="114">
        <v>6000000.0</v>
      </c>
      <c r="P9" s="115" t="s">
        <v>52</v>
      </c>
      <c r="Q9" s="114">
        <v>1.0E7</v>
      </c>
      <c r="R9" s="115" t="s">
        <v>52</v>
      </c>
      <c r="S9" s="114">
        <v>3000000.0</v>
      </c>
      <c r="T9" s="115" t="s">
        <v>52</v>
      </c>
      <c r="U9" s="115" t="s">
        <v>52</v>
      </c>
      <c r="V9" s="115" t="s">
        <v>52</v>
      </c>
      <c r="W9" s="66">
        <v>1500000.0</v>
      </c>
    </row>
    <row r="10">
      <c r="A10" s="113">
        <v>8.0</v>
      </c>
      <c r="B10" s="127" t="s">
        <v>70</v>
      </c>
      <c r="C10" s="74">
        <v>554000.0</v>
      </c>
      <c r="D10" s="80" t="str">
        <f t="shared" si="1"/>
        <v>Macro</v>
      </c>
      <c r="E10" s="79" t="s">
        <v>71</v>
      </c>
      <c r="F10" s="65">
        <v>9500000.0</v>
      </c>
      <c r="G10" s="80" t="str">
        <f t="shared" si="2"/>
        <v>Mega</v>
      </c>
      <c r="H10" s="129" t="s">
        <v>72</v>
      </c>
      <c r="I10" s="114">
        <v>500000.0</v>
      </c>
      <c r="J10" s="114">
        <v>1000000.0</v>
      </c>
      <c r="K10" s="114">
        <v>1500000.0</v>
      </c>
      <c r="L10" s="115" t="s">
        <v>52</v>
      </c>
      <c r="M10" s="114">
        <v>5000000.0</v>
      </c>
      <c r="N10" s="114">
        <v>5500000.0</v>
      </c>
      <c r="O10" s="114">
        <v>8000000.0</v>
      </c>
      <c r="P10" s="115" t="s">
        <v>52</v>
      </c>
      <c r="Q10" s="114">
        <v>1.5E7</v>
      </c>
      <c r="R10" s="114">
        <v>1.8E7</v>
      </c>
      <c r="S10" s="114">
        <v>5000000.0</v>
      </c>
      <c r="T10" s="115" t="s">
        <v>52</v>
      </c>
      <c r="U10" s="114">
        <v>1000000.0</v>
      </c>
      <c r="V10" s="115" t="s">
        <v>52</v>
      </c>
      <c r="W10" s="114">
        <v>1000000.0</v>
      </c>
    </row>
    <row r="11">
      <c r="A11" s="113">
        <v>9.0</v>
      </c>
      <c r="B11" s="179" t="s">
        <v>74</v>
      </c>
      <c r="C11" s="180" t="s">
        <v>75</v>
      </c>
      <c r="D11" s="181" t="s">
        <v>76</v>
      </c>
      <c r="E11" s="182" t="s">
        <v>77</v>
      </c>
      <c r="F11" s="183" t="s">
        <v>78</v>
      </c>
      <c r="G11" s="181" t="s">
        <v>79</v>
      </c>
      <c r="H11" s="184" t="s">
        <v>39</v>
      </c>
      <c r="I11" s="125"/>
      <c r="J11" s="119">
        <v>2500000.0</v>
      </c>
      <c r="K11" s="119">
        <v>3000000.0</v>
      </c>
      <c r="L11" s="125"/>
      <c r="M11" s="119">
        <v>5000000.0</v>
      </c>
      <c r="N11" s="119">
        <v>6000000.0</v>
      </c>
      <c r="O11" s="119">
        <v>1.5E7</v>
      </c>
      <c r="P11" s="125"/>
      <c r="Q11" s="119">
        <v>2.0E7</v>
      </c>
      <c r="R11" s="119">
        <v>2.5E7</v>
      </c>
      <c r="S11" s="125"/>
      <c r="T11" s="119">
        <v>1.5E7</v>
      </c>
      <c r="U11" s="119">
        <v>2000000.0</v>
      </c>
      <c r="V11" s="125"/>
      <c r="W11" s="125"/>
    </row>
    <row r="12">
      <c r="A12" s="113">
        <v>10.0</v>
      </c>
      <c r="B12" s="127" t="s">
        <v>81</v>
      </c>
      <c r="C12" s="74">
        <v>532000.0</v>
      </c>
      <c r="D12" s="80" t="str">
        <f t="shared" ref="D12:D34" si="3">ifs(C12&lt;10000, "Nano", C12&lt;=100000, "Micro", C12&lt;=500000, "Mid", C12&lt;=1000000, "Macro", C12&gt;1000000, "Mega")</f>
        <v>Macro</v>
      </c>
      <c r="E12" s="79" t="s">
        <v>82</v>
      </c>
      <c r="F12" s="65">
        <v>3200000.0</v>
      </c>
      <c r="G12" s="80" t="str">
        <f t="shared" ref="G12:G58" si="4">ifs(F12&lt;10000, "Nano", F12&lt;=100000, "Micro", F12&lt;=500000, "Mid", F12&lt;=1000000, "Macro", F12&gt;1000000, "Mega")</f>
        <v>Mega</v>
      </c>
      <c r="H12" s="129" t="s">
        <v>83</v>
      </c>
      <c r="I12" s="114">
        <v>500000.0</v>
      </c>
      <c r="J12" s="114">
        <v>1300000.0</v>
      </c>
      <c r="K12" s="123"/>
      <c r="L12" s="115" t="s">
        <v>52</v>
      </c>
      <c r="M12" s="114">
        <v>2700000.0</v>
      </c>
      <c r="N12" s="123"/>
      <c r="O12" s="114">
        <v>3700000.0</v>
      </c>
      <c r="P12" s="115" t="s">
        <v>52</v>
      </c>
      <c r="Q12" s="114">
        <v>5500000.0</v>
      </c>
      <c r="R12" s="114">
        <v>7000000.0</v>
      </c>
      <c r="S12" s="123"/>
      <c r="T12" s="114">
        <v>2000000.0</v>
      </c>
      <c r="U12" s="123"/>
      <c r="V12" s="115" t="s">
        <v>52</v>
      </c>
      <c r="W12" s="114">
        <v>1500000.0</v>
      </c>
    </row>
    <row r="13">
      <c r="A13" s="113">
        <v>11.0</v>
      </c>
      <c r="B13" s="127" t="s">
        <v>85</v>
      </c>
      <c r="C13" s="69">
        <v>519000.0</v>
      </c>
      <c r="D13" s="80" t="str">
        <f t="shared" si="3"/>
        <v>Macro</v>
      </c>
      <c r="E13" s="79" t="s">
        <v>86</v>
      </c>
      <c r="F13" s="69">
        <v>170700.0</v>
      </c>
      <c r="G13" s="80" t="str">
        <f t="shared" si="4"/>
        <v>Mid</v>
      </c>
      <c r="H13" s="129" t="s">
        <v>87</v>
      </c>
      <c r="I13" s="114">
        <v>400000.0</v>
      </c>
      <c r="J13" s="114">
        <v>500000.0</v>
      </c>
      <c r="K13" s="114">
        <v>650000.0</v>
      </c>
      <c r="L13" s="115" t="s">
        <v>52</v>
      </c>
      <c r="M13" s="114">
        <v>850000.0</v>
      </c>
      <c r="N13" s="114">
        <v>950000.0</v>
      </c>
      <c r="O13" s="114">
        <v>1000000.0</v>
      </c>
      <c r="P13" s="115" t="s">
        <v>52</v>
      </c>
      <c r="Q13" s="114">
        <v>750000.0</v>
      </c>
      <c r="R13" s="114">
        <v>1500000.0</v>
      </c>
      <c r="S13" s="123"/>
      <c r="T13" s="115" t="s">
        <v>52</v>
      </c>
      <c r="U13" s="123"/>
      <c r="V13" s="115" t="s">
        <v>52</v>
      </c>
      <c r="W13" s="66" t="s">
        <v>89</v>
      </c>
    </row>
    <row r="14">
      <c r="A14" s="113">
        <v>12.0</v>
      </c>
      <c r="B14" s="127" t="s">
        <v>93</v>
      </c>
      <c r="C14" s="74">
        <v>446000.0</v>
      </c>
      <c r="D14" s="80" t="str">
        <f t="shared" si="3"/>
        <v>Mid</v>
      </c>
      <c r="E14" s="79" t="s">
        <v>93</v>
      </c>
      <c r="F14" s="118">
        <v>1000001.0</v>
      </c>
      <c r="G14" s="80" t="str">
        <f t="shared" si="4"/>
        <v>Mega</v>
      </c>
      <c r="H14" s="129" t="s">
        <v>66</v>
      </c>
      <c r="I14" s="114">
        <v>500000.0</v>
      </c>
      <c r="J14" s="114">
        <v>3000000.0</v>
      </c>
      <c r="K14" s="114">
        <v>5000000.0</v>
      </c>
      <c r="L14" s="115" t="s">
        <v>52</v>
      </c>
      <c r="M14" s="114">
        <v>4500000.0</v>
      </c>
      <c r="N14" s="114">
        <v>5000000.0</v>
      </c>
      <c r="O14" s="114">
        <v>7500000.0</v>
      </c>
      <c r="P14" s="115" t="s">
        <v>52</v>
      </c>
      <c r="Q14" s="114">
        <v>7000000.0</v>
      </c>
      <c r="R14" s="114">
        <v>3000000.0</v>
      </c>
      <c r="S14" s="123"/>
      <c r="T14" s="114">
        <v>3000000.0</v>
      </c>
      <c r="U14" s="114">
        <v>1500000.0</v>
      </c>
      <c r="V14" s="114">
        <v>500000.0</v>
      </c>
      <c r="W14" s="114">
        <v>1500000.0</v>
      </c>
    </row>
    <row r="15">
      <c r="A15" s="113">
        <v>13.0</v>
      </c>
      <c r="B15" s="79" t="s">
        <v>105</v>
      </c>
      <c r="C15" s="74">
        <v>425000.0</v>
      </c>
      <c r="D15" s="80" t="str">
        <f t="shared" si="3"/>
        <v>Mid</v>
      </c>
      <c r="E15" s="79" t="s">
        <v>105</v>
      </c>
      <c r="F15" s="74">
        <v>108300.0</v>
      </c>
      <c r="G15" s="80" t="str">
        <f t="shared" si="4"/>
        <v>Mid</v>
      </c>
      <c r="H15" s="129" t="s">
        <v>50</v>
      </c>
      <c r="I15" s="114">
        <v>600000.0</v>
      </c>
      <c r="J15" s="114">
        <v>7000000.0</v>
      </c>
      <c r="K15" s="114">
        <v>8000000.0</v>
      </c>
      <c r="L15" s="115" t="s">
        <v>52</v>
      </c>
      <c r="M15" s="114">
        <v>7000000.0</v>
      </c>
      <c r="N15" s="114">
        <v>8000000.0</v>
      </c>
      <c r="O15" s="114">
        <v>1.5E7</v>
      </c>
      <c r="P15" s="115" t="s">
        <v>52</v>
      </c>
      <c r="Q15" s="114">
        <v>8000000.0</v>
      </c>
      <c r="R15" s="114">
        <v>1.5E7</v>
      </c>
      <c r="S15" s="114">
        <v>5000000.0</v>
      </c>
      <c r="T15" s="115" t="s">
        <v>52</v>
      </c>
      <c r="U15" s="114" t="s">
        <v>107</v>
      </c>
      <c r="V15" s="114">
        <v>1000000.0</v>
      </c>
      <c r="W15" s="114">
        <v>5000000.0</v>
      </c>
    </row>
    <row r="16">
      <c r="A16" s="113">
        <v>14.0</v>
      </c>
      <c r="B16" s="79" t="s">
        <v>108</v>
      </c>
      <c r="C16" s="74">
        <v>400000.0</v>
      </c>
      <c r="D16" s="80" t="str">
        <f t="shared" si="3"/>
        <v>Mid</v>
      </c>
      <c r="E16" s="79" t="s">
        <v>108</v>
      </c>
      <c r="F16" s="74">
        <v>61300.0</v>
      </c>
      <c r="G16" s="80" t="str">
        <f t="shared" si="4"/>
        <v>Micro</v>
      </c>
      <c r="H16" s="80" t="s">
        <v>39</v>
      </c>
      <c r="I16" s="114">
        <v>1000000.0</v>
      </c>
      <c r="J16" s="114">
        <v>5000000.0</v>
      </c>
      <c r="K16" s="114">
        <v>7500000.0</v>
      </c>
      <c r="L16" s="115" t="s">
        <v>52</v>
      </c>
      <c r="M16" s="114">
        <v>8000000.0</v>
      </c>
      <c r="N16" s="114">
        <v>1.0E7</v>
      </c>
      <c r="O16" s="114">
        <v>1.5E7</v>
      </c>
      <c r="P16" s="115" t="s">
        <v>52</v>
      </c>
      <c r="Q16" s="114">
        <v>1.0E7</v>
      </c>
      <c r="R16" s="114">
        <v>2.0E7</v>
      </c>
      <c r="S16" s="114" t="s">
        <v>110</v>
      </c>
      <c r="T16" s="116" t="s">
        <v>111</v>
      </c>
      <c r="U16" s="114">
        <v>3000000.0</v>
      </c>
      <c r="V16" s="114">
        <v>3000000.0</v>
      </c>
      <c r="W16" s="114">
        <v>1.5E7</v>
      </c>
    </row>
    <row r="17">
      <c r="A17" s="113">
        <v>15.0</v>
      </c>
      <c r="B17" s="127" t="s">
        <v>112</v>
      </c>
      <c r="C17" s="69">
        <v>392000.0</v>
      </c>
      <c r="D17" s="80" t="str">
        <f t="shared" si="3"/>
        <v>Mid</v>
      </c>
      <c r="E17" s="79" t="s">
        <v>113</v>
      </c>
      <c r="F17" s="65">
        <v>2900000.0</v>
      </c>
      <c r="G17" s="80" t="str">
        <f t="shared" si="4"/>
        <v>Mega</v>
      </c>
      <c r="H17" s="129" t="s">
        <v>39</v>
      </c>
      <c r="I17" s="114">
        <v>1500000.0</v>
      </c>
      <c r="J17" s="114">
        <v>5500000.0</v>
      </c>
      <c r="K17" s="114">
        <v>7000000.0</v>
      </c>
      <c r="L17" s="115" t="s">
        <v>52</v>
      </c>
      <c r="M17" s="114">
        <v>4500000.0</v>
      </c>
      <c r="N17" s="114" t="s">
        <v>115</v>
      </c>
      <c r="O17" s="114">
        <v>1.2E7</v>
      </c>
      <c r="P17" s="114">
        <v>1500000.0</v>
      </c>
      <c r="Q17" s="114">
        <v>2.2E7</v>
      </c>
      <c r="R17" s="114">
        <v>1.0E7</v>
      </c>
      <c r="S17" s="114">
        <v>1.0E7</v>
      </c>
      <c r="T17" s="114">
        <v>3.5E7</v>
      </c>
      <c r="U17" s="117">
        <v>0.5</v>
      </c>
      <c r="V17" s="114">
        <v>1500000.0</v>
      </c>
      <c r="W17" s="114">
        <v>3000000.0</v>
      </c>
    </row>
    <row r="18">
      <c r="A18" s="113">
        <v>16.0</v>
      </c>
      <c r="B18" s="79" t="s">
        <v>116</v>
      </c>
      <c r="C18" s="74">
        <v>379000.0</v>
      </c>
      <c r="D18" s="80" t="str">
        <f t="shared" si="3"/>
        <v>Mid</v>
      </c>
      <c r="E18" s="79" t="s">
        <v>117</v>
      </c>
      <c r="F18" s="69">
        <v>78000.0</v>
      </c>
      <c r="G18" s="80" t="str">
        <f t="shared" si="4"/>
        <v>Micro</v>
      </c>
      <c r="H18" s="80" t="s">
        <v>118</v>
      </c>
      <c r="I18" s="114">
        <v>200000.0</v>
      </c>
      <c r="J18" s="114">
        <v>1500000.0</v>
      </c>
      <c r="K18" s="123"/>
      <c r="L18" s="115" t="s">
        <v>52</v>
      </c>
      <c r="M18" s="114">
        <v>3000000.0</v>
      </c>
      <c r="N18" s="123"/>
      <c r="O18" s="114">
        <v>8000000.0</v>
      </c>
      <c r="P18" s="115" t="s">
        <v>52</v>
      </c>
      <c r="Q18" s="114">
        <v>3000000.0</v>
      </c>
      <c r="R18" s="114">
        <v>8000000.0</v>
      </c>
      <c r="S18" s="123"/>
      <c r="T18" s="123"/>
      <c r="U18" s="185"/>
      <c r="V18" s="123"/>
      <c r="W18" s="116" t="s">
        <v>119</v>
      </c>
    </row>
    <row r="19">
      <c r="A19" s="113">
        <v>17.0</v>
      </c>
      <c r="B19" s="127" t="s">
        <v>125</v>
      </c>
      <c r="C19" s="186">
        <v>317000.0</v>
      </c>
      <c r="D19" s="80" t="str">
        <f t="shared" si="3"/>
        <v>Mid</v>
      </c>
      <c r="E19" s="64" t="s">
        <v>125</v>
      </c>
      <c r="F19" s="68">
        <v>4000000.0</v>
      </c>
      <c r="G19" s="80" t="str">
        <f t="shared" si="4"/>
        <v>Mega</v>
      </c>
      <c r="H19" s="114" t="s">
        <v>46</v>
      </c>
      <c r="I19" s="124">
        <v>1000000.0</v>
      </c>
      <c r="J19" s="114">
        <v>2000000.0</v>
      </c>
      <c r="K19" s="114">
        <v>6000000.0</v>
      </c>
      <c r="L19" s="114"/>
      <c r="M19" s="114">
        <v>5000000.0</v>
      </c>
      <c r="N19" s="114">
        <v>7000000.0</v>
      </c>
      <c r="O19" s="114">
        <v>8000000.0</v>
      </c>
      <c r="P19" s="114"/>
      <c r="Q19" s="114">
        <v>1.5E7</v>
      </c>
      <c r="R19" s="124">
        <v>2.1E7</v>
      </c>
      <c r="S19" s="124">
        <v>7000000.0</v>
      </c>
      <c r="T19" s="114"/>
      <c r="U19" s="114"/>
      <c r="V19" s="124">
        <v>3000000.0</v>
      </c>
      <c r="W19" s="187">
        <v>5000000.0</v>
      </c>
    </row>
    <row r="20">
      <c r="A20" s="113">
        <v>18.0</v>
      </c>
      <c r="B20" s="79" t="s">
        <v>126</v>
      </c>
      <c r="C20" s="69">
        <v>305000.0</v>
      </c>
      <c r="D20" s="80" t="str">
        <f t="shared" si="3"/>
        <v>Mid</v>
      </c>
      <c r="E20" s="64" t="s">
        <v>127</v>
      </c>
      <c r="F20" s="69" t="s">
        <v>128</v>
      </c>
      <c r="G20" s="80" t="str">
        <f t="shared" si="4"/>
        <v>Mega</v>
      </c>
      <c r="H20" s="78" t="s">
        <v>39</v>
      </c>
      <c r="I20" s="66">
        <v>1000000.0</v>
      </c>
      <c r="J20" s="66">
        <v>3000000.0</v>
      </c>
      <c r="K20" s="66">
        <v>4000000.0</v>
      </c>
      <c r="L20" s="66" t="s">
        <v>52</v>
      </c>
      <c r="M20" s="66">
        <v>3500000.0</v>
      </c>
      <c r="N20" s="71" t="s">
        <v>52</v>
      </c>
      <c r="O20" s="66">
        <v>9000000.0</v>
      </c>
      <c r="P20" s="71" t="s">
        <v>52</v>
      </c>
      <c r="Q20" s="66">
        <v>7000000.0</v>
      </c>
      <c r="R20" s="66">
        <v>4500000.0</v>
      </c>
      <c r="S20" s="66">
        <v>4000000.0</v>
      </c>
      <c r="T20" s="66" t="s">
        <v>130</v>
      </c>
      <c r="U20" s="71" t="s">
        <v>52</v>
      </c>
      <c r="V20" s="71" t="s">
        <v>52</v>
      </c>
      <c r="W20" s="66">
        <v>1000000.0</v>
      </c>
    </row>
    <row r="21">
      <c r="A21" s="113">
        <v>19.0</v>
      </c>
      <c r="B21" s="127" t="s">
        <v>131</v>
      </c>
      <c r="C21" s="69">
        <v>273000.0</v>
      </c>
      <c r="D21" s="80" t="str">
        <f t="shared" si="3"/>
        <v>Mid</v>
      </c>
      <c r="E21" s="64" t="s">
        <v>131</v>
      </c>
      <c r="F21" s="68">
        <v>4800000.0</v>
      </c>
      <c r="G21" s="80" t="str">
        <f t="shared" si="4"/>
        <v>Mega</v>
      </c>
      <c r="H21" s="114" t="s">
        <v>46</v>
      </c>
      <c r="I21" s="114">
        <v>500000.0</v>
      </c>
      <c r="J21" s="114">
        <v>1000000.0</v>
      </c>
      <c r="K21" s="114">
        <v>3000000.0</v>
      </c>
      <c r="L21" s="114">
        <v>300000.0</v>
      </c>
      <c r="M21" s="114">
        <v>2500000.0</v>
      </c>
      <c r="N21" s="123"/>
      <c r="O21" s="114">
        <v>8000000.0</v>
      </c>
      <c r="P21" s="115" t="s">
        <v>52</v>
      </c>
      <c r="Q21" s="114" t="s">
        <v>133</v>
      </c>
      <c r="R21" s="114">
        <v>8000000.0</v>
      </c>
      <c r="S21" s="114">
        <v>1.4E7</v>
      </c>
      <c r="T21" s="114">
        <v>1.0E7</v>
      </c>
      <c r="U21" s="114">
        <v>6000000.0</v>
      </c>
      <c r="V21" s="115" t="s">
        <v>52</v>
      </c>
      <c r="W21" s="114">
        <v>2.3E7</v>
      </c>
    </row>
    <row r="22">
      <c r="A22" s="113">
        <v>20.0</v>
      </c>
      <c r="B22" s="127" t="s">
        <v>134</v>
      </c>
      <c r="C22" s="74">
        <v>271000.0</v>
      </c>
      <c r="D22" s="80" t="str">
        <f t="shared" si="3"/>
        <v>Mid</v>
      </c>
      <c r="E22" s="79" t="s">
        <v>134</v>
      </c>
      <c r="F22" s="65">
        <v>1100000.0</v>
      </c>
      <c r="G22" s="80" t="str">
        <f t="shared" si="4"/>
        <v>Mega</v>
      </c>
      <c r="H22" s="154" t="s">
        <v>50</v>
      </c>
      <c r="I22" s="114">
        <v>400000.0</v>
      </c>
      <c r="J22" s="114">
        <v>2000000.0</v>
      </c>
      <c r="K22" s="114">
        <v>5000000.0</v>
      </c>
      <c r="L22" s="115" t="s">
        <v>52</v>
      </c>
      <c r="M22" s="114">
        <v>3500000.0</v>
      </c>
      <c r="N22" s="114">
        <v>4000000.0</v>
      </c>
      <c r="O22" s="114">
        <v>7500000.0</v>
      </c>
      <c r="P22" s="115" t="s">
        <v>52</v>
      </c>
      <c r="Q22" s="114">
        <v>1.0E7</v>
      </c>
      <c r="R22" s="114">
        <v>1.5E7</v>
      </c>
      <c r="S22" s="114">
        <v>8000000.0</v>
      </c>
      <c r="T22" s="114">
        <v>1.5E7</v>
      </c>
      <c r="U22" s="117">
        <v>0.5</v>
      </c>
      <c r="V22" s="114">
        <v>1000000.0</v>
      </c>
      <c r="W22" s="114">
        <v>2000000.0</v>
      </c>
    </row>
    <row r="23">
      <c r="A23" s="113">
        <v>21.0</v>
      </c>
      <c r="B23" s="79" t="s">
        <v>145</v>
      </c>
      <c r="C23" s="74">
        <v>214000.0</v>
      </c>
      <c r="D23" s="80" t="str">
        <f t="shared" si="3"/>
        <v>Mid</v>
      </c>
      <c r="E23" s="64" t="s">
        <v>145</v>
      </c>
      <c r="F23" s="188">
        <v>92800.0</v>
      </c>
      <c r="G23" s="80" t="str">
        <f t="shared" si="4"/>
        <v>Micro</v>
      </c>
      <c r="H23" s="66" t="s">
        <v>146</v>
      </c>
      <c r="I23" s="114">
        <v>2000000.0</v>
      </c>
      <c r="J23" s="114">
        <v>2500000.0</v>
      </c>
      <c r="K23" s="114">
        <v>3000000.0</v>
      </c>
      <c r="L23" s="115" t="s">
        <v>52</v>
      </c>
      <c r="M23" s="114">
        <v>3500000.0</v>
      </c>
      <c r="N23" s="114">
        <v>4500000.0</v>
      </c>
      <c r="O23" s="114">
        <v>5000000.0</v>
      </c>
      <c r="P23" s="115" t="s">
        <v>52</v>
      </c>
      <c r="Q23" s="114">
        <v>3500000.0</v>
      </c>
      <c r="R23" s="114">
        <v>5000000.0</v>
      </c>
      <c r="S23" s="114">
        <v>5000000.0</v>
      </c>
      <c r="T23" s="117">
        <v>0.25</v>
      </c>
      <c r="U23" s="114">
        <v>1000000.0</v>
      </c>
      <c r="V23" s="114">
        <v>1000000.0</v>
      </c>
      <c r="W23" s="114">
        <v>6000000.0</v>
      </c>
    </row>
    <row r="24">
      <c r="A24" s="113">
        <v>22.0</v>
      </c>
      <c r="B24" s="127" t="s">
        <v>152</v>
      </c>
      <c r="C24" s="69">
        <v>210000.0</v>
      </c>
      <c r="D24" s="80" t="str">
        <f t="shared" si="3"/>
        <v>Mid</v>
      </c>
      <c r="E24" s="64" t="s">
        <v>152</v>
      </c>
      <c r="F24" s="69">
        <v>132400.0</v>
      </c>
      <c r="G24" s="80" t="str">
        <f t="shared" si="4"/>
        <v>Mid</v>
      </c>
      <c r="H24" s="114" t="s">
        <v>153</v>
      </c>
      <c r="I24" s="114">
        <v>500000.0</v>
      </c>
      <c r="J24" s="114">
        <v>1500000.0</v>
      </c>
      <c r="K24" s="114">
        <v>3500000.0</v>
      </c>
      <c r="L24" s="115" t="s">
        <v>52</v>
      </c>
      <c r="M24" s="114">
        <v>3500000.0</v>
      </c>
      <c r="N24" s="114">
        <v>4500000.0</v>
      </c>
      <c r="O24" s="114">
        <v>6000000.0</v>
      </c>
      <c r="P24" s="115" t="s">
        <v>52</v>
      </c>
      <c r="Q24" s="114">
        <v>2500000.0</v>
      </c>
      <c r="R24" s="114">
        <v>6000000.0</v>
      </c>
      <c r="S24" s="114">
        <v>4000000.0</v>
      </c>
      <c r="T24" s="117">
        <v>0.5</v>
      </c>
      <c r="U24" s="114">
        <v>1000000.0</v>
      </c>
      <c r="V24" s="115" t="s">
        <v>52</v>
      </c>
      <c r="W24" s="114">
        <v>8000000.0</v>
      </c>
    </row>
    <row r="25">
      <c r="A25" s="113">
        <v>23.0</v>
      </c>
      <c r="B25" s="127" t="s">
        <v>155</v>
      </c>
      <c r="C25" s="74">
        <v>197000.0</v>
      </c>
      <c r="D25" s="80" t="str">
        <f t="shared" si="3"/>
        <v>Mid</v>
      </c>
      <c r="E25" s="79" t="s">
        <v>156</v>
      </c>
      <c r="F25" s="68">
        <v>1800000.0</v>
      </c>
      <c r="G25" s="80" t="str">
        <f t="shared" si="4"/>
        <v>Mega</v>
      </c>
      <c r="H25" s="129" t="s">
        <v>50</v>
      </c>
      <c r="I25" s="114">
        <v>250000.0</v>
      </c>
      <c r="J25" s="114">
        <v>1500000.0</v>
      </c>
      <c r="K25" s="114">
        <v>3000000.0</v>
      </c>
      <c r="L25" s="115" t="s">
        <v>52</v>
      </c>
      <c r="M25" s="114">
        <v>5000000.0</v>
      </c>
      <c r="N25" s="123"/>
      <c r="O25" s="114">
        <v>1.1E7</v>
      </c>
      <c r="P25" s="115" t="s">
        <v>52</v>
      </c>
      <c r="Q25" s="114">
        <v>1.5E7</v>
      </c>
      <c r="R25" s="114" t="s">
        <v>158</v>
      </c>
      <c r="S25" s="114" t="s">
        <v>159</v>
      </c>
      <c r="T25" s="123"/>
      <c r="U25" s="123"/>
      <c r="V25" s="115" t="s">
        <v>52</v>
      </c>
      <c r="W25" s="114" t="s">
        <v>160</v>
      </c>
    </row>
    <row r="26">
      <c r="A26" s="113">
        <v>24.0</v>
      </c>
      <c r="B26" s="79" t="s">
        <v>161</v>
      </c>
      <c r="C26" s="69">
        <v>188000.0</v>
      </c>
      <c r="D26" s="80" t="str">
        <f t="shared" si="3"/>
        <v>Mid</v>
      </c>
      <c r="E26" s="79" t="s">
        <v>162</v>
      </c>
      <c r="F26" s="69">
        <v>550200.0</v>
      </c>
      <c r="G26" s="80" t="str">
        <f t="shared" si="4"/>
        <v>Macro</v>
      </c>
      <c r="H26" s="80" t="s">
        <v>46</v>
      </c>
      <c r="I26" s="114">
        <v>250000.0</v>
      </c>
      <c r="J26" s="114">
        <v>650000.0</v>
      </c>
      <c r="K26" s="114">
        <v>1200000.0</v>
      </c>
      <c r="L26" s="115" t="s">
        <v>52</v>
      </c>
      <c r="M26" s="114">
        <v>1500000.0</v>
      </c>
      <c r="N26" s="114">
        <v>1800000.0</v>
      </c>
      <c r="O26" s="114">
        <v>2200000.0</v>
      </c>
      <c r="P26" s="115" t="s">
        <v>52</v>
      </c>
      <c r="Q26" s="114">
        <v>2200000.0</v>
      </c>
      <c r="R26" s="114">
        <v>3000000.0</v>
      </c>
      <c r="S26" s="114">
        <v>2200000.0</v>
      </c>
      <c r="T26" s="114">
        <v>500000.0</v>
      </c>
      <c r="U26" s="114">
        <v>500000.0</v>
      </c>
      <c r="V26" s="115" t="s">
        <v>52</v>
      </c>
      <c r="W26" s="114">
        <v>1000000.0</v>
      </c>
    </row>
    <row r="27">
      <c r="A27" s="113">
        <v>25.0</v>
      </c>
      <c r="B27" s="79" t="s">
        <v>172</v>
      </c>
      <c r="C27" s="69">
        <v>176000.0</v>
      </c>
      <c r="D27" s="80" t="str">
        <f t="shared" si="3"/>
        <v>Mid</v>
      </c>
      <c r="E27" s="79" t="s">
        <v>173</v>
      </c>
      <c r="F27" s="68">
        <v>3800000.0</v>
      </c>
      <c r="G27" s="80" t="str">
        <f t="shared" si="4"/>
        <v>Mega</v>
      </c>
      <c r="H27" s="129" t="s">
        <v>39</v>
      </c>
      <c r="I27" s="125"/>
      <c r="J27" s="119">
        <v>1000000.0</v>
      </c>
      <c r="K27" s="125"/>
      <c r="L27" s="121" t="s">
        <v>52</v>
      </c>
      <c r="M27" s="125"/>
      <c r="N27" s="125"/>
      <c r="O27" s="119">
        <v>5000000.0</v>
      </c>
      <c r="P27" s="125"/>
      <c r="Q27" s="119">
        <v>1.5E7</v>
      </c>
      <c r="R27" s="119">
        <v>500000.0</v>
      </c>
      <c r="S27" s="125"/>
      <c r="T27" s="125"/>
      <c r="U27" s="121" t="s">
        <v>52</v>
      </c>
      <c r="V27" s="119">
        <v>500000.0</v>
      </c>
      <c r="W27" s="119">
        <v>1.5E7</v>
      </c>
    </row>
    <row r="28">
      <c r="A28" s="113">
        <v>26.0</v>
      </c>
      <c r="B28" s="127" t="s">
        <v>552</v>
      </c>
      <c r="C28" s="69">
        <v>137000.0</v>
      </c>
      <c r="D28" s="80" t="str">
        <f t="shared" si="3"/>
        <v>Mid</v>
      </c>
      <c r="E28" s="79" t="s">
        <v>553</v>
      </c>
      <c r="F28" s="69">
        <v>114000.0</v>
      </c>
      <c r="G28" s="80" t="str">
        <f t="shared" si="4"/>
        <v>Mid</v>
      </c>
      <c r="H28" s="129" t="s">
        <v>554</v>
      </c>
      <c r="I28" s="66">
        <v>200000.0</v>
      </c>
      <c r="J28" s="114">
        <v>500000.0</v>
      </c>
      <c r="K28" s="114">
        <v>800000.0</v>
      </c>
      <c r="L28" s="115" t="s">
        <v>52</v>
      </c>
      <c r="M28" s="114">
        <v>1000000.0</v>
      </c>
      <c r="N28" s="114">
        <v>1500000.0</v>
      </c>
      <c r="O28" s="114">
        <v>3000000.0</v>
      </c>
      <c r="P28" s="115" t="s">
        <v>52</v>
      </c>
      <c r="Q28" s="114">
        <v>1000000.0</v>
      </c>
      <c r="R28" s="114">
        <v>3500000.0</v>
      </c>
      <c r="S28" s="114">
        <v>500000.0</v>
      </c>
      <c r="T28" s="114">
        <v>500000.0</v>
      </c>
      <c r="U28" s="114">
        <v>100000.0</v>
      </c>
      <c r="V28" s="115" t="s">
        <v>52</v>
      </c>
      <c r="W28" s="123"/>
    </row>
    <row r="29">
      <c r="A29" s="113">
        <v>27.0</v>
      </c>
      <c r="B29" s="127" t="s">
        <v>192</v>
      </c>
      <c r="C29" s="69">
        <v>119000.0</v>
      </c>
      <c r="D29" s="80" t="str">
        <f t="shared" si="3"/>
        <v>Mid</v>
      </c>
      <c r="E29" s="79" t="s">
        <v>193</v>
      </c>
      <c r="F29" s="69">
        <v>14700.0</v>
      </c>
      <c r="G29" s="80" t="str">
        <f t="shared" si="4"/>
        <v>Micro</v>
      </c>
      <c r="H29" s="129" t="s">
        <v>50</v>
      </c>
      <c r="I29" s="114">
        <v>100000.0</v>
      </c>
      <c r="J29" s="114">
        <v>200000.0</v>
      </c>
      <c r="K29" s="114">
        <v>250000.0</v>
      </c>
      <c r="L29" s="114">
        <v>100000.0</v>
      </c>
      <c r="M29" s="114">
        <v>300000.0</v>
      </c>
      <c r="N29" s="114">
        <v>500000.0</v>
      </c>
      <c r="O29" s="114">
        <v>700000.0</v>
      </c>
      <c r="P29" s="115" t="s">
        <v>52</v>
      </c>
      <c r="Q29" s="114">
        <v>400000.0</v>
      </c>
      <c r="R29" s="114">
        <v>700000.0</v>
      </c>
      <c r="S29" s="114">
        <v>500000.0</v>
      </c>
      <c r="T29" s="114">
        <v>200000.0</v>
      </c>
      <c r="U29" s="115" t="s">
        <v>52</v>
      </c>
      <c r="V29" s="115" t="s">
        <v>52</v>
      </c>
      <c r="W29" s="123"/>
    </row>
    <row r="30">
      <c r="A30" s="113">
        <v>28.0</v>
      </c>
      <c r="B30" s="127" t="s">
        <v>202</v>
      </c>
      <c r="C30" s="69">
        <v>112000.0</v>
      </c>
      <c r="D30" s="80" t="str">
        <f t="shared" si="3"/>
        <v>Mid</v>
      </c>
      <c r="E30" s="79" t="s">
        <v>203</v>
      </c>
      <c r="F30" s="69">
        <v>7480.0</v>
      </c>
      <c r="G30" s="80" t="str">
        <f t="shared" si="4"/>
        <v>Nano</v>
      </c>
      <c r="H30" s="129" t="s">
        <v>83</v>
      </c>
      <c r="I30" s="114">
        <v>200000.0</v>
      </c>
      <c r="J30" s="114">
        <v>300000.0</v>
      </c>
      <c r="K30" s="114">
        <v>300000.0</v>
      </c>
      <c r="L30" s="115" t="s">
        <v>52</v>
      </c>
      <c r="M30" s="114">
        <v>400000.0</v>
      </c>
      <c r="N30" s="114">
        <v>450000.0</v>
      </c>
      <c r="O30" s="114">
        <v>700000.0</v>
      </c>
      <c r="P30" s="115" t="s">
        <v>52</v>
      </c>
      <c r="Q30" s="114">
        <v>500000.0</v>
      </c>
      <c r="R30" s="114">
        <v>900000.0</v>
      </c>
      <c r="S30" s="123"/>
      <c r="T30" s="115" t="s">
        <v>52</v>
      </c>
      <c r="U30" s="115" t="s">
        <v>52</v>
      </c>
      <c r="V30" s="115" t="s">
        <v>52</v>
      </c>
      <c r="W30" s="114">
        <v>2000000.0</v>
      </c>
    </row>
    <row r="31">
      <c r="A31" s="113">
        <v>29.0</v>
      </c>
      <c r="B31" s="127" t="s">
        <v>204</v>
      </c>
      <c r="C31" s="74">
        <v>112000.0</v>
      </c>
      <c r="D31" s="80" t="str">
        <f t="shared" si="3"/>
        <v>Mid</v>
      </c>
      <c r="E31" s="79" t="s">
        <v>205</v>
      </c>
      <c r="F31" s="69">
        <v>132000.0</v>
      </c>
      <c r="G31" s="80" t="str">
        <f t="shared" si="4"/>
        <v>Mid</v>
      </c>
      <c r="H31" s="129" t="s">
        <v>39</v>
      </c>
      <c r="I31" s="114">
        <v>2500000.0</v>
      </c>
      <c r="J31" s="114">
        <v>3000000.0</v>
      </c>
      <c r="K31" s="114">
        <v>6000000.0</v>
      </c>
      <c r="L31" s="114" t="s">
        <v>207</v>
      </c>
      <c r="M31" s="114">
        <v>6000000.0</v>
      </c>
      <c r="N31" s="114">
        <v>7000000.0</v>
      </c>
      <c r="O31" s="114">
        <v>8000000.0</v>
      </c>
      <c r="P31" s="117">
        <v>0.3</v>
      </c>
      <c r="Q31" s="114">
        <v>8000000.0</v>
      </c>
      <c r="R31" s="114">
        <v>1.2E7</v>
      </c>
      <c r="S31" s="114">
        <v>8000000.0</v>
      </c>
      <c r="T31" s="117">
        <v>0.5</v>
      </c>
      <c r="U31" s="117">
        <v>0.2</v>
      </c>
      <c r="V31" s="115" t="s">
        <v>52</v>
      </c>
      <c r="W31" s="114">
        <v>5000000.0</v>
      </c>
    </row>
    <row r="32">
      <c r="A32" s="113">
        <v>30.0</v>
      </c>
      <c r="B32" s="79" t="s">
        <v>236</v>
      </c>
      <c r="C32" s="69">
        <v>40400.0</v>
      </c>
      <c r="D32" s="80" t="str">
        <f t="shared" si="3"/>
        <v>Micro</v>
      </c>
      <c r="E32" s="79" t="s">
        <v>237</v>
      </c>
      <c r="F32" s="69">
        <v>121000.0</v>
      </c>
      <c r="G32" s="80" t="str">
        <f t="shared" si="4"/>
        <v>Mid</v>
      </c>
      <c r="H32" s="80" t="s">
        <v>83</v>
      </c>
      <c r="I32" s="66">
        <v>150000.0</v>
      </c>
      <c r="J32" s="66">
        <v>250000.0</v>
      </c>
      <c r="K32" s="66">
        <v>250000.0</v>
      </c>
      <c r="L32" s="66" t="s">
        <v>52</v>
      </c>
      <c r="M32" s="66">
        <v>350000.0</v>
      </c>
      <c r="N32" s="66">
        <v>450000.0</v>
      </c>
      <c r="O32" s="66">
        <v>950000.0</v>
      </c>
      <c r="P32" s="71" t="s">
        <v>52</v>
      </c>
      <c r="Q32" s="66">
        <v>900000.0</v>
      </c>
      <c r="R32" s="66">
        <v>1200000.0</v>
      </c>
      <c r="S32" s="66">
        <v>1100000.0</v>
      </c>
      <c r="T32" s="71" t="s">
        <v>52</v>
      </c>
      <c r="U32" s="71" t="s">
        <v>52</v>
      </c>
      <c r="V32" s="71" t="s">
        <v>52</v>
      </c>
      <c r="W32" s="66">
        <v>800000.0</v>
      </c>
    </row>
    <row r="33">
      <c r="A33" s="113">
        <v>31.0</v>
      </c>
      <c r="B33" s="79" t="s">
        <v>239</v>
      </c>
      <c r="C33" s="69">
        <v>39300.0</v>
      </c>
      <c r="D33" s="80" t="str">
        <f t="shared" si="3"/>
        <v>Micro</v>
      </c>
      <c r="E33" s="79" t="s">
        <v>240</v>
      </c>
      <c r="F33" s="65">
        <v>2200000.0</v>
      </c>
      <c r="G33" s="80" t="str">
        <f t="shared" si="4"/>
        <v>Mega</v>
      </c>
      <c r="H33" s="80" t="s">
        <v>66</v>
      </c>
      <c r="I33" s="114">
        <v>200000.0</v>
      </c>
      <c r="J33" s="114">
        <v>200000.0</v>
      </c>
      <c r="K33" s="114">
        <v>500000.0</v>
      </c>
      <c r="L33" s="115" t="s">
        <v>52</v>
      </c>
      <c r="M33" s="114">
        <v>800000.0</v>
      </c>
      <c r="N33" s="114">
        <v>1000000.0</v>
      </c>
      <c r="O33" s="114">
        <v>1500000.0</v>
      </c>
      <c r="P33" s="115" t="s">
        <v>52</v>
      </c>
      <c r="Q33" s="114">
        <v>6000000.0</v>
      </c>
      <c r="R33" s="114">
        <v>7000000.0</v>
      </c>
      <c r="S33" s="114">
        <v>2000000.0</v>
      </c>
      <c r="T33" s="114">
        <v>1000000.0</v>
      </c>
      <c r="U33" s="115" t="s">
        <v>52</v>
      </c>
      <c r="V33" s="115" t="s">
        <v>52</v>
      </c>
      <c r="W33" s="114">
        <v>8000000.0</v>
      </c>
    </row>
    <row r="34">
      <c r="A34" s="113">
        <v>32.0</v>
      </c>
      <c r="B34" s="79" t="s">
        <v>249</v>
      </c>
      <c r="C34" s="69">
        <v>3906.0</v>
      </c>
      <c r="D34" s="80" t="str">
        <f t="shared" si="3"/>
        <v>Nano</v>
      </c>
      <c r="E34" s="79" t="s">
        <v>250</v>
      </c>
      <c r="F34" s="69">
        <v>217700.0</v>
      </c>
      <c r="G34" s="80" t="str">
        <f t="shared" si="4"/>
        <v>Mid</v>
      </c>
      <c r="H34" s="129" t="s">
        <v>39</v>
      </c>
      <c r="I34" s="114">
        <v>200000.0</v>
      </c>
      <c r="J34" s="114">
        <v>500000.0</v>
      </c>
      <c r="K34" s="114">
        <v>1300000.0</v>
      </c>
      <c r="L34" s="114">
        <v>200000.0</v>
      </c>
      <c r="M34" s="114">
        <v>1500000.0</v>
      </c>
      <c r="N34" s="114">
        <v>1500000.0</v>
      </c>
      <c r="O34" s="114">
        <v>2000000.0</v>
      </c>
      <c r="P34" s="115" t="s">
        <v>52</v>
      </c>
      <c r="Q34" s="114">
        <v>2800000.0</v>
      </c>
      <c r="R34" s="114">
        <v>3500000.0</v>
      </c>
      <c r="S34" s="114">
        <v>5000000.0</v>
      </c>
      <c r="T34" s="117">
        <v>1.0</v>
      </c>
      <c r="U34" s="117">
        <v>0.3</v>
      </c>
      <c r="V34" s="114">
        <v>500000.0</v>
      </c>
      <c r="W34" s="114">
        <v>1000000.0</v>
      </c>
    </row>
    <row r="35">
      <c r="A35" s="113">
        <v>33.0</v>
      </c>
      <c r="B35" s="79" t="s">
        <v>255</v>
      </c>
      <c r="C35" s="189"/>
      <c r="D35" s="97"/>
      <c r="E35" s="79" t="s">
        <v>256</v>
      </c>
      <c r="F35" s="65">
        <v>1700000.0</v>
      </c>
      <c r="G35" s="80" t="str">
        <f t="shared" si="4"/>
        <v>Mega</v>
      </c>
      <c r="H35" s="80" t="s">
        <v>50</v>
      </c>
      <c r="I35" s="76"/>
      <c r="J35" s="76"/>
      <c r="K35" s="76"/>
      <c r="L35" s="76"/>
      <c r="M35" s="76"/>
      <c r="N35" s="76"/>
      <c r="O35" s="76"/>
      <c r="P35" s="76"/>
      <c r="Q35" s="66">
        <v>1.6E7</v>
      </c>
      <c r="R35" s="77" t="s">
        <v>258</v>
      </c>
      <c r="S35" s="76"/>
      <c r="T35" s="76"/>
      <c r="U35" s="76"/>
      <c r="V35" s="76"/>
      <c r="W35" s="76"/>
    </row>
    <row r="36">
      <c r="A36" s="113">
        <v>34.0</v>
      </c>
      <c r="B36" s="131" t="s">
        <v>270</v>
      </c>
      <c r="C36" s="134">
        <v>2600000.0</v>
      </c>
      <c r="D36" s="133" t="str">
        <f t="shared" ref="D36:D49" si="5">ifs(C36&lt;10000, "Nano", C36&lt;=100000, "Micro", C36&lt;=500000, "Mid", C36&lt;=1000000, "Macro", C36&gt;1000000, "Mega")</f>
        <v>Mega</v>
      </c>
      <c r="E36" s="131" t="s">
        <v>271</v>
      </c>
      <c r="F36" s="132">
        <v>705600.0</v>
      </c>
      <c r="G36" s="133" t="str">
        <f t="shared" si="4"/>
        <v>Macro</v>
      </c>
      <c r="H36" s="133" t="s">
        <v>39</v>
      </c>
      <c r="I36" s="135"/>
      <c r="J36" s="122">
        <v>1.5E7</v>
      </c>
      <c r="K36" s="122">
        <v>3.5E7</v>
      </c>
      <c r="L36" s="135"/>
      <c r="M36" s="122">
        <v>3.5E7</v>
      </c>
      <c r="N36" s="135"/>
      <c r="O36" s="122">
        <v>4.5E7</v>
      </c>
      <c r="P36" s="135"/>
      <c r="Q36" s="122">
        <v>3.5E7</v>
      </c>
      <c r="R36" s="135"/>
      <c r="S36" s="122">
        <v>4.0E7</v>
      </c>
      <c r="T36" s="135"/>
      <c r="U36" s="135"/>
      <c r="V36" s="135"/>
      <c r="W36" s="122" t="s">
        <v>273</v>
      </c>
    </row>
    <row r="37">
      <c r="A37" s="113">
        <v>35.0</v>
      </c>
      <c r="B37" s="190" t="s">
        <v>313</v>
      </c>
      <c r="C37" s="191">
        <v>1700000.0</v>
      </c>
      <c r="D37" s="133" t="str">
        <f t="shared" si="5"/>
        <v>Mega</v>
      </c>
      <c r="E37" s="131" t="s">
        <v>314</v>
      </c>
      <c r="F37" s="192">
        <v>6500000.0</v>
      </c>
      <c r="G37" s="133" t="str">
        <f t="shared" si="4"/>
        <v>Mega</v>
      </c>
      <c r="H37" s="138" t="s">
        <v>46</v>
      </c>
      <c r="I37" s="119">
        <v>1.05E7</v>
      </c>
      <c r="J37" s="119">
        <v>1.3E7</v>
      </c>
      <c r="K37" s="119">
        <v>2.5E7</v>
      </c>
      <c r="L37" s="121" t="s">
        <v>52</v>
      </c>
      <c r="M37" s="119">
        <v>3.0E7</v>
      </c>
      <c r="N37" s="193" t="s">
        <v>316</v>
      </c>
      <c r="O37" s="119">
        <v>3.5E7</v>
      </c>
      <c r="P37" s="126">
        <v>0.3</v>
      </c>
      <c r="Q37" s="119">
        <v>4.5E7</v>
      </c>
      <c r="R37" s="119">
        <v>2.5E7</v>
      </c>
      <c r="S37" s="119">
        <v>3.0E7</v>
      </c>
      <c r="T37" s="126">
        <v>1.0</v>
      </c>
      <c r="U37" s="194">
        <v>1.0E7</v>
      </c>
      <c r="V37" s="119">
        <v>3500000.0</v>
      </c>
      <c r="W37" s="195">
        <v>2.0E7</v>
      </c>
    </row>
    <row r="38">
      <c r="A38" s="113">
        <v>36.0</v>
      </c>
      <c r="B38" s="131" t="s">
        <v>317</v>
      </c>
      <c r="C38" s="132">
        <v>979000.0</v>
      </c>
      <c r="D38" s="133" t="str">
        <f t="shared" si="5"/>
        <v>Macro</v>
      </c>
      <c r="E38" s="131" t="s">
        <v>317</v>
      </c>
      <c r="F38" s="134">
        <v>2600000.0</v>
      </c>
      <c r="G38" s="133" t="str">
        <f t="shared" si="4"/>
        <v>Mega</v>
      </c>
      <c r="H38" s="133" t="s">
        <v>39</v>
      </c>
      <c r="I38" s="135"/>
      <c r="J38" s="122">
        <v>1.4E7</v>
      </c>
      <c r="K38" s="122">
        <v>1.7E7</v>
      </c>
      <c r="L38" s="122">
        <v>2000000.0</v>
      </c>
      <c r="M38" s="135"/>
      <c r="N38" s="119">
        <v>2.2E7</v>
      </c>
      <c r="O38" s="122">
        <v>2.4E7</v>
      </c>
      <c r="P38" s="122">
        <v>1.0E7</v>
      </c>
      <c r="Q38" s="122">
        <v>2.7E7</v>
      </c>
      <c r="R38" s="122">
        <v>1.0E7</v>
      </c>
      <c r="S38" s="122">
        <v>1.2E7</v>
      </c>
      <c r="T38" s="196">
        <v>0.5</v>
      </c>
      <c r="U38" s="196">
        <v>0.2</v>
      </c>
      <c r="V38" s="135"/>
      <c r="W38" s="122">
        <v>1.2E7</v>
      </c>
    </row>
    <row r="39">
      <c r="A39" s="113">
        <v>37.0</v>
      </c>
      <c r="B39" s="131" t="s">
        <v>319</v>
      </c>
      <c r="C39" s="132">
        <v>238000.0</v>
      </c>
      <c r="D39" s="133" t="str">
        <f t="shared" si="5"/>
        <v>Mid</v>
      </c>
      <c r="E39" s="131" t="s">
        <v>320</v>
      </c>
      <c r="F39" s="132">
        <v>473700.0</v>
      </c>
      <c r="G39" s="133" t="str">
        <f t="shared" si="4"/>
        <v>Mid</v>
      </c>
      <c r="H39" s="133" t="s">
        <v>321</v>
      </c>
      <c r="I39" s="135"/>
      <c r="J39" s="122">
        <v>5000000.0</v>
      </c>
      <c r="K39" s="122">
        <v>8000000.0</v>
      </c>
      <c r="L39" s="135"/>
      <c r="M39" s="122">
        <v>1.0E7</v>
      </c>
      <c r="N39" s="122">
        <v>1.1E7</v>
      </c>
      <c r="O39" s="122">
        <v>2.0E7</v>
      </c>
      <c r="P39" s="135"/>
      <c r="Q39" s="122">
        <v>2.0E7</v>
      </c>
      <c r="R39" s="135"/>
      <c r="S39" s="122">
        <v>2.0E7</v>
      </c>
      <c r="T39" s="196" t="s">
        <v>323</v>
      </c>
      <c r="U39" s="196">
        <v>0.25</v>
      </c>
      <c r="V39" s="196">
        <v>0.25</v>
      </c>
      <c r="W39" s="135"/>
    </row>
    <row r="40">
      <c r="A40" s="113">
        <v>38.0</v>
      </c>
      <c r="B40" s="131" t="s">
        <v>324</v>
      </c>
      <c r="C40" s="132">
        <v>259000.0</v>
      </c>
      <c r="D40" s="133" t="str">
        <f t="shared" si="5"/>
        <v>Mid</v>
      </c>
      <c r="E40" s="131" t="s">
        <v>324</v>
      </c>
      <c r="F40" s="134">
        <v>1100000.0</v>
      </c>
      <c r="G40" s="133" t="str">
        <f t="shared" si="4"/>
        <v>Mega</v>
      </c>
      <c r="H40" s="133" t="s">
        <v>39</v>
      </c>
      <c r="I40" s="135"/>
      <c r="J40" s="122">
        <v>5500000.0</v>
      </c>
      <c r="K40" s="122">
        <v>6500000.0</v>
      </c>
      <c r="L40" s="135"/>
      <c r="M40" s="122">
        <v>5000000.0</v>
      </c>
      <c r="N40" s="135"/>
      <c r="O40" s="122">
        <v>9000000.0</v>
      </c>
      <c r="P40" s="135"/>
      <c r="Q40" s="122">
        <v>2.5E7</v>
      </c>
      <c r="R40" s="135"/>
      <c r="S40" s="122">
        <v>1.8E7</v>
      </c>
      <c r="T40" s="122" t="s">
        <v>325</v>
      </c>
      <c r="U40" s="196">
        <v>0.3</v>
      </c>
      <c r="V40" s="122">
        <v>3500000.0</v>
      </c>
      <c r="W40" s="135"/>
    </row>
    <row r="41">
      <c r="A41" s="113">
        <v>39.0</v>
      </c>
      <c r="B41" s="131" t="s">
        <v>326</v>
      </c>
      <c r="C41" s="132">
        <v>557000.0</v>
      </c>
      <c r="D41" s="133" t="str">
        <f t="shared" si="5"/>
        <v>Macro</v>
      </c>
      <c r="E41" s="131" t="s">
        <v>327</v>
      </c>
      <c r="F41" s="132">
        <v>683200.0</v>
      </c>
      <c r="G41" s="133" t="str">
        <f t="shared" si="4"/>
        <v>Macro</v>
      </c>
      <c r="H41" s="133" t="s">
        <v>50</v>
      </c>
      <c r="I41" s="122">
        <v>2000000.0</v>
      </c>
      <c r="J41" s="122">
        <v>2500000.0</v>
      </c>
      <c r="K41" s="122">
        <v>1.4E7</v>
      </c>
      <c r="L41" s="135"/>
      <c r="M41" s="122">
        <v>7000000.0</v>
      </c>
      <c r="N41" s="122">
        <v>9500000.0</v>
      </c>
      <c r="O41" s="122">
        <v>1.1E7</v>
      </c>
      <c r="P41" s="122">
        <v>3000000.0</v>
      </c>
      <c r="Q41" s="122">
        <v>9000000.0</v>
      </c>
      <c r="R41" s="122">
        <v>1.95E7</v>
      </c>
      <c r="S41" s="135"/>
      <c r="T41" s="122" t="s">
        <v>328</v>
      </c>
      <c r="U41" s="122" t="s">
        <v>329</v>
      </c>
      <c r="V41" s="135"/>
      <c r="W41" s="135"/>
    </row>
    <row r="42">
      <c r="A42" s="113">
        <v>40.0</v>
      </c>
      <c r="B42" s="131" t="s">
        <v>332</v>
      </c>
      <c r="C42" s="134">
        <v>8300000.0</v>
      </c>
      <c r="D42" s="133" t="str">
        <f t="shared" si="5"/>
        <v>Mega</v>
      </c>
      <c r="E42" s="131" t="s">
        <v>332</v>
      </c>
      <c r="F42" s="134">
        <v>3300000.0</v>
      </c>
      <c r="G42" s="133" t="str">
        <f t="shared" si="4"/>
        <v>Mega</v>
      </c>
      <c r="H42" s="133" t="s">
        <v>321</v>
      </c>
      <c r="I42" s="135"/>
      <c r="J42" s="122">
        <v>1.5E7</v>
      </c>
      <c r="K42" s="122">
        <v>3.5E7</v>
      </c>
      <c r="L42" s="135"/>
      <c r="M42" s="122">
        <v>5.0E7</v>
      </c>
      <c r="N42" s="122">
        <v>7.0E7</v>
      </c>
      <c r="O42" s="122">
        <v>1.0E8</v>
      </c>
      <c r="P42" s="135"/>
      <c r="Q42" s="122">
        <v>1.0E8</v>
      </c>
      <c r="R42" s="135"/>
      <c r="S42" s="122">
        <v>1.0E8</v>
      </c>
      <c r="T42" s="135"/>
      <c r="U42" s="135"/>
      <c r="V42" s="135"/>
      <c r="W42" s="135"/>
    </row>
    <row r="43">
      <c r="A43" s="113">
        <v>41.0</v>
      </c>
      <c r="B43" s="137" t="s">
        <v>335</v>
      </c>
      <c r="C43" s="191">
        <v>1800000.0</v>
      </c>
      <c r="D43" s="133" t="str">
        <f t="shared" si="5"/>
        <v>Mega</v>
      </c>
      <c r="E43" s="131" t="s">
        <v>336</v>
      </c>
      <c r="F43" s="192">
        <v>7300000.0</v>
      </c>
      <c r="G43" s="133" t="str">
        <f t="shared" si="4"/>
        <v>Mega</v>
      </c>
      <c r="H43" s="138" t="s">
        <v>39</v>
      </c>
      <c r="I43" s="139"/>
      <c r="J43" s="119">
        <v>1.5E7</v>
      </c>
      <c r="K43" s="119">
        <v>2.5E7</v>
      </c>
      <c r="L43" s="121" t="s">
        <v>52</v>
      </c>
      <c r="M43" s="119">
        <v>2.0E7</v>
      </c>
      <c r="N43" s="139"/>
      <c r="O43" s="119">
        <v>4.0E7</v>
      </c>
      <c r="P43" s="126">
        <v>0.5</v>
      </c>
      <c r="Q43" s="119">
        <v>3.0E7</v>
      </c>
      <c r="R43" s="119">
        <v>6.0E7</v>
      </c>
      <c r="S43" s="195">
        <v>3.5E7</v>
      </c>
      <c r="T43" s="126">
        <v>1.0</v>
      </c>
      <c r="U43" s="126">
        <v>0.3</v>
      </c>
      <c r="V43" s="139"/>
      <c r="W43" s="119" t="s">
        <v>338</v>
      </c>
    </row>
    <row r="44">
      <c r="A44" s="113">
        <v>42.0</v>
      </c>
      <c r="B44" s="137" t="s">
        <v>339</v>
      </c>
      <c r="C44" s="191">
        <v>1400000.0</v>
      </c>
      <c r="D44" s="133" t="str">
        <f t="shared" si="5"/>
        <v>Mega</v>
      </c>
      <c r="E44" s="131" t="s">
        <v>339</v>
      </c>
      <c r="F44" s="192">
        <v>2800000.0</v>
      </c>
      <c r="G44" s="133" t="str">
        <f t="shared" si="4"/>
        <v>Mega</v>
      </c>
      <c r="H44" s="138" t="s">
        <v>39</v>
      </c>
      <c r="I44" s="139"/>
      <c r="J44" s="119">
        <v>5000000.0</v>
      </c>
      <c r="K44" s="139"/>
      <c r="L44" s="121" t="s">
        <v>52</v>
      </c>
      <c r="M44" s="119">
        <v>4.0E7</v>
      </c>
      <c r="N44" s="139"/>
      <c r="O44" s="119">
        <v>5.5E7</v>
      </c>
      <c r="P44" s="119">
        <v>5000000.0</v>
      </c>
      <c r="Q44" s="139"/>
      <c r="R44" s="139"/>
      <c r="S44" s="139"/>
      <c r="T44" s="139"/>
      <c r="U44" s="139"/>
      <c r="V44" s="121" t="s">
        <v>52</v>
      </c>
      <c r="W44" s="139"/>
    </row>
    <row r="45">
      <c r="A45" s="113">
        <v>43.0</v>
      </c>
      <c r="B45" s="137" t="s">
        <v>349</v>
      </c>
      <c r="C45" s="132">
        <v>237000.0</v>
      </c>
      <c r="D45" s="133" t="str">
        <f t="shared" si="5"/>
        <v>Mid</v>
      </c>
      <c r="E45" s="131" t="s">
        <v>350</v>
      </c>
      <c r="F45" s="192">
        <v>1100000.0</v>
      </c>
      <c r="G45" s="133" t="str">
        <f t="shared" si="4"/>
        <v>Mega</v>
      </c>
      <c r="H45" s="138" t="s">
        <v>39</v>
      </c>
      <c r="I45" s="119">
        <v>3500000.0</v>
      </c>
      <c r="J45" s="119">
        <v>3500000.0</v>
      </c>
      <c r="K45" s="119">
        <v>6500000.0</v>
      </c>
      <c r="L45" s="119">
        <v>1000000.0</v>
      </c>
      <c r="M45" s="119">
        <v>6000000.0</v>
      </c>
      <c r="N45" s="119" t="s">
        <v>352</v>
      </c>
      <c r="O45" s="119" t="s">
        <v>353</v>
      </c>
      <c r="P45" s="119">
        <v>5000000.0</v>
      </c>
      <c r="Q45" s="119" t="s">
        <v>354</v>
      </c>
      <c r="R45" s="119">
        <v>2.0E7</v>
      </c>
      <c r="S45" s="119">
        <v>5000000.0</v>
      </c>
      <c r="T45" s="197">
        <v>7000000.0</v>
      </c>
      <c r="U45" s="107"/>
      <c r="V45" s="139"/>
      <c r="W45" s="119">
        <v>7000000.0</v>
      </c>
    </row>
    <row r="46">
      <c r="A46" s="113">
        <v>44.0</v>
      </c>
      <c r="B46" s="137" t="s">
        <v>357</v>
      </c>
      <c r="C46" s="132">
        <v>175000.0</v>
      </c>
      <c r="D46" s="133" t="str">
        <f t="shared" si="5"/>
        <v>Mid</v>
      </c>
      <c r="E46" s="131" t="s">
        <v>358</v>
      </c>
      <c r="F46" s="192">
        <v>2500000.0</v>
      </c>
      <c r="G46" s="133" t="str">
        <f t="shared" si="4"/>
        <v>Mega</v>
      </c>
      <c r="H46" s="138" t="s">
        <v>39</v>
      </c>
      <c r="I46" s="119">
        <v>500000.0</v>
      </c>
      <c r="J46" s="119">
        <v>1000000.0</v>
      </c>
      <c r="K46" s="119">
        <v>2500000.0</v>
      </c>
      <c r="L46" s="119">
        <v>500000.0</v>
      </c>
      <c r="M46" s="119">
        <v>7000000.0</v>
      </c>
      <c r="N46" s="119">
        <v>8000000.0</v>
      </c>
      <c r="O46" s="119">
        <v>1.0E7</v>
      </c>
      <c r="P46" s="119">
        <v>1500000.0</v>
      </c>
      <c r="Q46" s="119">
        <v>2.5E7</v>
      </c>
      <c r="R46" s="119">
        <v>3.0E7</v>
      </c>
      <c r="S46" s="139"/>
      <c r="T46" s="119">
        <v>1.25E7</v>
      </c>
      <c r="U46" s="119">
        <v>2000000.0</v>
      </c>
      <c r="V46" s="119">
        <v>1500000.0</v>
      </c>
      <c r="W46" s="119">
        <v>1.0000009E7</v>
      </c>
    </row>
    <row r="47">
      <c r="A47" s="113">
        <v>45.0</v>
      </c>
      <c r="B47" s="137" t="s">
        <v>371</v>
      </c>
      <c r="C47" s="191">
        <v>1300000.0</v>
      </c>
      <c r="D47" s="133" t="str">
        <f t="shared" si="5"/>
        <v>Mega</v>
      </c>
      <c r="E47" s="177" t="s">
        <v>371</v>
      </c>
      <c r="F47" s="192">
        <v>3300000.0</v>
      </c>
      <c r="G47" s="133" t="str">
        <f t="shared" si="4"/>
        <v>Mega</v>
      </c>
      <c r="H47" s="138" t="s">
        <v>372</v>
      </c>
      <c r="I47" s="119">
        <v>1000000.0</v>
      </c>
      <c r="J47" s="119">
        <v>7000000.0</v>
      </c>
      <c r="K47" s="125"/>
      <c r="L47" s="121" t="s">
        <v>52</v>
      </c>
      <c r="M47" s="119">
        <v>8000000.0</v>
      </c>
      <c r="N47" s="125"/>
      <c r="O47" s="119">
        <v>1.0E7</v>
      </c>
      <c r="P47" s="121" t="s">
        <v>52</v>
      </c>
      <c r="Q47" s="119">
        <v>1.5E7</v>
      </c>
      <c r="R47" s="119">
        <v>2.0E7</v>
      </c>
      <c r="S47" s="125"/>
      <c r="T47" s="121" t="s">
        <v>52</v>
      </c>
      <c r="U47" s="121" t="s">
        <v>52</v>
      </c>
      <c r="V47" s="119">
        <v>2000000.0</v>
      </c>
      <c r="W47" s="119">
        <v>1000000.0</v>
      </c>
    </row>
    <row r="48">
      <c r="A48" s="113">
        <v>46.0</v>
      </c>
      <c r="B48" s="131" t="s">
        <v>383</v>
      </c>
      <c r="C48" s="134">
        <v>1000000.0</v>
      </c>
      <c r="D48" s="133" t="str">
        <f t="shared" si="5"/>
        <v>Macro</v>
      </c>
      <c r="E48" s="131" t="s">
        <v>384</v>
      </c>
      <c r="F48" s="134">
        <v>1000000.0</v>
      </c>
      <c r="G48" s="133" t="str">
        <f t="shared" si="4"/>
        <v>Macro</v>
      </c>
      <c r="H48" s="133" t="s">
        <v>39</v>
      </c>
      <c r="I48" s="135"/>
      <c r="J48" s="122">
        <v>1.0E7</v>
      </c>
      <c r="K48" s="122">
        <v>2.1E7</v>
      </c>
      <c r="L48" s="198" t="s">
        <v>52</v>
      </c>
      <c r="M48" s="122">
        <v>2.7E7</v>
      </c>
      <c r="N48" s="122">
        <v>5000000.0</v>
      </c>
      <c r="O48" s="122" t="s">
        <v>386</v>
      </c>
      <c r="P48" s="122">
        <v>8000000.0</v>
      </c>
      <c r="Q48" s="122" t="s">
        <v>387</v>
      </c>
      <c r="R48" s="122">
        <v>5.0E7</v>
      </c>
      <c r="S48" s="122">
        <v>3.0E7</v>
      </c>
      <c r="T48" s="196">
        <v>0.5</v>
      </c>
      <c r="U48" s="196">
        <v>0.35</v>
      </c>
      <c r="V48" s="135"/>
      <c r="W48" s="122" t="s">
        <v>388</v>
      </c>
    </row>
    <row r="49">
      <c r="A49" s="113">
        <v>47.0</v>
      </c>
      <c r="B49" s="131" t="s">
        <v>400</v>
      </c>
      <c r="C49" s="132">
        <v>101000.0</v>
      </c>
      <c r="D49" s="133" t="str">
        <f t="shared" si="5"/>
        <v>Mid</v>
      </c>
      <c r="E49" s="131" t="s">
        <v>401</v>
      </c>
      <c r="F49" s="132">
        <v>12200.0</v>
      </c>
      <c r="G49" s="133" t="str">
        <f t="shared" si="4"/>
        <v>Micro</v>
      </c>
      <c r="H49" s="133" t="s">
        <v>46</v>
      </c>
      <c r="I49" s="135"/>
      <c r="J49" s="122">
        <v>350000.0</v>
      </c>
      <c r="K49" s="122">
        <v>750000.0</v>
      </c>
      <c r="L49" s="135"/>
      <c r="M49" s="122">
        <v>3000000.0</v>
      </c>
      <c r="N49" s="122">
        <v>3500000.0</v>
      </c>
      <c r="O49" s="122">
        <v>3500000.0</v>
      </c>
      <c r="P49" s="135"/>
      <c r="Q49" s="122">
        <v>500000.0</v>
      </c>
      <c r="R49" s="135"/>
      <c r="S49" s="135"/>
      <c r="T49" s="135"/>
      <c r="U49" s="135"/>
      <c r="V49" s="135"/>
      <c r="W49" s="122">
        <v>1500000.0</v>
      </c>
    </row>
    <row r="50">
      <c r="A50" s="113">
        <v>48.0</v>
      </c>
      <c r="B50" s="131" t="s">
        <v>442</v>
      </c>
      <c r="C50" s="132">
        <v>416000.0</v>
      </c>
      <c r="D50" s="133" t="str">
        <f t="shared" ref="D50:D54" si="6">ifs(C50&lt;10000, "Nano", C50&lt;=50000, "Micro", C50&lt;=500000, "Mid", C50&lt;=1000000, "Macro", C50&gt;1000000, "Mega")</f>
        <v>Mid</v>
      </c>
      <c r="E50" s="140" t="s">
        <v>443</v>
      </c>
      <c r="F50" s="134">
        <v>1200000.0</v>
      </c>
      <c r="G50" s="133" t="str">
        <f t="shared" si="4"/>
        <v>Mega</v>
      </c>
      <c r="H50" s="133" t="s">
        <v>39</v>
      </c>
      <c r="I50" s="141"/>
      <c r="J50" s="122">
        <v>5000000.0</v>
      </c>
      <c r="K50" s="122">
        <v>2.0E7</v>
      </c>
      <c r="L50" s="122">
        <v>3000000.0</v>
      </c>
      <c r="M50" s="122">
        <v>1.5E7</v>
      </c>
      <c r="N50" s="141"/>
      <c r="O50" s="122">
        <v>2.1E7</v>
      </c>
      <c r="P50" s="122">
        <v>1.0E7</v>
      </c>
      <c r="Q50" s="122">
        <v>3.5E7</v>
      </c>
      <c r="R50" s="122">
        <v>2.1E7</v>
      </c>
      <c r="S50" s="122">
        <v>3.0E7</v>
      </c>
      <c r="T50" s="142"/>
      <c r="U50" s="198" t="s">
        <v>52</v>
      </c>
      <c r="V50" s="122">
        <v>3000000.0</v>
      </c>
      <c r="W50" s="122">
        <v>1.0E7</v>
      </c>
    </row>
    <row r="51">
      <c r="A51" s="113">
        <v>49.0</v>
      </c>
      <c r="B51" s="131" t="s">
        <v>487</v>
      </c>
      <c r="C51" s="134">
        <v>1600000.0</v>
      </c>
      <c r="D51" s="133" t="str">
        <f t="shared" si="6"/>
        <v>Mega</v>
      </c>
      <c r="E51" s="140" t="s">
        <v>488</v>
      </c>
      <c r="F51" s="134">
        <v>2400000.0</v>
      </c>
      <c r="G51" s="133" t="str">
        <f t="shared" si="4"/>
        <v>Mega</v>
      </c>
      <c r="H51" s="133" t="s">
        <v>46</v>
      </c>
      <c r="I51" s="141"/>
      <c r="J51" s="122">
        <v>1.25E7</v>
      </c>
      <c r="K51" s="122">
        <v>2.5E7</v>
      </c>
      <c r="L51" s="141"/>
      <c r="M51" s="122">
        <v>2.0E7</v>
      </c>
      <c r="N51" s="141"/>
      <c r="O51" s="122">
        <v>4.5E7</v>
      </c>
      <c r="P51" s="142"/>
      <c r="Q51" s="122">
        <v>4.5E7</v>
      </c>
      <c r="R51" s="122">
        <v>7.0E7</v>
      </c>
      <c r="S51" s="122">
        <v>2.0E7</v>
      </c>
      <c r="T51" s="142"/>
      <c r="U51" s="122">
        <v>5000000.0</v>
      </c>
      <c r="V51" s="122">
        <v>3000000.0</v>
      </c>
      <c r="W51" s="122">
        <v>5.5E7</v>
      </c>
    </row>
    <row r="52">
      <c r="A52" s="113">
        <v>50.0</v>
      </c>
      <c r="B52" s="131" t="s">
        <v>513</v>
      </c>
      <c r="C52" s="134">
        <v>2100000.0</v>
      </c>
      <c r="D52" s="133" t="str">
        <f t="shared" si="6"/>
        <v>Mega</v>
      </c>
      <c r="E52" s="140" t="s">
        <v>514</v>
      </c>
      <c r="F52" s="134">
        <v>9200000.0</v>
      </c>
      <c r="G52" s="133" t="str">
        <f t="shared" si="4"/>
        <v>Mega</v>
      </c>
      <c r="H52" s="133" t="s">
        <v>197</v>
      </c>
      <c r="I52" s="141"/>
      <c r="J52" s="122">
        <v>1.3E7</v>
      </c>
      <c r="K52" s="122">
        <v>2.5E7</v>
      </c>
      <c r="L52" s="198" t="s">
        <v>52</v>
      </c>
      <c r="M52" s="122">
        <v>2.8E7</v>
      </c>
      <c r="N52" s="122">
        <v>3000000.0</v>
      </c>
      <c r="O52" s="122">
        <v>3.5E7</v>
      </c>
      <c r="P52" s="122">
        <v>2.0E7</v>
      </c>
      <c r="Q52" s="122">
        <v>5.0E7</v>
      </c>
      <c r="R52" s="122">
        <v>2.0E7</v>
      </c>
      <c r="S52" s="122">
        <v>5.0E7</v>
      </c>
      <c r="T52" s="196">
        <v>1.0</v>
      </c>
      <c r="U52" s="122">
        <v>1.0E7</v>
      </c>
      <c r="V52" s="141"/>
      <c r="W52" s="141"/>
    </row>
    <row r="53">
      <c r="A53" s="113">
        <v>51.0</v>
      </c>
      <c r="B53" s="131" t="s">
        <v>515</v>
      </c>
      <c r="C53" s="134">
        <v>1400000.0</v>
      </c>
      <c r="D53" s="133" t="str">
        <f t="shared" si="6"/>
        <v>Mega</v>
      </c>
      <c r="E53" s="140" t="s">
        <v>516</v>
      </c>
      <c r="F53" s="134">
        <v>1500000.0</v>
      </c>
      <c r="G53" s="133" t="str">
        <f t="shared" si="4"/>
        <v>Mega</v>
      </c>
      <c r="H53" s="133" t="s">
        <v>39</v>
      </c>
      <c r="I53" s="141"/>
      <c r="J53" s="122">
        <v>1.0E7</v>
      </c>
      <c r="K53" s="122">
        <v>2.0E7</v>
      </c>
      <c r="L53" s="198" t="s">
        <v>52</v>
      </c>
      <c r="M53" s="122">
        <v>2.0E7</v>
      </c>
      <c r="N53" s="122">
        <v>5000000.0</v>
      </c>
      <c r="O53" s="122">
        <v>2.8E7</v>
      </c>
      <c r="P53" s="122">
        <v>5000000.0</v>
      </c>
      <c r="Q53" s="122">
        <v>2.8E7</v>
      </c>
      <c r="R53" s="141"/>
      <c r="S53" s="122">
        <v>3.0E7</v>
      </c>
      <c r="T53" s="141"/>
      <c r="U53" s="141"/>
      <c r="V53" s="122">
        <v>3000000.0</v>
      </c>
      <c r="W53" s="141"/>
    </row>
    <row r="54">
      <c r="A54" s="113">
        <v>52.0</v>
      </c>
      <c r="B54" s="131" t="s">
        <v>517</v>
      </c>
      <c r="C54" s="134">
        <v>1900000.0</v>
      </c>
      <c r="D54" s="133" t="str">
        <f t="shared" si="6"/>
        <v>Mega</v>
      </c>
      <c r="E54" s="140" t="s">
        <v>518</v>
      </c>
      <c r="F54" s="134">
        <v>1.61E7</v>
      </c>
      <c r="G54" s="133" t="str">
        <f t="shared" si="4"/>
        <v>Mega</v>
      </c>
      <c r="H54" s="133" t="s">
        <v>39</v>
      </c>
      <c r="I54" s="122">
        <v>2500000.0</v>
      </c>
      <c r="J54" s="122">
        <v>4000000.0</v>
      </c>
      <c r="K54" s="141"/>
      <c r="L54" s="122">
        <v>3000000.0</v>
      </c>
      <c r="M54" s="122">
        <v>1.5E7</v>
      </c>
      <c r="N54" s="141"/>
      <c r="O54" s="122">
        <v>2.5E7</v>
      </c>
      <c r="P54" s="142"/>
      <c r="Q54" s="122">
        <v>3.5E7</v>
      </c>
      <c r="R54" s="141"/>
      <c r="S54" s="141"/>
      <c r="T54" s="141"/>
      <c r="U54" s="141"/>
      <c r="V54" s="122">
        <v>3.5E7</v>
      </c>
      <c r="W54" s="141"/>
    </row>
    <row r="55">
      <c r="A55" s="113">
        <v>53.0</v>
      </c>
      <c r="B55" s="199" t="s">
        <v>525</v>
      </c>
      <c r="C55" s="172">
        <v>1300000.0</v>
      </c>
      <c r="D55" s="200" t="str">
        <f t="shared" ref="D55:D58" si="7">ifs(C55&lt;10000, "Nano", C55&lt;=100000, "Micro", C55&lt;=500000, "Mid", C55&lt;=1000000, "Macro", C55&gt;1000000, "Mega")</f>
        <v>Mega</v>
      </c>
      <c r="E55" s="201" t="s">
        <v>526</v>
      </c>
      <c r="F55" s="172">
        <v>1400000.0</v>
      </c>
      <c r="G55" s="200" t="str">
        <f t="shared" si="4"/>
        <v>Mega</v>
      </c>
      <c r="H55" s="133" t="s">
        <v>83</v>
      </c>
      <c r="I55" s="122">
        <v>2000000.0</v>
      </c>
      <c r="J55" s="122">
        <v>1.2E7</v>
      </c>
      <c r="K55" s="122">
        <v>3.0E7</v>
      </c>
      <c r="L55" s="198" t="s">
        <v>52</v>
      </c>
      <c r="M55" s="122">
        <v>3.0E7</v>
      </c>
      <c r="N55" s="122">
        <v>5000000.0</v>
      </c>
      <c r="O55" s="122">
        <v>5.0E7</v>
      </c>
      <c r="P55" s="122">
        <v>1.0E7</v>
      </c>
      <c r="Q55" s="122">
        <v>5.0E7</v>
      </c>
      <c r="R55" s="122">
        <v>8.5E7</v>
      </c>
      <c r="S55" s="122">
        <v>3.0E7</v>
      </c>
      <c r="T55" s="122">
        <v>7.0E7</v>
      </c>
      <c r="U55" s="122">
        <v>2.0E7</v>
      </c>
      <c r="V55" s="122">
        <v>1.0E7</v>
      </c>
      <c r="W55" s="122">
        <v>1.0E7</v>
      </c>
    </row>
    <row r="56">
      <c r="A56" s="113">
        <v>54.0</v>
      </c>
      <c r="B56" s="199" t="s">
        <v>528</v>
      </c>
      <c r="C56" s="172">
        <v>2200000.0</v>
      </c>
      <c r="D56" s="200" t="str">
        <f t="shared" si="7"/>
        <v>Mega</v>
      </c>
      <c r="E56" s="201" t="s">
        <v>528</v>
      </c>
      <c r="F56" s="202">
        <v>867100.0</v>
      </c>
      <c r="G56" s="200" t="str">
        <f t="shared" si="4"/>
        <v>Macro</v>
      </c>
      <c r="H56" s="133" t="s">
        <v>83</v>
      </c>
      <c r="I56" s="141"/>
      <c r="J56" s="122">
        <v>1.2E7</v>
      </c>
      <c r="K56" s="141"/>
      <c r="L56" s="198" t="s">
        <v>52</v>
      </c>
      <c r="M56" s="122">
        <v>2.2E7</v>
      </c>
      <c r="N56" s="141"/>
      <c r="O56" s="122">
        <v>4.0E7</v>
      </c>
      <c r="P56" s="141"/>
      <c r="Q56" s="141"/>
      <c r="R56" s="141"/>
      <c r="S56" s="122">
        <v>4.0E7</v>
      </c>
      <c r="T56" s="141"/>
      <c r="U56" s="141"/>
      <c r="V56" s="141"/>
      <c r="W56" s="141"/>
    </row>
    <row r="57">
      <c r="A57" s="113">
        <v>55.0</v>
      </c>
      <c r="B57" s="203" t="s">
        <v>543</v>
      </c>
      <c r="C57" s="204">
        <v>65300.0</v>
      </c>
      <c r="D57" s="200" t="str">
        <f t="shared" si="7"/>
        <v>Micro</v>
      </c>
      <c r="E57" s="205" t="s">
        <v>543</v>
      </c>
      <c r="F57" s="204">
        <v>594500.0</v>
      </c>
      <c r="G57" s="200" t="str">
        <f t="shared" si="4"/>
        <v>Macro</v>
      </c>
      <c r="H57" s="206" t="s">
        <v>46</v>
      </c>
      <c r="I57" s="207"/>
      <c r="J57" s="207"/>
      <c r="K57" s="194">
        <v>6000000.0</v>
      </c>
      <c r="L57" s="208" t="s">
        <v>52</v>
      </c>
      <c r="M57" s="207"/>
      <c r="N57" s="207"/>
      <c r="O57" s="207"/>
      <c r="P57" s="207"/>
      <c r="Q57" s="194">
        <v>1.5E7</v>
      </c>
      <c r="R57" s="194">
        <v>2.3E7</v>
      </c>
      <c r="S57" s="207"/>
      <c r="T57" s="209">
        <v>1.0</v>
      </c>
      <c r="U57" s="194">
        <v>1500000.0</v>
      </c>
      <c r="V57" s="207"/>
      <c r="W57" s="207"/>
    </row>
    <row r="58">
      <c r="A58" s="113">
        <v>56.0</v>
      </c>
      <c r="B58" s="203" t="s">
        <v>544</v>
      </c>
      <c r="C58" s="210">
        <v>8000000.0</v>
      </c>
      <c r="D58" s="200" t="str">
        <f t="shared" si="7"/>
        <v>Mega</v>
      </c>
      <c r="E58" s="205" t="s">
        <v>545</v>
      </c>
      <c r="F58" s="210">
        <v>1.62E7</v>
      </c>
      <c r="G58" s="200" t="str">
        <f t="shared" si="4"/>
        <v>Mega</v>
      </c>
      <c r="H58" s="206" t="s">
        <v>297</v>
      </c>
      <c r="I58" s="207"/>
      <c r="J58" s="194">
        <v>1.5E7</v>
      </c>
      <c r="K58" s="207"/>
      <c r="L58" s="194">
        <v>2500000.0</v>
      </c>
      <c r="M58" s="194">
        <v>5.0E7</v>
      </c>
      <c r="N58" s="207"/>
      <c r="O58" s="194">
        <v>8.0E7</v>
      </c>
      <c r="P58" s="207"/>
      <c r="Q58" s="194">
        <v>1.0E8</v>
      </c>
      <c r="R58" s="207"/>
      <c r="S58" s="207"/>
      <c r="T58" s="207"/>
      <c r="U58" s="207"/>
      <c r="V58" s="194">
        <v>1.5E7</v>
      </c>
      <c r="W58" s="207"/>
    </row>
  </sheetData>
  <mergeCells count="5">
    <mergeCell ref="A1:A2"/>
    <mergeCell ref="B1:H1"/>
    <mergeCell ref="J1:P1"/>
    <mergeCell ref="Q1:W1"/>
    <mergeCell ref="T45:U45"/>
  </mergeCells>
  <conditionalFormatting sqref="B11:W11 I19:W19 I43:W43">
    <cfRule type="containsBlanks" dxfId="1" priority="1">
      <formula>LEN(TRIM(B11))=0</formula>
    </cfRule>
  </conditionalFormatting>
  <conditionalFormatting sqref="B11:W11 W23 I43:W43">
    <cfRule type="containsBlanks" dxfId="0" priority="2">
      <formula>LEN(TRIM(B11))=0</formula>
    </cfRule>
  </conditionalFormatting>
  <dataValidations>
    <dataValidation type="list" allowBlank="1" showErrorMessage="1" sqref="D3:D58 G3:G58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B13"/>
    <hyperlink r:id="rId22" ref="E13"/>
    <hyperlink r:id="rId23" ref="B14"/>
    <hyperlink r:id="rId24" ref="E14"/>
    <hyperlink r:id="rId25" ref="B15"/>
    <hyperlink r:id="rId26" ref="E15"/>
    <hyperlink r:id="rId27" ref="B16"/>
    <hyperlink r:id="rId28" ref="E16"/>
    <hyperlink r:id="rId29" ref="B17"/>
    <hyperlink r:id="rId30" ref="E17"/>
    <hyperlink r:id="rId31" ref="B18"/>
    <hyperlink r:id="rId32" ref="E18"/>
    <hyperlink r:id="rId33" ref="B19"/>
    <hyperlink r:id="rId34" ref="E19"/>
    <hyperlink r:id="rId35" ref="B20"/>
    <hyperlink r:id="rId36" ref="E20"/>
    <hyperlink r:id="rId37" ref="B21"/>
    <hyperlink r:id="rId38" ref="E21"/>
    <hyperlink r:id="rId39" ref="B22"/>
    <hyperlink r:id="rId40" ref="E22"/>
    <hyperlink r:id="rId41" ref="B23"/>
    <hyperlink r:id="rId42" ref="E23"/>
    <hyperlink r:id="rId43" ref="B24"/>
    <hyperlink r:id="rId44" ref="E24"/>
    <hyperlink r:id="rId45" ref="B25"/>
    <hyperlink r:id="rId46" ref="E25"/>
    <hyperlink r:id="rId47" ref="B26"/>
    <hyperlink r:id="rId48" ref="E26"/>
    <hyperlink r:id="rId49" ref="B27"/>
    <hyperlink r:id="rId50" ref="E27"/>
    <hyperlink r:id="rId51" ref="B28"/>
    <hyperlink r:id="rId52" ref="E28"/>
    <hyperlink r:id="rId53" ref="B29"/>
    <hyperlink r:id="rId54" ref="E29"/>
    <hyperlink r:id="rId55" ref="B30"/>
    <hyperlink r:id="rId56" ref="E30"/>
    <hyperlink r:id="rId57" ref="B31"/>
    <hyperlink r:id="rId58" ref="E31"/>
    <hyperlink r:id="rId59" ref="B32"/>
    <hyperlink r:id="rId60" ref="E32"/>
    <hyperlink r:id="rId61" ref="B33"/>
    <hyperlink r:id="rId62" ref="E33"/>
    <hyperlink r:id="rId63" ref="B34"/>
    <hyperlink r:id="rId64" ref="E34"/>
    <hyperlink r:id="rId65" ref="B35"/>
    <hyperlink r:id="rId66" ref="E35"/>
    <hyperlink r:id="rId67" ref="B36"/>
    <hyperlink r:id="rId68" ref="E36"/>
    <hyperlink r:id="rId69" ref="B37"/>
    <hyperlink r:id="rId70" ref="E37"/>
    <hyperlink r:id="rId71" ref="B38"/>
    <hyperlink r:id="rId72" ref="E38"/>
    <hyperlink r:id="rId73" ref="B39"/>
    <hyperlink r:id="rId74" ref="E39"/>
    <hyperlink r:id="rId75" ref="B40"/>
    <hyperlink r:id="rId76" ref="E40"/>
    <hyperlink r:id="rId77" ref="B41"/>
    <hyperlink r:id="rId78" ref="E41"/>
    <hyperlink r:id="rId79" ref="B42"/>
    <hyperlink r:id="rId80" ref="E42"/>
    <hyperlink r:id="rId81" ref="B43"/>
    <hyperlink r:id="rId82" ref="E43"/>
    <hyperlink r:id="rId83" ref="B44"/>
    <hyperlink r:id="rId84" ref="E44"/>
    <hyperlink r:id="rId85" ref="B45"/>
    <hyperlink r:id="rId86" ref="E45"/>
    <hyperlink r:id="rId87" ref="B46"/>
    <hyperlink r:id="rId88" ref="E46"/>
    <hyperlink r:id="rId89" ref="B47"/>
    <hyperlink r:id="rId90" ref="E47"/>
    <hyperlink r:id="rId91" ref="B48"/>
    <hyperlink r:id="rId92" ref="E48"/>
    <hyperlink r:id="rId93" ref="B49"/>
    <hyperlink r:id="rId94" ref="E49"/>
    <hyperlink r:id="rId95" ref="B50"/>
    <hyperlink r:id="rId96" ref="E50"/>
    <hyperlink r:id="rId97" ref="B51"/>
    <hyperlink r:id="rId98" ref="E51"/>
    <hyperlink r:id="rId99" ref="B52"/>
    <hyperlink r:id="rId100" ref="E52"/>
    <hyperlink r:id="rId101" ref="B53"/>
    <hyperlink r:id="rId102" ref="E53"/>
    <hyperlink r:id="rId103" ref="B54"/>
    <hyperlink r:id="rId104" ref="E54"/>
    <hyperlink r:id="rId105" ref="B55"/>
    <hyperlink r:id="rId106" ref="E55"/>
    <hyperlink r:id="rId107" ref="B56"/>
    <hyperlink r:id="rId108" ref="E56"/>
    <hyperlink r:id="rId109" ref="B57"/>
    <hyperlink r:id="rId110" ref="E57"/>
    <hyperlink r:id="rId111" ref="B58"/>
    <hyperlink r:id="rId112" ref="E58"/>
  </hyperlinks>
  <drawing r:id="rId11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75"/>
  <cols>
    <col customWidth="1" min="1" max="1" width="3.25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113">
        <v>1.0</v>
      </c>
      <c r="B3" s="153" t="s">
        <v>38</v>
      </c>
      <c r="C3" s="211">
        <v>7000000.0</v>
      </c>
      <c r="D3" s="63" t="str">
        <f t="shared" ref="D3:D17" si="1">ifs(C3&lt;10000, "Nano", C3&lt;=100000, "Micro", C3&lt;=500000, "Mid", C3&lt;=1000000, "Macro", C3&gt;1000000, "Mega")</f>
        <v>Mega</v>
      </c>
      <c r="E3" s="212" t="s">
        <v>38</v>
      </c>
      <c r="F3" s="213">
        <v>6100000.0</v>
      </c>
      <c r="G3" s="63" t="str">
        <f t="shared" ref="G3:G29" si="2">ifs(F3&lt;10000, "Nano", F3&lt;=100000, "Micro", F3&lt;=500000, "Mid", F3&lt;=1000000, "Macro", F3&gt;1000000, "Mega")</f>
        <v>Mega</v>
      </c>
      <c r="H3" s="154" t="s">
        <v>39</v>
      </c>
      <c r="I3" s="214"/>
      <c r="J3" s="114" t="s">
        <v>41</v>
      </c>
      <c r="K3" s="214"/>
      <c r="L3" s="214"/>
      <c r="M3" s="114">
        <v>2.5E7</v>
      </c>
      <c r="N3" s="214"/>
      <c r="O3" s="114">
        <v>3.5E7</v>
      </c>
      <c r="P3" s="214"/>
      <c r="Q3" s="114" t="s">
        <v>42</v>
      </c>
      <c r="R3" s="155">
        <v>0.5</v>
      </c>
      <c r="S3" s="114" t="s">
        <v>43</v>
      </c>
      <c r="T3" s="214"/>
      <c r="U3" s="155">
        <v>0.5</v>
      </c>
      <c r="V3" s="214"/>
      <c r="W3" s="214"/>
    </row>
    <row r="4">
      <c r="A4" s="113">
        <v>2.0</v>
      </c>
      <c r="B4" s="127" t="s">
        <v>103</v>
      </c>
      <c r="C4" s="69">
        <v>438000.0</v>
      </c>
      <c r="D4" s="80" t="str">
        <f t="shared" si="1"/>
        <v>Mid</v>
      </c>
      <c r="E4" s="79" t="s">
        <v>103</v>
      </c>
      <c r="F4" s="69">
        <v>459000.0</v>
      </c>
      <c r="G4" s="80" t="str">
        <f t="shared" si="2"/>
        <v>Mid</v>
      </c>
      <c r="H4" s="129" t="s">
        <v>66</v>
      </c>
      <c r="I4" s="114">
        <v>2500000.0</v>
      </c>
      <c r="J4" s="114">
        <v>2500000.0</v>
      </c>
      <c r="K4" s="114">
        <v>7500000.0</v>
      </c>
      <c r="L4" s="115" t="s">
        <v>52</v>
      </c>
      <c r="M4" s="114">
        <v>4000000.0</v>
      </c>
      <c r="N4" s="114">
        <v>7500000.0</v>
      </c>
      <c r="O4" s="114">
        <v>9000000.0</v>
      </c>
      <c r="P4" s="114">
        <v>2000000.0</v>
      </c>
      <c r="Q4" s="114">
        <v>8000000.0</v>
      </c>
      <c r="R4" s="114">
        <v>1.3E7</v>
      </c>
      <c r="S4" s="214"/>
      <c r="T4" s="114">
        <v>3000000.0</v>
      </c>
      <c r="U4" s="114">
        <v>1000000.0</v>
      </c>
      <c r="V4" s="114">
        <v>3000000.0</v>
      </c>
      <c r="W4" s="114">
        <v>4000000.0</v>
      </c>
    </row>
    <row r="5">
      <c r="A5" s="113">
        <v>3.0</v>
      </c>
      <c r="B5" s="127" t="s">
        <v>120</v>
      </c>
      <c r="C5" s="186">
        <v>329000.0</v>
      </c>
      <c r="D5" s="80" t="str">
        <f t="shared" si="1"/>
        <v>Mid</v>
      </c>
      <c r="E5" s="88" t="s">
        <v>121</v>
      </c>
      <c r="F5" s="69">
        <v>166700.0</v>
      </c>
      <c r="G5" s="80" t="str">
        <f t="shared" si="2"/>
        <v>Mid</v>
      </c>
      <c r="H5" s="129" t="s">
        <v>50</v>
      </c>
      <c r="I5" s="114">
        <v>500000.0</v>
      </c>
      <c r="J5" s="114">
        <v>1500000.0</v>
      </c>
      <c r="K5" s="114">
        <v>2500000.0</v>
      </c>
      <c r="L5" s="115" t="s">
        <v>52</v>
      </c>
      <c r="M5" s="114">
        <v>5000000.0</v>
      </c>
      <c r="N5" s="115" t="s">
        <v>52</v>
      </c>
      <c r="O5" s="114">
        <v>7500000.0</v>
      </c>
      <c r="P5" s="114">
        <v>2500000.0</v>
      </c>
      <c r="Q5" s="114">
        <v>1.0E7</v>
      </c>
      <c r="R5" s="114">
        <v>1.2E7</v>
      </c>
      <c r="S5" s="114" t="s">
        <v>123</v>
      </c>
      <c r="T5" s="114" t="s">
        <v>124</v>
      </c>
      <c r="U5" s="114">
        <v>2500000.0</v>
      </c>
      <c r="V5" s="115" t="s">
        <v>52</v>
      </c>
      <c r="W5" s="114">
        <v>6500000.0</v>
      </c>
    </row>
    <row r="6">
      <c r="A6" s="113">
        <v>4.0</v>
      </c>
      <c r="B6" s="171" t="s">
        <v>142</v>
      </c>
      <c r="C6" s="202">
        <v>258000.0</v>
      </c>
      <c r="D6" s="164" t="str">
        <f t="shared" si="1"/>
        <v>Mid</v>
      </c>
      <c r="E6" s="215" t="s">
        <v>143</v>
      </c>
      <c r="F6" s="204">
        <v>54400.0</v>
      </c>
      <c r="G6" s="164" t="str">
        <f t="shared" si="2"/>
        <v>Micro</v>
      </c>
      <c r="H6" s="164" t="s">
        <v>39</v>
      </c>
      <c r="I6" s="167"/>
      <c r="J6" s="168">
        <v>3000000.0</v>
      </c>
      <c r="K6" s="168">
        <v>6000000.0</v>
      </c>
      <c r="L6" s="169" t="s">
        <v>52</v>
      </c>
      <c r="M6" s="168">
        <v>4000000.0</v>
      </c>
      <c r="N6" s="168">
        <v>7000000.0</v>
      </c>
      <c r="O6" s="168">
        <v>1.0E7</v>
      </c>
      <c r="P6" s="216">
        <v>0.3</v>
      </c>
      <c r="Q6" s="168">
        <v>3000000.0</v>
      </c>
      <c r="R6" s="168">
        <v>1.2E7</v>
      </c>
      <c r="S6" s="167"/>
      <c r="T6" s="216">
        <v>0.5</v>
      </c>
      <c r="U6" s="216">
        <v>0.2</v>
      </c>
      <c r="V6" s="169" t="s">
        <v>52</v>
      </c>
      <c r="W6" s="168">
        <v>7000000.0</v>
      </c>
    </row>
    <row r="7">
      <c r="A7" s="113">
        <v>5.0</v>
      </c>
      <c r="B7" s="127" t="s">
        <v>148</v>
      </c>
      <c r="C7" s="74">
        <v>213000.0</v>
      </c>
      <c r="D7" s="80" t="str">
        <f t="shared" si="1"/>
        <v>Mid</v>
      </c>
      <c r="E7" s="82" t="s">
        <v>148</v>
      </c>
      <c r="F7" s="68">
        <v>1700000.0</v>
      </c>
      <c r="G7" s="80" t="str">
        <f t="shared" si="2"/>
        <v>Mega</v>
      </c>
      <c r="H7" s="129" t="s">
        <v>149</v>
      </c>
      <c r="I7" s="214"/>
      <c r="J7" s="114">
        <v>1000000.0</v>
      </c>
      <c r="K7" s="114">
        <v>1500000.0</v>
      </c>
      <c r="L7" s="115" t="s">
        <v>52</v>
      </c>
      <c r="M7" s="114">
        <v>2500000.0</v>
      </c>
      <c r="N7" s="114">
        <v>3000000.0</v>
      </c>
      <c r="O7" s="114">
        <v>4000000.0</v>
      </c>
      <c r="P7" s="115" t="s">
        <v>52</v>
      </c>
      <c r="Q7" s="114">
        <v>4500000.0</v>
      </c>
      <c r="R7" s="114">
        <v>5500000.0</v>
      </c>
      <c r="S7" s="214"/>
      <c r="T7" s="114">
        <v>2000000.0</v>
      </c>
      <c r="U7" s="114">
        <v>500000.0</v>
      </c>
      <c r="V7" s="114">
        <v>500000.0</v>
      </c>
      <c r="W7" s="116" t="s">
        <v>151</v>
      </c>
    </row>
    <row r="8">
      <c r="A8" s="113">
        <v>6.0</v>
      </c>
      <c r="B8" s="127" t="s">
        <v>170</v>
      </c>
      <c r="C8" s="74">
        <v>175000.0</v>
      </c>
      <c r="D8" s="80" t="str">
        <f t="shared" si="1"/>
        <v>Mid</v>
      </c>
      <c r="E8" s="79" t="s">
        <v>170</v>
      </c>
      <c r="F8" s="74">
        <v>584200.0</v>
      </c>
      <c r="G8" s="80" t="str">
        <f t="shared" si="2"/>
        <v>Macro</v>
      </c>
      <c r="H8" s="129" t="s">
        <v>46</v>
      </c>
      <c r="I8" s="114">
        <v>450000.0</v>
      </c>
      <c r="J8" s="114">
        <v>500000.0</v>
      </c>
      <c r="K8" s="114">
        <v>750000.0</v>
      </c>
      <c r="L8" s="115" t="s">
        <v>52</v>
      </c>
      <c r="M8" s="114">
        <v>2000000.0</v>
      </c>
      <c r="N8" s="114">
        <v>2500000.0</v>
      </c>
      <c r="O8" s="114">
        <v>3000000.0</v>
      </c>
      <c r="P8" s="115" t="s">
        <v>52</v>
      </c>
      <c r="Q8" s="114">
        <v>6000000.0</v>
      </c>
      <c r="R8" s="114">
        <v>7000000.0</v>
      </c>
      <c r="S8" s="114">
        <v>3000000.0</v>
      </c>
      <c r="T8" s="115" t="s">
        <v>52</v>
      </c>
      <c r="U8" s="115" t="s">
        <v>52</v>
      </c>
      <c r="V8" s="115" t="s">
        <v>52</v>
      </c>
      <c r="W8" s="114">
        <v>1000000.0</v>
      </c>
    </row>
    <row r="9">
      <c r="A9" s="113">
        <v>7.0</v>
      </c>
      <c r="B9" s="127" t="s">
        <v>187</v>
      </c>
      <c r="C9" s="69">
        <v>135000.0</v>
      </c>
      <c r="D9" s="80" t="str">
        <f t="shared" si="1"/>
        <v>Mid</v>
      </c>
      <c r="E9" s="79" t="s">
        <v>188</v>
      </c>
      <c r="F9" s="65">
        <v>1500000.0</v>
      </c>
      <c r="G9" s="80" t="str">
        <f t="shared" si="2"/>
        <v>Mega</v>
      </c>
      <c r="H9" s="129" t="s">
        <v>58</v>
      </c>
      <c r="I9" s="214"/>
      <c r="J9" s="114">
        <v>2000000.0</v>
      </c>
      <c r="K9" s="114">
        <v>2000000.0</v>
      </c>
      <c r="L9" s="114">
        <v>500000.0</v>
      </c>
      <c r="M9" s="114">
        <v>3000000.0</v>
      </c>
      <c r="N9" s="114">
        <v>3000000.0</v>
      </c>
      <c r="O9" s="114">
        <v>5000000.0</v>
      </c>
      <c r="P9" s="115" t="s">
        <v>52</v>
      </c>
      <c r="Q9" s="114">
        <v>8000000.0</v>
      </c>
      <c r="R9" s="114">
        <v>9000000.0</v>
      </c>
      <c r="S9" s="214"/>
      <c r="T9" s="115" t="s">
        <v>52</v>
      </c>
      <c r="U9" s="115" t="s">
        <v>52</v>
      </c>
      <c r="V9" s="115" t="s">
        <v>52</v>
      </c>
      <c r="W9" s="214"/>
    </row>
    <row r="10">
      <c r="A10" s="113">
        <v>9.0</v>
      </c>
      <c r="B10" s="79" t="s">
        <v>223</v>
      </c>
      <c r="C10" s="69">
        <v>66000.0</v>
      </c>
      <c r="D10" s="80" t="str">
        <f t="shared" si="1"/>
        <v>Micro</v>
      </c>
      <c r="E10" s="79" t="s">
        <v>223</v>
      </c>
      <c r="F10" s="75">
        <v>2200000.0</v>
      </c>
      <c r="G10" s="80" t="str">
        <f t="shared" si="2"/>
        <v>Mega</v>
      </c>
      <c r="H10" s="129" t="s">
        <v>39</v>
      </c>
      <c r="I10" s="214"/>
      <c r="J10" s="114">
        <v>500000.0</v>
      </c>
      <c r="K10" s="114">
        <v>1500000.0</v>
      </c>
      <c r="L10" s="115" t="s">
        <v>52</v>
      </c>
      <c r="M10" s="114">
        <v>2500000.0</v>
      </c>
      <c r="N10" s="114">
        <v>3000000.0</v>
      </c>
      <c r="O10" s="114">
        <v>4000000.0</v>
      </c>
      <c r="P10" s="115" t="s">
        <v>52</v>
      </c>
      <c r="Q10" s="114" t="s">
        <v>224</v>
      </c>
      <c r="R10" s="114">
        <v>1.2E7</v>
      </c>
      <c r="S10" s="114" t="s">
        <v>225</v>
      </c>
      <c r="T10" s="114">
        <v>4000000.0</v>
      </c>
      <c r="U10" s="114">
        <v>1000000.0</v>
      </c>
      <c r="V10" s="114">
        <v>500000.0</v>
      </c>
      <c r="W10" s="114" t="s">
        <v>226</v>
      </c>
    </row>
    <row r="11">
      <c r="A11" s="113">
        <v>10.0</v>
      </c>
      <c r="B11" s="79" t="s">
        <v>242</v>
      </c>
      <c r="C11" s="69">
        <v>32000.0</v>
      </c>
      <c r="D11" s="80" t="str">
        <f t="shared" si="1"/>
        <v>Micro</v>
      </c>
      <c r="E11" s="79" t="s">
        <v>243</v>
      </c>
      <c r="F11" s="217">
        <v>361500.0</v>
      </c>
      <c r="G11" s="80" t="str">
        <f t="shared" si="2"/>
        <v>Mid</v>
      </c>
      <c r="H11" s="80" t="s">
        <v>39</v>
      </c>
      <c r="I11" s="114">
        <v>200000.0</v>
      </c>
      <c r="J11" s="66">
        <v>200000.0</v>
      </c>
      <c r="K11" s="66">
        <v>700000.0</v>
      </c>
      <c r="L11" s="115" t="s">
        <v>52</v>
      </c>
      <c r="M11" s="66">
        <v>350000.0</v>
      </c>
      <c r="N11" s="66">
        <v>400000.0</v>
      </c>
      <c r="O11" s="66">
        <v>1000000.0</v>
      </c>
      <c r="P11" s="115" t="s">
        <v>52</v>
      </c>
      <c r="Q11" s="66">
        <v>2500000.0</v>
      </c>
      <c r="R11" s="66">
        <v>3000000.0</v>
      </c>
      <c r="S11" s="66">
        <v>500000.0</v>
      </c>
      <c r="T11" s="114">
        <v>500000.0</v>
      </c>
      <c r="U11" s="115" t="s">
        <v>245</v>
      </c>
      <c r="V11" s="115" t="s">
        <v>52</v>
      </c>
      <c r="W11" s="66">
        <v>1000000.0</v>
      </c>
    </row>
    <row r="12">
      <c r="A12" s="170">
        <v>11.0</v>
      </c>
      <c r="B12" s="131" t="s">
        <v>282</v>
      </c>
      <c r="C12" s="132">
        <v>30900.0</v>
      </c>
      <c r="D12" s="133" t="str">
        <f t="shared" si="1"/>
        <v>Micro</v>
      </c>
      <c r="E12" s="131" t="s">
        <v>282</v>
      </c>
      <c r="F12" s="132">
        <v>47800.0</v>
      </c>
      <c r="G12" s="133" t="str">
        <f t="shared" si="2"/>
        <v>Micro</v>
      </c>
      <c r="H12" s="133" t="s">
        <v>39</v>
      </c>
      <c r="I12" s="135"/>
      <c r="J12" s="122">
        <v>1000000.0</v>
      </c>
      <c r="K12" s="122">
        <v>1000000.0</v>
      </c>
      <c r="L12" s="218" t="s">
        <v>62</v>
      </c>
      <c r="M12" s="122">
        <v>1500000.0</v>
      </c>
      <c r="N12" s="122">
        <v>1500000.0</v>
      </c>
      <c r="O12" s="122">
        <v>1500000.0</v>
      </c>
      <c r="P12" s="122" t="s">
        <v>62</v>
      </c>
      <c r="Q12" s="122">
        <v>1.5E7</v>
      </c>
      <c r="R12" s="122">
        <v>1.5E7</v>
      </c>
      <c r="S12" s="122">
        <v>1500000.0</v>
      </c>
      <c r="T12" s="122">
        <v>500000.0</v>
      </c>
      <c r="U12" s="122" t="s">
        <v>62</v>
      </c>
      <c r="V12" s="122" t="s">
        <v>62</v>
      </c>
      <c r="W12" s="122">
        <v>500000.0</v>
      </c>
    </row>
    <row r="13">
      <c r="A13" s="170">
        <v>12.0</v>
      </c>
      <c r="B13" s="137" t="s">
        <v>341</v>
      </c>
      <c r="C13" s="191">
        <v>1000000.0</v>
      </c>
      <c r="D13" s="133" t="str">
        <f t="shared" si="1"/>
        <v>Macro</v>
      </c>
      <c r="E13" s="131" t="s">
        <v>342</v>
      </c>
      <c r="F13" s="132">
        <v>145000.0</v>
      </c>
      <c r="G13" s="133" t="str">
        <f t="shared" si="2"/>
        <v>Mid</v>
      </c>
      <c r="H13" s="138" t="s">
        <v>39</v>
      </c>
      <c r="I13" s="139"/>
      <c r="J13" s="119">
        <v>4000000.0</v>
      </c>
      <c r="K13" s="139"/>
      <c r="L13" s="139"/>
      <c r="M13" s="119">
        <v>3.0E7</v>
      </c>
      <c r="N13" s="139"/>
      <c r="O13" s="119">
        <v>4.0E7</v>
      </c>
      <c r="P13" s="119">
        <v>5000000.0</v>
      </c>
      <c r="Q13" s="139"/>
      <c r="R13" s="139"/>
      <c r="S13" s="139"/>
      <c r="T13" s="139"/>
      <c r="U13" s="139"/>
      <c r="V13" s="121" t="s">
        <v>52</v>
      </c>
      <c r="W13" s="139"/>
    </row>
    <row r="14">
      <c r="A14" s="170">
        <v>13.0</v>
      </c>
      <c r="B14" s="219" t="s">
        <v>363</v>
      </c>
      <c r="C14" s="132">
        <v>238000.0</v>
      </c>
      <c r="D14" s="122" t="str">
        <f t="shared" si="1"/>
        <v>Mid</v>
      </c>
      <c r="E14" s="140" t="s">
        <v>364</v>
      </c>
      <c r="F14" s="192">
        <v>2700000.0</v>
      </c>
      <c r="G14" s="122" t="str">
        <f t="shared" si="2"/>
        <v>Mega</v>
      </c>
      <c r="H14" s="119" t="s">
        <v>39</v>
      </c>
      <c r="I14" s="139"/>
      <c r="J14" s="119">
        <v>5000000.0</v>
      </c>
      <c r="K14" s="119">
        <v>1.3E7</v>
      </c>
      <c r="L14" s="119" t="s">
        <v>366</v>
      </c>
      <c r="M14" s="119">
        <v>9000000.0</v>
      </c>
      <c r="N14" s="195">
        <v>2.5E7</v>
      </c>
      <c r="O14" s="119">
        <v>1.7E7</v>
      </c>
      <c r="P14" s="220">
        <v>0.5</v>
      </c>
      <c r="Q14" s="119">
        <v>3.0E7</v>
      </c>
      <c r="R14" s="195">
        <v>2.5E7</v>
      </c>
      <c r="S14" s="195">
        <v>3.5E7</v>
      </c>
      <c r="T14" s="126">
        <v>1.0</v>
      </c>
      <c r="U14" s="126">
        <v>0.3</v>
      </c>
      <c r="V14" s="126">
        <v>0.3</v>
      </c>
      <c r="W14" s="119">
        <v>1.5E7</v>
      </c>
    </row>
    <row r="15">
      <c r="A15" s="170">
        <v>14.0</v>
      </c>
      <c r="B15" s="221" t="s">
        <v>397</v>
      </c>
      <c r="C15" s="132">
        <v>22100.0</v>
      </c>
      <c r="D15" s="133" t="str">
        <f t="shared" si="1"/>
        <v>Micro</v>
      </c>
      <c r="E15" s="131" t="s">
        <v>397</v>
      </c>
      <c r="F15" s="132">
        <v>824500.0</v>
      </c>
      <c r="G15" s="133" t="str">
        <f t="shared" si="2"/>
        <v>Macro</v>
      </c>
      <c r="H15" s="133" t="s">
        <v>321</v>
      </c>
      <c r="I15" s="135"/>
      <c r="J15" s="122">
        <v>1000000.0</v>
      </c>
      <c r="K15" s="135"/>
      <c r="L15" s="135"/>
      <c r="M15" s="122">
        <v>1750000.0</v>
      </c>
      <c r="N15" s="135"/>
      <c r="O15" s="122">
        <v>4750000.0</v>
      </c>
      <c r="P15" s="135"/>
      <c r="Q15" s="122">
        <v>9750000.0</v>
      </c>
      <c r="R15" s="122">
        <v>1.025E7</v>
      </c>
      <c r="S15" s="135"/>
      <c r="T15" s="196">
        <v>0.5</v>
      </c>
      <c r="U15" s="122">
        <v>500000.0</v>
      </c>
      <c r="V15" s="135"/>
      <c r="W15" s="135"/>
    </row>
    <row r="16">
      <c r="A16" s="170">
        <v>15.0</v>
      </c>
      <c r="B16" s="131" t="s">
        <v>409</v>
      </c>
      <c r="C16" s="132">
        <v>374000.0</v>
      </c>
      <c r="D16" s="133" t="str">
        <f t="shared" si="1"/>
        <v>Mid</v>
      </c>
      <c r="E16" s="131" t="s">
        <v>410</v>
      </c>
      <c r="F16" s="134">
        <v>1900000.0</v>
      </c>
      <c r="G16" s="133" t="str">
        <f t="shared" si="2"/>
        <v>Mega</v>
      </c>
      <c r="H16" s="133" t="s">
        <v>321</v>
      </c>
      <c r="I16" s="122">
        <v>2000000.0</v>
      </c>
      <c r="J16" s="122">
        <v>3500000.0</v>
      </c>
      <c r="K16" s="122">
        <v>1.0E7</v>
      </c>
      <c r="L16" s="198" t="s">
        <v>52</v>
      </c>
      <c r="M16" s="122">
        <v>1.5E7</v>
      </c>
      <c r="N16" s="122">
        <v>1.6E7</v>
      </c>
      <c r="O16" s="122">
        <v>1.7E7</v>
      </c>
      <c r="P16" s="198" t="s">
        <v>52</v>
      </c>
      <c r="Q16" s="122">
        <v>2.8E7</v>
      </c>
      <c r="R16" s="122">
        <v>4.5E7</v>
      </c>
      <c r="S16" s="122">
        <v>1.8E7</v>
      </c>
      <c r="T16" s="143">
        <v>1.0</v>
      </c>
      <c r="U16" s="143">
        <v>0.3</v>
      </c>
      <c r="V16" s="143">
        <v>0.3</v>
      </c>
      <c r="W16" s="143">
        <v>0.3</v>
      </c>
    </row>
    <row r="17">
      <c r="A17" s="170">
        <v>16.0</v>
      </c>
      <c r="B17" s="137" t="s">
        <v>364</v>
      </c>
      <c r="C17" s="132">
        <v>770000.0</v>
      </c>
      <c r="D17" s="133" t="str">
        <f t="shared" si="1"/>
        <v>Macro</v>
      </c>
      <c r="E17" s="131" t="s">
        <v>364</v>
      </c>
      <c r="F17" s="192">
        <v>2700000.0</v>
      </c>
      <c r="G17" s="133" t="str">
        <f t="shared" si="2"/>
        <v>Mega</v>
      </c>
      <c r="H17" s="138" t="s">
        <v>39</v>
      </c>
      <c r="I17" s="139"/>
      <c r="J17" s="119">
        <v>9000000.0</v>
      </c>
      <c r="K17" s="195">
        <v>2.5E7</v>
      </c>
      <c r="L17" s="119" t="s">
        <v>421</v>
      </c>
      <c r="M17" s="195">
        <v>1.5E7</v>
      </c>
      <c r="N17" s="195">
        <v>3.5E7</v>
      </c>
      <c r="O17" s="119">
        <v>2.5E7</v>
      </c>
      <c r="P17" s="220">
        <v>0.5</v>
      </c>
      <c r="Q17" s="119">
        <v>3.0E7</v>
      </c>
      <c r="R17" s="195">
        <v>2.5E7</v>
      </c>
      <c r="S17" s="195">
        <v>3.5E7</v>
      </c>
      <c r="T17" s="126">
        <v>1.0</v>
      </c>
      <c r="U17" s="126">
        <v>0.3</v>
      </c>
      <c r="V17" s="126">
        <v>0.3</v>
      </c>
      <c r="W17" s="119">
        <v>1.5E7</v>
      </c>
    </row>
    <row r="18">
      <c r="A18" s="170">
        <v>17.0</v>
      </c>
      <c r="B18" s="131" t="s">
        <v>434</v>
      </c>
      <c r="C18" s="134">
        <v>1900000.0</v>
      </c>
      <c r="D18" s="133" t="str">
        <f t="shared" ref="D18:D27" si="3">ifs(C18&lt;10000, "Nano", C18&lt;=50000, "Micro", C18&lt;=500000, "Mid", C18&lt;=1000000, "Macro", C18&gt;1000000, "Mega")</f>
        <v>Mega</v>
      </c>
      <c r="E18" s="140" t="s">
        <v>435</v>
      </c>
      <c r="F18" s="134">
        <v>3300000.0</v>
      </c>
      <c r="G18" s="133" t="str">
        <f t="shared" si="2"/>
        <v>Mega</v>
      </c>
      <c r="H18" s="133" t="s">
        <v>39</v>
      </c>
      <c r="I18" s="141"/>
      <c r="J18" s="141"/>
      <c r="K18" s="122">
        <v>8000000.0</v>
      </c>
      <c r="L18" s="141"/>
      <c r="M18" s="141"/>
      <c r="N18" s="122">
        <v>1.2E7</v>
      </c>
      <c r="O18" s="122">
        <v>1.5E7</v>
      </c>
      <c r="P18" s="142"/>
      <c r="Q18" s="122">
        <v>1.7E7</v>
      </c>
      <c r="R18" s="122">
        <v>2.6E7</v>
      </c>
      <c r="S18" s="141"/>
      <c r="T18" s="122">
        <v>1.0E7</v>
      </c>
      <c r="U18" s="122">
        <v>1000000.0</v>
      </c>
      <c r="V18" s="141"/>
      <c r="W18" s="122">
        <v>4000000.0</v>
      </c>
    </row>
    <row r="19">
      <c r="A19" s="170">
        <v>18.0</v>
      </c>
      <c r="B19" s="131" t="s">
        <v>462</v>
      </c>
      <c r="C19" s="132">
        <v>986000.0</v>
      </c>
      <c r="D19" s="133" t="str">
        <f t="shared" si="3"/>
        <v>Macro</v>
      </c>
      <c r="E19" s="140" t="s">
        <v>463</v>
      </c>
      <c r="F19" s="134">
        <v>7200000.0</v>
      </c>
      <c r="G19" s="133" t="str">
        <f t="shared" si="2"/>
        <v>Mega</v>
      </c>
      <c r="H19" s="222"/>
      <c r="I19" s="141"/>
      <c r="J19" s="122">
        <v>1.0E7</v>
      </c>
      <c r="K19" s="122">
        <v>2.5E7</v>
      </c>
      <c r="L19" s="122">
        <v>1000000.0</v>
      </c>
      <c r="M19" s="122">
        <v>3.0E7</v>
      </c>
      <c r="N19" s="141"/>
      <c r="O19" s="122">
        <v>3.5E7</v>
      </c>
      <c r="P19" s="142"/>
      <c r="Q19" s="122">
        <v>4.2E7</v>
      </c>
      <c r="R19" s="122">
        <v>6.5E7</v>
      </c>
      <c r="S19" s="122">
        <v>2.5E7</v>
      </c>
      <c r="T19" s="196">
        <v>0.5</v>
      </c>
      <c r="U19" s="142"/>
      <c r="V19" s="141"/>
      <c r="W19" s="122">
        <v>2.0E7</v>
      </c>
    </row>
    <row r="20">
      <c r="A20" s="170">
        <v>19.0</v>
      </c>
      <c r="B20" s="131" t="s">
        <v>464</v>
      </c>
      <c r="C20" s="132">
        <v>384000.0</v>
      </c>
      <c r="D20" s="133" t="str">
        <f t="shared" si="3"/>
        <v>Mid</v>
      </c>
      <c r="E20" s="140" t="s">
        <v>464</v>
      </c>
      <c r="F20" s="134">
        <v>3300000.0</v>
      </c>
      <c r="G20" s="133" t="str">
        <f t="shared" si="2"/>
        <v>Mega</v>
      </c>
      <c r="H20" s="222"/>
      <c r="I20" s="141"/>
      <c r="J20" s="122">
        <v>7000000.0</v>
      </c>
      <c r="K20" s="122">
        <v>1.7E7</v>
      </c>
      <c r="L20" s="122">
        <v>4000000.0</v>
      </c>
      <c r="M20" s="122">
        <v>1.7E7</v>
      </c>
      <c r="N20" s="141"/>
      <c r="O20" s="122">
        <v>4.3E7</v>
      </c>
      <c r="P20" s="142"/>
      <c r="Q20" s="122">
        <v>2.7E7</v>
      </c>
      <c r="R20" s="122">
        <v>4.3E7</v>
      </c>
      <c r="S20" s="122">
        <v>2.0E7</v>
      </c>
      <c r="T20" s="196">
        <v>0.5</v>
      </c>
      <c r="U20" s="142"/>
      <c r="V20" s="141"/>
      <c r="W20" s="122">
        <v>1.5E7</v>
      </c>
    </row>
    <row r="21">
      <c r="A21" s="170">
        <v>20.0</v>
      </c>
      <c r="B21" s="131" t="s">
        <v>465</v>
      </c>
      <c r="C21" s="132">
        <v>703000.0</v>
      </c>
      <c r="D21" s="133" t="str">
        <f t="shared" si="3"/>
        <v>Macro</v>
      </c>
      <c r="E21" s="140" t="s">
        <v>466</v>
      </c>
      <c r="F21" s="134">
        <v>2300000.0</v>
      </c>
      <c r="G21" s="133" t="str">
        <f t="shared" si="2"/>
        <v>Mega</v>
      </c>
      <c r="H21" s="222"/>
      <c r="I21" s="141"/>
      <c r="J21" s="122">
        <v>7000000.0</v>
      </c>
      <c r="K21" s="122">
        <v>1.7E7</v>
      </c>
      <c r="L21" s="122">
        <v>1000000.0</v>
      </c>
      <c r="M21" s="122">
        <v>1.9E7</v>
      </c>
      <c r="N21" s="141"/>
      <c r="O21" s="122">
        <v>2.2E7</v>
      </c>
      <c r="P21" s="142"/>
      <c r="Q21" s="122">
        <v>2.7E7</v>
      </c>
      <c r="R21" s="122">
        <v>4.3E7</v>
      </c>
      <c r="S21" s="122">
        <v>2.0E7</v>
      </c>
      <c r="T21" s="196">
        <v>0.5</v>
      </c>
      <c r="U21" s="142"/>
      <c r="V21" s="141"/>
      <c r="W21" s="122">
        <v>1.6E7</v>
      </c>
    </row>
    <row r="22">
      <c r="A22" s="170">
        <v>21.0</v>
      </c>
      <c r="B22" s="131" t="s">
        <v>468</v>
      </c>
      <c r="C22" s="132">
        <v>337000.0</v>
      </c>
      <c r="D22" s="133" t="str">
        <f t="shared" si="3"/>
        <v>Mid</v>
      </c>
      <c r="E22" s="140" t="s">
        <v>468</v>
      </c>
      <c r="F22" s="134">
        <v>4800000.0</v>
      </c>
      <c r="G22" s="133" t="str">
        <f t="shared" si="2"/>
        <v>Mega</v>
      </c>
      <c r="H22" s="222"/>
      <c r="I22" s="141"/>
      <c r="J22" s="122">
        <v>6000000.0</v>
      </c>
      <c r="K22" s="122">
        <v>1.5E7</v>
      </c>
      <c r="L22" s="122">
        <v>1000000.0</v>
      </c>
      <c r="M22" s="122">
        <v>8000000.0</v>
      </c>
      <c r="N22" s="122">
        <v>1.0E7</v>
      </c>
      <c r="O22" s="122">
        <v>2.0E7</v>
      </c>
      <c r="P22" s="142"/>
      <c r="Q22" s="122">
        <v>2.5E7</v>
      </c>
      <c r="R22" s="122">
        <v>4.0E7</v>
      </c>
      <c r="S22" s="122">
        <v>2.0E7</v>
      </c>
      <c r="T22" s="196">
        <v>0.5</v>
      </c>
      <c r="U22" s="142"/>
      <c r="V22" s="141"/>
      <c r="W22" s="122">
        <v>1.5E7</v>
      </c>
    </row>
    <row r="23">
      <c r="A23" s="170">
        <v>22.0</v>
      </c>
      <c r="B23" s="131" t="s">
        <v>469</v>
      </c>
      <c r="C23" s="132">
        <v>101000.0</v>
      </c>
      <c r="D23" s="133" t="str">
        <f t="shared" si="3"/>
        <v>Mid</v>
      </c>
      <c r="E23" s="140" t="s">
        <v>470</v>
      </c>
      <c r="F23" s="134">
        <v>2100000.0</v>
      </c>
      <c r="G23" s="133" t="str">
        <f t="shared" si="2"/>
        <v>Mega</v>
      </c>
      <c r="H23" s="222"/>
      <c r="I23" s="141"/>
      <c r="J23" s="122">
        <v>5000000.0</v>
      </c>
      <c r="K23" s="122">
        <v>1.2E7</v>
      </c>
      <c r="L23" s="122">
        <v>1000000.0</v>
      </c>
      <c r="M23" s="122">
        <v>1.3E7</v>
      </c>
      <c r="N23" s="141"/>
      <c r="O23" s="122">
        <v>1.8E7</v>
      </c>
      <c r="P23" s="142"/>
      <c r="Q23" s="122">
        <v>2.5E7</v>
      </c>
      <c r="R23" s="122">
        <v>3.0E7</v>
      </c>
      <c r="S23" s="122">
        <v>1.5E7</v>
      </c>
      <c r="T23" s="196">
        <v>0.5</v>
      </c>
      <c r="U23" s="142"/>
      <c r="V23" s="141"/>
      <c r="W23" s="122">
        <v>2.0E7</v>
      </c>
    </row>
    <row r="24">
      <c r="A24" s="170">
        <v>23.0</v>
      </c>
      <c r="B24" s="131" t="s">
        <v>471</v>
      </c>
      <c r="C24" s="134">
        <v>1200000.0</v>
      </c>
      <c r="D24" s="133" t="str">
        <f t="shared" si="3"/>
        <v>Mega</v>
      </c>
      <c r="E24" s="140" t="s">
        <v>471</v>
      </c>
      <c r="F24" s="134">
        <v>8000000.0</v>
      </c>
      <c r="G24" s="133" t="str">
        <f t="shared" si="2"/>
        <v>Mega</v>
      </c>
      <c r="H24" s="222"/>
      <c r="I24" s="141"/>
      <c r="J24" s="122">
        <v>6000000.0</v>
      </c>
      <c r="K24" s="122">
        <v>1.5E7</v>
      </c>
      <c r="L24" s="122">
        <v>1000000.0</v>
      </c>
      <c r="M24" s="122">
        <v>2.2E7</v>
      </c>
      <c r="N24" s="141"/>
      <c r="O24" s="122">
        <v>2.5E7</v>
      </c>
      <c r="P24" s="142"/>
      <c r="Q24" s="122">
        <v>3.0E7</v>
      </c>
      <c r="R24" s="122">
        <v>5.0E7</v>
      </c>
      <c r="S24" s="122">
        <v>2.0E7</v>
      </c>
      <c r="T24" s="196">
        <v>0.5</v>
      </c>
      <c r="U24" s="142"/>
      <c r="V24" s="141"/>
      <c r="W24" s="122">
        <v>1.5E7</v>
      </c>
    </row>
    <row r="25">
      <c r="A25" s="170">
        <v>24.0</v>
      </c>
      <c r="B25" s="131" t="s">
        <v>472</v>
      </c>
      <c r="C25" s="132">
        <v>712000.0</v>
      </c>
      <c r="D25" s="133" t="str">
        <f t="shared" si="3"/>
        <v>Macro</v>
      </c>
      <c r="E25" s="140" t="s">
        <v>473</v>
      </c>
      <c r="F25" s="132">
        <v>815000.0</v>
      </c>
      <c r="G25" s="133" t="str">
        <f t="shared" si="2"/>
        <v>Macro</v>
      </c>
      <c r="H25" s="222"/>
      <c r="I25" s="141"/>
      <c r="J25" s="122">
        <v>5000000.0</v>
      </c>
      <c r="K25" s="122">
        <v>1.1E7</v>
      </c>
      <c r="L25" s="122">
        <v>1000000.0</v>
      </c>
      <c r="M25" s="122">
        <v>9000000.0</v>
      </c>
      <c r="N25" s="141"/>
      <c r="O25" s="122">
        <v>1.6E7</v>
      </c>
      <c r="P25" s="142"/>
      <c r="Q25" s="122">
        <v>1.0E7</v>
      </c>
      <c r="R25" s="122">
        <v>2.3E7</v>
      </c>
      <c r="S25" s="122">
        <v>1.5E7</v>
      </c>
      <c r="T25" s="196">
        <v>0.5</v>
      </c>
      <c r="U25" s="142"/>
      <c r="V25" s="141"/>
      <c r="W25" s="122">
        <v>6000000.0</v>
      </c>
    </row>
    <row r="26">
      <c r="A26" s="170">
        <v>25.0</v>
      </c>
      <c r="B26" s="131" t="s">
        <v>481</v>
      </c>
      <c r="C26" s="132">
        <v>253000.0</v>
      </c>
      <c r="D26" s="133" t="str">
        <f t="shared" si="3"/>
        <v>Mid</v>
      </c>
      <c r="E26" s="140" t="s">
        <v>482</v>
      </c>
      <c r="F26" s="134">
        <v>7800000.0</v>
      </c>
      <c r="G26" s="133" t="str">
        <f t="shared" si="2"/>
        <v>Mega</v>
      </c>
      <c r="H26" s="133" t="s">
        <v>39</v>
      </c>
      <c r="I26" s="141"/>
      <c r="J26" s="141"/>
      <c r="K26" s="122">
        <v>1.0E7</v>
      </c>
      <c r="L26" s="198" t="s">
        <v>52</v>
      </c>
      <c r="M26" s="122">
        <v>1.4E7</v>
      </c>
      <c r="N26" s="141"/>
      <c r="O26" s="122">
        <v>1.7E7</v>
      </c>
      <c r="P26" s="142"/>
      <c r="Q26" s="122">
        <v>3.35E7</v>
      </c>
      <c r="R26" s="141"/>
      <c r="S26" s="141"/>
      <c r="T26" s="122">
        <v>4.75E7</v>
      </c>
      <c r="U26" s="122">
        <v>1.5E7</v>
      </c>
      <c r="V26" s="141"/>
      <c r="W26" s="122">
        <v>7500000.0</v>
      </c>
    </row>
    <row r="27">
      <c r="A27" s="170">
        <v>26.0</v>
      </c>
      <c r="B27" s="131" t="s">
        <v>511</v>
      </c>
      <c r="C27" s="134">
        <v>4000000.0</v>
      </c>
      <c r="D27" s="133" t="str">
        <f t="shared" si="3"/>
        <v>Mega</v>
      </c>
      <c r="E27" s="140" t="s">
        <v>511</v>
      </c>
      <c r="F27" s="134">
        <v>6000000.0</v>
      </c>
      <c r="G27" s="133" t="str">
        <f t="shared" si="2"/>
        <v>Mega</v>
      </c>
      <c r="H27" s="133" t="s">
        <v>39</v>
      </c>
      <c r="I27" s="141"/>
      <c r="J27" s="122">
        <v>3750000.0</v>
      </c>
      <c r="K27" s="141"/>
      <c r="L27" s="141"/>
      <c r="M27" s="122">
        <v>5500000.0</v>
      </c>
      <c r="N27" s="141"/>
      <c r="O27" s="122">
        <v>6500000.0</v>
      </c>
      <c r="P27" s="142"/>
      <c r="Q27" s="122">
        <v>7500000.0</v>
      </c>
      <c r="R27" s="141"/>
      <c r="S27" s="141"/>
      <c r="T27" s="141"/>
      <c r="U27" s="141"/>
      <c r="V27" s="141"/>
      <c r="W27" s="141"/>
    </row>
    <row r="28">
      <c r="A28" s="170">
        <v>27.0</v>
      </c>
      <c r="B28" s="199" t="s">
        <v>523</v>
      </c>
      <c r="C28" s="202">
        <v>104000.0</v>
      </c>
      <c r="D28" s="200" t="str">
        <f t="shared" ref="D28:D29" si="4">ifs(C28&lt;10000, "Nano", C28&lt;=100000, "Micro", C28&lt;=500000, "Mid", C28&lt;=1000000, "Macro", C28&gt;1000000, "Mega")</f>
        <v>Mid</v>
      </c>
      <c r="E28" s="201" t="s">
        <v>524</v>
      </c>
      <c r="F28" s="202">
        <v>41300.0</v>
      </c>
      <c r="G28" s="200" t="str">
        <f t="shared" si="2"/>
        <v>Micro</v>
      </c>
      <c r="H28" s="133" t="s">
        <v>83</v>
      </c>
      <c r="I28" s="141"/>
      <c r="J28" s="122">
        <v>2500000.0</v>
      </c>
      <c r="K28" s="122">
        <v>5000000.0</v>
      </c>
      <c r="L28" s="198" t="s">
        <v>52</v>
      </c>
      <c r="M28" s="122">
        <v>3500000.0</v>
      </c>
      <c r="N28" s="141"/>
      <c r="O28" s="122">
        <v>7500000.0</v>
      </c>
      <c r="P28" s="141"/>
      <c r="Q28" s="141"/>
      <c r="R28" s="141"/>
      <c r="S28" s="141"/>
      <c r="T28" s="141"/>
      <c r="U28" s="141"/>
      <c r="V28" s="141"/>
      <c r="W28" s="141"/>
    </row>
    <row r="29">
      <c r="A29" s="170">
        <v>28.0</v>
      </c>
      <c r="B29" s="199" t="s">
        <v>527</v>
      </c>
      <c r="C29" s="172">
        <v>1.39E7</v>
      </c>
      <c r="D29" s="200" t="str">
        <f t="shared" si="4"/>
        <v>Mega</v>
      </c>
      <c r="E29" s="201" t="s">
        <v>527</v>
      </c>
      <c r="F29" s="172">
        <v>1.63E7</v>
      </c>
      <c r="G29" s="200" t="str">
        <f t="shared" si="2"/>
        <v>Mega</v>
      </c>
      <c r="H29" s="133" t="s">
        <v>83</v>
      </c>
      <c r="I29" s="223"/>
      <c r="J29" s="122">
        <v>3.0E7</v>
      </c>
      <c r="K29" s="122">
        <v>1.0E8</v>
      </c>
      <c r="L29" s="198" t="s">
        <v>52</v>
      </c>
      <c r="M29" s="122">
        <v>7.0E7</v>
      </c>
      <c r="N29" s="122">
        <v>1.0E8</v>
      </c>
      <c r="O29" s="122">
        <v>1.1E8</v>
      </c>
      <c r="P29" s="141"/>
      <c r="Q29" s="122">
        <v>1.1E8</v>
      </c>
      <c r="R29" s="122">
        <v>1.95E8</v>
      </c>
      <c r="S29" s="141"/>
      <c r="T29" s="141"/>
      <c r="U29" s="141"/>
      <c r="V29" s="141"/>
      <c r="W29" s="141"/>
    </row>
  </sheetData>
  <mergeCells count="4">
    <mergeCell ref="A1:A2"/>
    <mergeCell ref="B1:H1"/>
    <mergeCell ref="J1:P1"/>
    <mergeCell ref="Q1:W1"/>
  </mergeCells>
  <conditionalFormatting sqref="I16:W29">
    <cfRule type="containsBlanks" dxfId="1" priority="1">
      <formula>LEN(TRIM(I16))=0</formula>
    </cfRule>
  </conditionalFormatting>
  <conditionalFormatting sqref="A16 A18 A21 A25 A27 A29">
    <cfRule type="containsBlanks" dxfId="0" priority="2">
      <formula>LEN(TRIM(A16))=0</formula>
    </cfRule>
  </conditionalFormatting>
  <conditionalFormatting sqref="A3:W3 A5:A7 A9:A10 A12:A15 A17:A23 A25:A29">
    <cfRule type="containsBlanks" dxfId="0" priority="3">
      <formula>LEN(TRIM(A3))=0</formula>
    </cfRule>
  </conditionalFormatting>
  <dataValidations>
    <dataValidation type="list" allowBlank="1" showErrorMessage="1" sqref="D3:D29 G3:G29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B13"/>
    <hyperlink r:id="rId22" ref="E13"/>
    <hyperlink r:id="rId23" ref="B14"/>
    <hyperlink r:id="rId24" ref="E14"/>
    <hyperlink r:id="rId25" ref="B15"/>
    <hyperlink r:id="rId26" ref="E15"/>
    <hyperlink r:id="rId27" ref="B16"/>
    <hyperlink r:id="rId28" ref="E16"/>
    <hyperlink r:id="rId29" ref="B17"/>
    <hyperlink r:id="rId30" ref="E17"/>
    <hyperlink r:id="rId31" ref="B18"/>
    <hyperlink r:id="rId32" ref="E18"/>
    <hyperlink r:id="rId33" ref="B19"/>
    <hyperlink r:id="rId34" ref="E19"/>
    <hyperlink r:id="rId35" ref="B20"/>
    <hyperlink r:id="rId36" ref="E20"/>
    <hyperlink r:id="rId37" ref="B21"/>
    <hyperlink r:id="rId38" ref="E21"/>
    <hyperlink r:id="rId39" ref="B22"/>
    <hyperlink r:id="rId40" ref="E22"/>
    <hyperlink r:id="rId41" ref="B23"/>
    <hyperlink r:id="rId42" ref="E23"/>
    <hyperlink r:id="rId43" ref="B24"/>
    <hyperlink r:id="rId44" ref="E24"/>
    <hyperlink r:id="rId45" ref="B25"/>
    <hyperlink r:id="rId46" ref="E25"/>
    <hyperlink r:id="rId47" ref="B26"/>
    <hyperlink r:id="rId48" ref="E26"/>
    <hyperlink r:id="rId49" ref="B27"/>
    <hyperlink r:id="rId50" ref="E27"/>
    <hyperlink r:id="rId51" ref="B28"/>
    <hyperlink r:id="rId52" ref="E28"/>
    <hyperlink r:id="rId53" ref="B29"/>
    <hyperlink r:id="rId54" ref="E29"/>
  </hyperlinks>
  <drawing r:id="rId5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</cols>
  <sheetData>
    <row r="1">
      <c r="A1" s="22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170">
        <v>1.0</v>
      </c>
      <c r="B3" s="137" t="s">
        <v>371</v>
      </c>
      <c r="C3" s="191">
        <v>1300000.0</v>
      </c>
      <c r="D3" s="133" t="str">
        <f t="shared" ref="D3:D15" si="1">ifs(C3&lt;10000, "Nano", C3&lt;=100000, "Micro", C3&lt;=500000, "Mid", C3&lt;=1000000, "Macro", C3&gt;1000000, "Mega")</f>
        <v>Mega</v>
      </c>
      <c r="E3" s="177" t="s">
        <v>371</v>
      </c>
      <c r="F3" s="192">
        <v>3300000.0</v>
      </c>
      <c r="G3" s="133" t="str">
        <f t="shared" ref="G3:G15" si="2">ifs(F3&lt;10000, "Nano", F3&lt;=100000, "Micro", F3&lt;=500000, "Mid", F3&lt;=1000000, "Macro", F3&gt;1000000, "Mega")</f>
        <v>Mega</v>
      </c>
      <c r="H3" s="138" t="s">
        <v>372</v>
      </c>
      <c r="I3" s="119">
        <v>1000000.0</v>
      </c>
      <c r="J3" s="119">
        <v>7000000.0</v>
      </c>
      <c r="K3" s="125"/>
      <c r="L3" s="121" t="s">
        <v>52</v>
      </c>
      <c r="M3" s="119">
        <v>8000000.0</v>
      </c>
      <c r="N3" s="125"/>
      <c r="O3" s="119">
        <v>1.0E7</v>
      </c>
      <c r="P3" s="121" t="s">
        <v>52</v>
      </c>
      <c r="Q3" s="119">
        <v>1.5E7</v>
      </c>
      <c r="R3" s="119">
        <v>2.0E7</v>
      </c>
      <c r="S3" s="125"/>
      <c r="T3" s="121" t="s">
        <v>52</v>
      </c>
      <c r="U3" s="121" t="s">
        <v>52</v>
      </c>
      <c r="V3" s="119">
        <v>2000000.0</v>
      </c>
      <c r="W3" s="119">
        <v>1000000.0</v>
      </c>
    </row>
    <row r="4">
      <c r="A4" s="113">
        <v>2.0</v>
      </c>
      <c r="B4" s="137" t="s">
        <v>56</v>
      </c>
      <c r="C4" s="225">
        <v>922000.0</v>
      </c>
      <c r="D4" s="133" t="str">
        <f t="shared" si="1"/>
        <v>Macro</v>
      </c>
      <c r="E4" s="177" t="s">
        <v>57</v>
      </c>
      <c r="F4" s="172">
        <v>4400000.0</v>
      </c>
      <c r="G4" s="133" t="str">
        <f t="shared" si="2"/>
        <v>Mega</v>
      </c>
      <c r="H4" s="138" t="s">
        <v>58</v>
      </c>
      <c r="I4" s="119">
        <v>5000000.0</v>
      </c>
      <c r="J4" s="119">
        <v>5000000.0</v>
      </c>
      <c r="K4" s="119">
        <v>7000000.0</v>
      </c>
      <c r="L4" s="119">
        <v>500000.0</v>
      </c>
      <c r="M4" s="119">
        <v>7000000.0</v>
      </c>
      <c r="N4" s="119">
        <v>8000000.0</v>
      </c>
      <c r="O4" s="119">
        <v>2.0E7</v>
      </c>
      <c r="P4" s="119">
        <v>500000.0</v>
      </c>
      <c r="Q4" s="119">
        <v>2.5E7</v>
      </c>
      <c r="R4" s="119">
        <v>5000000.0</v>
      </c>
      <c r="S4" s="119">
        <v>7000000.0</v>
      </c>
      <c r="T4" s="126">
        <v>0.5</v>
      </c>
      <c r="U4" s="119">
        <v>2000000.0</v>
      </c>
      <c r="V4" s="119">
        <v>2000000.0</v>
      </c>
      <c r="W4" s="119">
        <v>1.0E7</v>
      </c>
    </row>
    <row r="5">
      <c r="A5" s="170">
        <v>3.0</v>
      </c>
      <c r="B5" s="137" t="s">
        <v>65</v>
      </c>
      <c r="C5" s="202">
        <v>668000.0</v>
      </c>
      <c r="D5" s="133" t="str">
        <f t="shared" si="1"/>
        <v>Macro</v>
      </c>
      <c r="E5" s="131" t="s">
        <v>65</v>
      </c>
      <c r="F5" s="172">
        <v>1000001.0</v>
      </c>
      <c r="G5" s="133" t="str">
        <f t="shared" si="2"/>
        <v>Mega</v>
      </c>
      <c r="H5" s="138" t="s">
        <v>66</v>
      </c>
      <c r="I5" s="119">
        <v>2500000.0</v>
      </c>
      <c r="J5" s="119">
        <v>2500000.0</v>
      </c>
      <c r="K5" s="119">
        <v>7500000.0</v>
      </c>
      <c r="L5" s="121" t="s">
        <v>52</v>
      </c>
      <c r="M5" s="119">
        <v>4000000.0</v>
      </c>
      <c r="N5" s="119">
        <v>7500000.0</v>
      </c>
      <c r="O5" s="119">
        <v>1.1E7</v>
      </c>
      <c r="P5" s="119">
        <v>2000000.0</v>
      </c>
      <c r="Q5" s="119">
        <v>1.2E7</v>
      </c>
      <c r="R5" s="119">
        <v>1.9E7</v>
      </c>
      <c r="S5" s="125"/>
      <c r="T5" s="119">
        <v>3000000.0</v>
      </c>
      <c r="U5" s="119">
        <v>1000000.0</v>
      </c>
      <c r="V5" s="125"/>
      <c r="W5" s="119">
        <v>4000000.0</v>
      </c>
    </row>
    <row r="6">
      <c r="A6" s="113">
        <v>4.0</v>
      </c>
      <c r="B6" s="137" t="s">
        <v>70</v>
      </c>
      <c r="C6" s="225">
        <v>554000.0</v>
      </c>
      <c r="D6" s="133" t="str">
        <f t="shared" si="1"/>
        <v>Macro</v>
      </c>
      <c r="E6" s="131" t="s">
        <v>71</v>
      </c>
      <c r="F6" s="226">
        <v>9500000.0</v>
      </c>
      <c r="G6" s="133" t="str">
        <f t="shared" si="2"/>
        <v>Mega</v>
      </c>
      <c r="H6" s="138" t="s">
        <v>72</v>
      </c>
      <c r="I6" s="119">
        <v>500000.0</v>
      </c>
      <c r="J6" s="119">
        <v>1000000.0</v>
      </c>
      <c r="K6" s="119">
        <v>1500000.0</v>
      </c>
      <c r="L6" s="121" t="s">
        <v>52</v>
      </c>
      <c r="M6" s="119">
        <v>5000000.0</v>
      </c>
      <c r="N6" s="119">
        <v>5500000.0</v>
      </c>
      <c r="O6" s="119">
        <v>8000000.0</v>
      </c>
      <c r="P6" s="121" t="s">
        <v>52</v>
      </c>
      <c r="Q6" s="119">
        <v>1.5E7</v>
      </c>
      <c r="R6" s="119">
        <v>1.8E7</v>
      </c>
      <c r="S6" s="119">
        <v>5000000.0</v>
      </c>
      <c r="T6" s="121" t="s">
        <v>52</v>
      </c>
      <c r="U6" s="119">
        <v>1000000.0</v>
      </c>
      <c r="V6" s="121" t="s">
        <v>52</v>
      </c>
      <c r="W6" s="119">
        <v>1000000.0</v>
      </c>
    </row>
    <row r="7">
      <c r="A7" s="170">
        <v>5.0</v>
      </c>
      <c r="B7" s="137" t="s">
        <v>81</v>
      </c>
      <c r="C7" s="225">
        <v>532000.0</v>
      </c>
      <c r="D7" s="133" t="str">
        <f t="shared" si="1"/>
        <v>Macro</v>
      </c>
      <c r="E7" s="131" t="s">
        <v>82</v>
      </c>
      <c r="F7" s="226">
        <v>3200000.0</v>
      </c>
      <c r="G7" s="133" t="str">
        <f t="shared" si="2"/>
        <v>Mega</v>
      </c>
      <c r="H7" s="138" t="s">
        <v>83</v>
      </c>
      <c r="I7" s="119">
        <v>500000.0</v>
      </c>
      <c r="J7" s="119">
        <v>1300000.0</v>
      </c>
      <c r="K7" s="125"/>
      <c r="L7" s="121" t="s">
        <v>52</v>
      </c>
      <c r="M7" s="119">
        <v>2700000.0</v>
      </c>
      <c r="N7" s="125"/>
      <c r="O7" s="119">
        <v>3700000.0</v>
      </c>
      <c r="P7" s="121" t="s">
        <v>52</v>
      </c>
      <c r="Q7" s="119">
        <v>5500000.0</v>
      </c>
      <c r="R7" s="119">
        <v>7000000.0</v>
      </c>
      <c r="S7" s="125"/>
      <c r="T7" s="119">
        <v>2000000.0</v>
      </c>
      <c r="U7" s="125"/>
      <c r="V7" s="121" t="s">
        <v>52</v>
      </c>
      <c r="W7" s="119">
        <v>1500000.0</v>
      </c>
    </row>
    <row r="8">
      <c r="A8" s="113">
        <v>6.0</v>
      </c>
      <c r="B8" s="137" t="s">
        <v>93</v>
      </c>
      <c r="C8" s="225">
        <v>446000.0</v>
      </c>
      <c r="D8" s="133" t="str">
        <f t="shared" si="1"/>
        <v>Mid</v>
      </c>
      <c r="E8" s="131" t="s">
        <v>93</v>
      </c>
      <c r="F8" s="227">
        <v>1000001.0</v>
      </c>
      <c r="G8" s="133" t="str">
        <f t="shared" si="2"/>
        <v>Mega</v>
      </c>
      <c r="H8" s="138" t="s">
        <v>66</v>
      </c>
      <c r="I8" s="119">
        <v>500000.0</v>
      </c>
      <c r="J8" s="119">
        <v>3000000.0</v>
      </c>
      <c r="K8" s="119">
        <v>5000000.0</v>
      </c>
      <c r="L8" s="121" t="s">
        <v>52</v>
      </c>
      <c r="M8" s="119">
        <v>4500000.0</v>
      </c>
      <c r="N8" s="119">
        <v>5000000.0</v>
      </c>
      <c r="O8" s="119">
        <v>7500000.0</v>
      </c>
      <c r="P8" s="121" t="s">
        <v>52</v>
      </c>
      <c r="Q8" s="119">
        <v>7000000.0</v>
      </c>
      <c r="R8" s="119">
        <v>3000000.0</v>
      </c>
      <c r="S8" s="125"/>
      <c r="T8" s="119">
        <v>3000000.0</v>
      </c>
      <c r="U8" s="119">
        <v>1500000.0</v>
      </c>
      <c r="V8" s="119">
        <v>500000.0</v>
      </c>
      <c r="W8" s="119">
        <v>1500000.0</v>
      </c>
    </row>
    <row r="9">
      <c r="A9" s="170">
        <v>7.0</v>
      </c>
      <c r="B9" s="137" t="s">
        <v>103</v>
      </c>
      <c r="C9" s="202">
        <v>438000.0</v>
      </c>
      <c r="D9" s="133" t="str">
        <f t="shared" si="1"/>
        <v>Mid</v>
      </c>
      <c r="E9" s="131" t="s">
        <v>103</v>
      </c>
      <c r="F9" s="202">
        <v>459000.0</v>
      </c>
      <c r="G9" s="133" t="str">
        <f t="shared" si="2"/>
        <v>Mid</v>
      </c>
      <c r="H9" s="138" t="s">
        <v>66</v>
      </c>
      <c r="I9" s="119">
        <v>2500000.0</v>
      </c>
      <c r="J9" s="119">
        <v>2500000.0</v>
      </c>
      <c r="K9" s="119">
        <v>7500000.0</v>
      </c>
      <c r="L9" s="121" t="s">
        <v>52</v>
      </c>
      <c r="M9" s="119">
        <v>4000000.0</v>
      </c>
      <c r="N9" s="119">
        <v>7500000.0</v>
      </c>
      <c r="O9" s="119">
        <v>9000000.0</v>
      </c>
      <c r="P9" s="119">
        <v>2000000.0</v>
      </c>
      <c r="Q9" s="119">
        <v>8000000.0</v>
      </c>
      <c r="R9" s="119">
        <v>1.3E7</v>
      </c>
      <c r="S9" s="125"/>
      <c r="T9" s="119">
        <v>3000000.0</v>
      </c>
      <c r="U9" s="119">
        <v>1000000.0</v>
      </c>
      <c r="V9" s="119">
        <v>3000000.0</v>
      </c>
      <c r="W9" s="119">
        <v>4000000.0</v>
      </c>
    </row>
    <row r="10">
      <c r="A10" s="113">
        <v>8.0</v>
      </c>
      <c r="B10" s="137" t="s">
        <v>140</v>
      </c>
      <c r="C10" s="202">
        <v>259000.0</v>
      </c>
      <c r="D10" s="133" t="str">
        <f t="shared" si="1"/>
        <v>Mid</v>
      </c>
      <c r="E10" s="131" t="s">
        <v>140</v>
      </c>
      <c r="F10" s="172">
        <v>5300000.0</v>
      </c>
      <c r="G10" s="133" t="str">
        <f t="shared" si="2"/>
        <v>Mega</v>
      </c>
      <c r="H10" s="138" t="s">
        <v>66</v>
      </c>
      <c r="I10" s="125"/>
      <c r="J10" s="119">
        <v>2500000.0</v>
      </c>
      <c r="K10" s="119">
        <v>7500000.0</v>
      </c>
      <c r="L10" s="121" t="s">
        <v>52</v>
      </c>
      <c r="M10" s="119">
        <v>4000000.0</v>
      </c>
      <c r="N10" s="125"/>
      <c r="O10" s="119">
        <v>9000000.0</v>
      </c>
      <c r="P10" s="119">
        <v>2000000.0</v>
      </c>
      <c r="Q10" s="119">
        <v>1.4E7</v>
      </c>
      <c r="R10" s="119">
        <v>2.0E7</v>
      </c>
      <c r="S10" s="125"/>
      <c r="T10" s="125"/>
      <c r="U10" s="125"/>
      <c r="V10" s="121" t="s">
        <v>52</v>
      </c>
      <c r="W10" s="119">
        <v>4000000.0</v>
      </c>
    </row>
    <row r="11">
      <c r="A11" s="170">
        <v>9.0</v>
      </c>
      <c r="B11" s="127" t="s">
        <v>187</v>
      </c>
      <c r="C11" s="69">
        <v>130000.0</v>
      </c>
      <c r="D11" s="80" t="str">
        <f t="shared" si="1"/>
        <v>Mid</v>
      </c>
      <c r="E11" s="79" t="s">
        <v>188</v>
      </c>
      <c r="F11" s="65">
        <v>1500000.0</v>
      </c>
      <c r="G11" s="80" t="str">
        <f t="shared" si="2"/>
        <v>Mega</v>
      </c>
      <c r="H11" s="129" t="s">
        <v>58</v>
      </c>
      <c r="I11" s="123"/>
      <c r="J11" s="114">
        <v>2000000.0</v>
      </c>
      <c r="K11" s="114">
        <v>2000000.0</v>
      </c>
      <c r="L11" s="114">
        <v>500000.0</v>
      </c>
      <c r="M11" s="114">
        <v>3000000.0</v>
      </c>
      <c r="N11" s="114">
        <v>3000000.0</v>
      </c>
      <c r="O11" s="114">
        <v>5000000.0</v>
      </c>
      <c r="P11" s="115" t="s">
        <v>52</v>
      </c>
      <c r="Q11" s="114">
        <v>8000000.0</v>
      </c>
      <c r="R11" s="114">
        <v>9000000.0</v>
      </c>
      <c r="S11" s="123"/>
      <c r="T11" s="115" t="s">
        <v>52</v>
      </c>
      <c r="U11" s="115" t="s">
        <v>52</v>
      </c>
      <c r="V11" s="115" t="s">
        <v>52</v>
      </c>
      <c r="W11" s="123"/>
    </row>
    <row r="12">
      <c r="A12" s="130">
        <v>28.0</v>
      </c>
      <c r="B12" s="137" t="s">
        <v>335</v>
      </c>
      <c r="C12" s="191">
        <v>1800000.0</v>
      </c>
      <c r="D12" s="133" t="str">
        <f t="shared" si="1"/>
        <v>Mega</v>
      </c>
      <c r="E12" s="131" t="s">
        <v>336</v>
      </c>
      <c r="F12" s="192">
        <v>7300000.0</v>
      </c>
      <c r="G12" s="133" t="str">
        <f t="shared" si="2"/>
        <v>Mega</v>
      </c>
      <c r="H12" s="138" t="s">
        <v>39</v>
      </c>
      <c r="I12" s="139"/>
      <c r="J12" s="119">
        <v>1.5E7</v>
      </c>
      <c r="K12" s="119">
        <v>2.5E7</v>
      </c>
      <c r="L12" s="121" t="s">
        <v>52</v>
      </c>
      <c r="M12" s="119">
        <v>2.0E7</v>
      </c>
      <c r="N12" s="139"/>
      <c r="O12" s="119">
        <v>4.0E7</v>
      </c>
      <c r="P12" s="126">
        <v>0.5</v>
      </c>
      <c r="Q12" s="119">
        <v>3.0E7</v>
      </c>
      <c r="R12" s="119">
        <v>6.0E7</v>
      </c>
      <c r="S12" s="195">
        <v>3.5E7</v>
      </c>
      <c r="T12" s="126">
        <v>1.0</v>
      </c>
      <c r="U12" s="126">
        <v>0.3</v>
      </c>
      <c r="V12" s="139"/>
      <c r="W12" s="119" t="s">
        <v>338</v>
      </c>
    </row>
    <row r="13">
      <c r="A13" s="130">
        <v>34.0</v>
      </c>
      <c r="B13" s="137" t="s">
        <v>357</v>
      </c>
      <c r="C13" s="132">
        <v>175000.0</v>
      </c>
      <c r="D13" s="133" t="str">
        <f t="shared" si="1"/>
        <v>Mid</v>
      </c>
      <c r="E13" s="131" t="s">
        <v>358</v>
      </c>
      <c r="F13" s="192">
        <v>2500000.0</v>
      </c>
      <c r="G13" s="133" t="str">
        <f t="shared" si="2"/>
        <v>Mega</v>
      </c>
      <c r="H13" s="138" t="s">
        <v>39</v>
      </c>
      <c r="I13" s="119">
        <v>500000.0</v>
      </c>
      <c r="J13" s="119">
        <v>1000000.0</v>
      </c>
      <c r="K13" s="119">
        <v>2500000.0</v>
      </c>
      <c r="L13" s="119">
        <v>500000.0</v>
      </c>
      <c r="M13" s="119">
        <v>7000000.0</v>
      </c>
      <c r="N13" s="119">
        <v>8000000.0</v>
      </c>
      <c r="O13" s="119">
        <v>1.0E7</v>
      </c>
      <c r="P13" s="119">
        <v>1500000.0</v>
      </c>
      <c r="Q13" s="119">
        <v>2.5E7</v>
      </c>
      <c r="R13" s="119">
        <v>3.0E7</v>
      </c>
      <c r="S13" s="139"/>
      <c r="T13" s="119">
        <v>1.25E7</v>
      </c>
      <c r="U13" s="119">
        <v>2000000.0</v>
      </c>
      <c r="V13" s="119">
        <v>1500000.0</v>
      </c>
      <c r="W13" s="119">
        <v>1.0000009E7</v>
      </c>
    </row>
    <row r="14">
      <c r="A14" s="130">
        <v>35.0</v>
      </c>
      <c r="B14" s="137" t="s">
        <v>360</v>
      </c>
      <c r="C14" s="132">
        <v>100000.0</v>
      </c>
      <c r="D14" s="133" t="str">
        <f t="shared" si="1"/>
        <v>Micro</v>
      </c>
      <c r="E14" s="131" t="s">
        <v>360</v>
      </c>
      <c r="F14" s="132">
        <v>409000.0</v>
      </c>
      <c r="G14" s="133" t="str">
        <f t="shared" si="2"/>
        <v>Mid</v>
      </c>
      <c r="H14" s="133" t="s">
        <v>361</v>
      </c>
      <c r="I14" s="119">
        <v>750000.0</v>
      </c>
      <c r="J14" s="194">
        <v>900000.0</v>
      </c>
      <c r="K14" s="139"/>
      <c r="L14" s="119">
        <v>50000.0</v>
      </c>
      <c r="M14" s="119">
        <v>1000000.0</v>
      </c>
      <c r="N14" s="139"/>
      <c r="O14" s="119">
        <v>1500000.0</v>
      </c>
      <c r="P14" s="121" t="s">
        <v>52</v>
      </c>
      <c r="Q14" s="119">
        <v>4000000.0</v>
      </c>
      <c r="R14" s="119">
        <v>4500000.0</v>
      </c>
      <c r="S14" s="139"/>
      <c r="T14" s="139"/>
      <c r="U14" s="139"/>
      <c r="V14" s="119">
        <v>50000.0</v>
      </c>
      <c r="W14" s="139"/>
    </row>
    <row r="15">
      <c r="A15" s="130">
        <v>38.0</v>
      </c>
      <c r="B15" s="131" t="s">
        <v>369</v>
      </c>
      <c r="C15" s="132">
        <v>34900.0</v>
      </c>
      <c r="D15" s="133" t="str">
        <f t="shared" si="1"/>
        <v>Micro</v>
      </c>
      <c r="E15" s="131" t="s">
        <v>369</v>
      </c>
      <c r="F15" s="228">
        <v>141000.0</v>
      </c>
      <c r="G15" s="133" t="str">
        <f t="shared" si="2"/>
        <v>Mid</v>
      </c>
      <c r="H15" s="133" t="s">
        <v>39</v>
      </c>
      <c r="I15" s="135"/>
      <c r="J15" s="122">
        <v>2000000.0</v>
      </c>
      <c r="K15" s="122">
        <v>3000000.0</v>
      </c>
      <c r="L15" s="122">
        <v>500000.0</v>
      </c>
      <c r="M15" s="122">
        <v>2000000.0</v>
      </c>
      <c r="N15" s="135"/>
      <c r="O15" s="122">
        <v>4000000.0</v>
      </c>
      <c r="P15" s="121" t="s">
        <v>52</v>
      </c>
      <c r="Q15" s="122">
        <v>5000000.0</v>
      </c>
      <c r="R15" s="122">
        <v>8000000.0</v>
      </c>
      <c r="S15" s="135"/>
      <c r="T15" s="122">
        <v>3000000.0</v>
      </c>
      <c r="U15" s="198" t="s">
        <v>52</v>
      </c>
      <c r="V15" s="198" t="s">
        <v>52</v>
      </c>
      <c r="W15" s="122">
        <v>1000000.0</v>
      </c>
    </row>
  </sheetData>
  <mergeCells count="4">
    <mergeCell ref="A1:A2"/>
    <mergeCell ref="B1:H1"/>
    <mergeCell ref="J1:P1"/>
    <mergeCell ref="Q1:W1"/>
  </mergeCells>
  <conditionalFormatting sqref="I12:W12">
    <cfRule type="containsBlanks" dxfId="0" priority="1">
      <formula>LEN(TRIM(I12))=0</formula>
    </cfRule>
  </conditionalFormatting>
  <conditionalFormatting sqref="I12:W12">
    <cfRule type="containsBlanks" dxfId="1" priority="2">
      <formula>LEN(TRIM(I12))=0</formula>
    </cfRule>
  </conditionalFormatting>
  <dataValidations>
    <dataValidation type="list" allowBlank="1" showErrorMessage="1" sqref="D3:D15 G3:G15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B13"/>
    <hyperlink r:id="rId22" ref="E13"/>
    <hyperlink r:id="rId23" ref="B14"/>
    <hyperlink r:id="rId24" ref="E14"/>
    <hyperlink r:id="rId25" ref="B15"/>
    <hyperlink r:id="rId26" ref="E15"/>
  </hyperlinks>
  <drawing r:id="rId2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14.63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229">
        <v>1.0</v>
      </c>
      <c r="B3" s="127" t="s">
        <v>60</v>
      </c>
      <c r="C3" s="69">
        <v>887000.0</v>
      </c>
      <c r="D3" s="80" t="str">
        <f t="shared" ref="D3:D10" si="1">ifs(C3&lt;10000, "Nano", C3&lt;=100000, "Micro", C3&lt;=500000, "Mid", C3&lt;=1000000, "Macro", C3&gt;1000000, "Mega")</f>
        <v>Macro</v>
      </c>
      <c r="E3" s="79" t="s">
        <v>60</v>
      </c>
      <c r="F3" s="68">
        <v>3800000.0</v>
      </c>
      <c r="G3" s="80" t="str">
        <f t="shared" ref="G3:G11" si="2">ifs(F3&lt;10000, "Nano", F3&lt;=100000, "Micro", F3&lt;=500000, "Mid", F3&lt;=1000000, "Macro", F3&gt;1000000, "Mega")</f>
        <v>Mega</v>
      </c>
      <c r="H3" s="129" t="s">
        <v>46</v>
      </c>
      <c r="I3" s="114">
        <v>2000000.0</v>
      </c>
      <c r="J3" s="114">
        <v>3500000.0</v>
      </c>
      <c r="K3" s="114">
        <v>5000000.0</v>
      </c>
      <c r="L3" s="114" t="s">
        <v>52</v>
      </c>
      <c r="M3" s="114">
        <v>6000000.0</v>
      </c>
      <c r="N3" s="114">
        <v>1.0E7</v>
      </c>
      <c r="O3" s="114">
        <v>1.5E7</v>
      </c>
      <c r="P3" s="114">
        <v>1000000.0</v>
      </c>
      <c r="Q3" s="114">
        <v>1.6E7</v>
      </c>
      <c r="R3" s="114">
        <v>2.0E7</v>
      </c>
      <c r="S3" s="114" t="s">
        <v>62</v>
      </c>
      <c r="T3" s="114" t="s">
        <v>63</v>
      </c>
      <c r="U3" s="114" t="s">
        <v>52</v>
      </c>
      <c r="V3" s="114">
        <v>1000000.0</v>
      </c>
      <c r="W3" s="114" t="s">
        <v>64</v>
      </c>
    </row>
    <row r="4">
      <c r="A4" s="229">
        <v>2.0</v>
      </c>
      <c r="B4" s="127" t="s">
        <v>65</v>
      </c>
      <c r="C4" s="69">
        <v>668000.0</v>
      </c>
      <c r="D4" s="80" t="str">
        <f t="shared" si="1"/>
        <v>Macro</v>
      </c>
      <c r="E4" s="79" t="s">
        <v>65</v>
      </c>
      <c r="F4" s="68">
        <v>1000001.0</v>
      </c>
      <c r="G4" s="80" t="str">
        <f t="shared" si="2"/>
        <v>Mega</v>
      </c>
      <c r="H4" s="129" t="s">
        <v>66</v>
      </c>
      <c r="I4" s="114">
        <v>2500000.0</v>
      </c>
      <c r="J4" s="114">
        <v>2500000.0</v>
      </c>
      <c r="K4" s="114">
        <v>7500000.0</v>
      </c>
      <c r="L4" s="115" t="s">
        <v>52</v>
      </c>
      <c r="M4" s="114">
        <v>4000000.0</v>
      </c>
      <c r="N4" s="114">
        <v>7500000.0</v>
      </c>
      <c r="O4" s="114">
        <v>1.1E7</v>
      </c>
      <c r="P4" s="114">
        <v>2000000.0</v>
      </c>
      <c r="Q4" s="114">
        <v>1.2E7</v>
      </c>
      <c r="R4" s="114">
        <v>1.9E7</v>
      </c>
      <c r="S4" s="123"/>
      <c r="T4" s="114">
        <v>3000000.0</v>
      </c>
      <c r="U4" s="114">
        <v>1000000.0</v>
      </c>
      <c r="V4" s="123"/>
      <c r="W4" s="114">
        <v>4000000.0</v>
      </c>
    </row>
    <row r="5">
      <c r="A5" s="229">
        <v>3.0</v>
      </c>
      <c r="B5" s="127" t="s">
        <v>68</v>
      </c>
      <c r="C5" s="74">
        <v>587000.0</v>
      </c>
      <c r="D5" s="80" t="str">
        <f t="shared" si="1"/>
        <v>Macro</v>
      </c>
      <c r="E5" s="79" t="s">
        <v>68</v>
      </c>
      <c r="F5" s="69">
        <v>210000.0</v>
      </c>
      <c r="G5" s="80" t="str">
        <f t="shared" si="2"/>
        <v>Mid</v>
      </c>
      <c r="H5" s="129" t="s">
        <v>46</v>
      </c>
      <c r="I5" s="114">
        <v>750000.0</v>
      </c>
      <c r="J5" s="114">
        <v>1500000.0</v>
      </c>
      <c r="K5" s="114">
        <v>2000000.0</v>
      </c>
      <c r="L5" s="115" t="s">
        <v>52</v>
      </c>
      <c r="M5" s="114">
        <v>4000000.0</v>
      </c>
      <c r="N5" s="114">
        <v>4000000.0</v>
      </c>
      <c r="O5" s="114">
        <v>6000000.0</v>
      </c>
      <c r="P5" s="115" t="s">
        <v>52</v>
      </c>
      <c r="Q5" s="114">
        <v>1.0E7</v>
      </c>
      <c r="R5" s="115" t="s">
        <v>52</v>
      </c>
      <c r="S5" s="114">
        <v>3000000.0</v>
      </c>
      <c r="T5" s="115" t="s">
        <v>52</v>
      </c>
      <c r="U5" s="115" t="s">
        <v>52</v>
      </c>
      <c r="V5" s="115" t="s">
        <v>52</v>
      </c>
      <c r="W5" s="66">
        <v>1500000.0</v>
      </c>
    </row>
    <row r="6">
      <c r="A6" s="229">
        <v>4.0</v>
      </c>
      <c r="B6" s="127" t="s">
        <v>81</v>
      </c>
      <c r="C6" s="74">
        <v>532000.0</v>
      </c>
      <c r="D6" s="80" t="str">
        <f t="shared" si="1"/>
        <v>Macro</v>
      </c>
      <c r="E6" s="79" t="s">
        <v>82</v>
      </c>
      <c r="F6" s="65">
        <v>3200000.0</v>
      </c>
      <c r="G6" s="80" t="str">
        <f t="shared" si="2"/>
        <v>Mega</v>
      </c>
      <c r="H6" s="129" t="s">
        <v>83</v>
      </c>
      <c r="I6" s="114">
        <v>500000.0</v>
      </c>
      <c r="J6" s="114">
        <v>1300000.0</v>
      </c>
      <c r="K6" s="123"/>
      <c r="L6" s="115" t="s">
        <v>52</v>
      </c>
      <c r="M6" s="114">
        <v>2700000.0</v>
      </c>
      <c r="N6" s="123"/>
      <c r="O6" s="114">
        <v>3700000.0</v>
      </c>
      <c r="P6" s="115" t="s">
        <v>52</v>
      </c>
      <c r="Q6" s="114">
        <v>5500000.0</v>
      </c>
      <c r="R6" s="114">
        <v>7000000.0</v>
      </c>
      <c r="S6" s="123"/>
      <c r="T6" s="114">
        <v>2000000.0</v>
      </c>
      <c r="U6" s="123"/>
      <c r="V6" s="115" t="s">
        <v>52</v>
      </c>
      <c r="W6" s="114">
        <v>1500000.0</v>
      </c>
    </row>
    <row r="7">
      <c r="A7" s="229">
        <v>5.0</v>
      </c>
      <c r="B7" s="127" t="s">
        <v>112</v>
      </c>
      <c r="C7" s="69">
        <v>392000.0</v>
      </c>
      <c r="D7" s="80" t="str">
        <f t="shared" si="1"/>
        <v>Mid</v>
      </c>
      <c r="E7" s="79" t="s">
        <v>113</v>
      </c>
      <c r="F7" s="65">
        <v>2900000.0</v>
      </c>
      <c r="G7" s="80" t="str">
        <f t="shared" si="2"/>
        <v>Mega</v>
      </c>
      <c r="H7" s="129" t="s">
        <v>39</v>
      </c>
      <c r="I7" s="114">
        <v>1500000.0</v>
      </c>
      <c r="J7" s="114">
        <v>5500000.0</v>
      </c>
      <c r="K7" s="114">
        <v>7000000.0</v>
      </c>
      <c r="L7" s="115" t="s">
        <v>52</v>
      </c>
      <c r="M7" s="114">
        <v>4500000.0</v>
      </c>
      <c r="N7" s="114" t="s">
        <v>115</v>
      </c>
      <c r="O7" s="114">
        <v>1.2E7</v>
      </c>
      <c r="P7" s="114">
        <v>1500000.0</v>
      </c>
      <c r="Q7" s="114">
        <v>2.2E7</v>
      </c>
      <c r="R7" s="114">
        <v>1.0E7</v>
      </c>
      <c r="S7" s="114">
        <v>1.0E7</v>
      </c>
      <c r="T7" s="114">
        <v>3.5E7</v>
      </c>
      <c r="U7" s="117">
        <v>0.5</v>
      </c>
      <c r="V7" s="114">
        <v>1500000.0</v>
      </c>
      <c r="W7" s="114">
        <v>3000000.0</v>
      </c>
    </row>
    <row r="8">
      <c r="A8" s="229">
        <v>6.0</v>
      </c>
      <c r="B8" s="127" t="s">
        <v>140</v>
      </c>
      <c r="C8" s="69">
        <v>259000.0</v>
      </c>
      <c r="D8" s="80" t="str">
        <f t="shared" si="1"/>
        <v>Mid</v>
      </c>
      <c r="E8" s="79" t="s">
        <v>140</v>
      </c>
      <c r="F8" s="68">
        <v>5300000.0</v>
      </c>
      <c r="G8" s="80" t="str">
        <f t="shared" si="2"/>
        <v>Mega</v>
      </c>
      <c r="H8" s="129" t="s">
        <v>66</v>
      </c>
      <c r="I8" s="123"/>
      <c r="J8" s="114">
        <v>2500000.0</v>
      </c>
      <c r="K8" s="114">
        <v>7500000.0</v>
      </c>
      <c r="L8" s="115" t="s">
        <v>52</v>
      </c>
      <c r="M8" s="114">
        <v>4000000.0</v>
      </c>
      <c r="N8" s="123"/>
      <c r="O8" s="114">
        <v>9000000.0</v>
      </c>
      <c r="P8" s="114">
        <v>2000000.0</v>
      </c>
      <c r="Q8" s="114">
        <v>1.4E7</v>
      </c>
      <c r="R8" s="114">
        <v>2.0E7</v>
      </c>
      <c r="S8" s="123"/>
      <c r="T8" s="123"/>
      <c r="U8" s="123"/>
      <c r="V8" s="115" t="s">
        <v>52</v>
      </c>
      <c r="W8" s="114">
        <v>4000000.0</v>
      </c>
    </row>
    <row r="9">
      <c r="A9" s="229">
        <v>7.0</v>
      </c>
      <c r="B9" s="127" t="s">
        <v>170</v>
      </c>
      <c r="C9" s="74">
        <v>175000.0</v>
      </c>
      <c r="D9" s="80" t="str">
        <f t="shared" si="1"/>
        <v>Mid</v>
      </c>
      <c r="E9" s="79" t="s">
        <v>170</v>
      </c>
      <c r="F9" s="74">
        <v>584200.0</v>
      </c>
      <c r="G9" s="80" t="str">
        <f t="shared" si="2"/>
        <v>Macro</v>
      </c>
      <c r="H9" s="129" t="s">
        <v>46</v>
      </c>
      <c r="I9" s="114">
        <v>450000.0</v>
      </c>
      <c r="J9" s="114">
        <v>500000.0</v>
      </c>
      <c r="K9" s="114">
        <v>750000.0</v>
      </c>
      <c r="L9" s="115" t="s">
        <v>52</v>
      </c>
      <c r="M9" s="114">
        <v>2000000.0</v>
      </c>
      <c r="N9" s="114">
        <v>2500000.0</v>
      </c>
      <c r="O9" s="114">
        <v>3000000.0</v>
      </c>
      <c r="P9" s="115" t="s">
        <v>52</v>
      </c>
      <c r="Q9" s="114">
        <v>6000000.0</v>
      </c>
      <c r="R9" s="114">
        <v>7000000.0</v>
      </c>
      <c r="S9" s="114">
        <v>3000000.0</v>
      </c>
      <c r="T9" s="115" t="s">
        <v>52</v>
      </c>
      <c r="U9" s="115" t="s">
        <v>52</v>
      </c>
      <c r="V9" s="115" t="s">
        <v>52</v>
      </c>
      <c r="W9" s="114">
        <v>1000000.0</v>
      </c>
    </row>
    <row r="10">
      <c r="A10" s="229">
        <v>8.0</v>
      </c>
      <c r="B10" s="61" t="s">
        <v>189</v>
      </c>
      <c r="C10" s="69">
        <v>142000.0</v>
      </c>
      <c r="D10" s="80" t="str">
        <f t="shared" si="1"/>
        <v>Mid</v>
      </c>
      <c r="E10" s="79" t="s">
        <v>190</v>
      </c>
      <c r="F10" s="69">
        <v>704300.0</v>
      </c>
      <c r="G10" s="80" t="str">
        <f t="shared" si="2"/>
        <v>Macro</v>
      </c>
      <c r="H10" s="129" t="s">
        <v>46</v>
      </c>
      <c r="I10" s="123"/>
      <c r="J10" s="114">
        <v>2000000.0</v>
      </c>
      <c r="K10" s="114">
        <v>3000000.0</v>
      </c>
      <c r="L10" s="115" t="s">
        <v>52</v>
      </c>
      <c r="M10" s="114">
        <v>2000000.0</v>
      </c>
      <c r="N10" s="123"/>
      <c r="O10" s="114">
        <v>5000000.0</v>
      </c>
      <c r="P10" s="114">
        <v>1000000.0</v>
      </c>
      <c r="Q10" s="114">
        <v>5000000.0</v>
      </c>
      <c r="R10" s="114">
        <v>6000000.0</v>
      </c>
      <c r="S10" s="123"/>
      <c r="T10" s="123"/>
      <c r="U10" s="114">
        <v>1000000.0</v>
      </c>
      <c r="V10" s="115" t="s">
        <v>52</v>
      </c>
      <c r="W10" s="114">
        <v>1000000.0</v>
      </c>
    </row>
    <row r="11">
      <c r="A11" s="60">
        <v>9.0</v>
      </c>
      <c r="B11" s="61" t="s">
        <v>448</v>
      </c>
      <c r="C11" s="69">
        <v>116000.0</v>
      </c>
      <c r="D11" s="80" t="str">
        <f>ifs(C11&lt;10000, "Nano", C11&lt;=50000, "Micro", C11&lt;=500000, "Mid", C11&lt;=1000000, "Macro", C11&gt;1000000, "Mega")</f>
        <v>Mid</v>
      </c>
      <c r="E11" s="64" t="s">
        <v>449</v>
      </c>
      <c r="F11" s="69">
        <v>449900.0</v>
      </c>
      <c r="G11" s="80" t="str">
        <f t="shared" si="2"/>
        <v>Mid</v>
      </c>
      <c r="H11" s="80" t="s">
        <v>46</v>
      </c>
      <c r="I11" s="76"/>
      <c r="J11" s="66" t="s">
        <v>451</v>
      </c>
      <c r="K11" s="66" t="s">
        <v>452</v>
      </c>
      <c r="L11" s="66">
        <v>50000.0</v>
      </c>
      <c r="M11" s="66">
        <v>600000.0</v>
      </c>
      <c r="N11" s="66">
        <v>300000.0</v>
      </c>
      <c r="O11" s="66" t="s">
        <v>453</v>
      </c>
      <c r="P11" s="66">
        <v>300000.0</v>
      </c>
      <c r="Q11" s="66" t="s">
        <v>453</v>
      </c>
      <c r="R11" s="76"/>
      <c r="S11" s="76"/>
      <c r="T11" s="72">
        <v>1.0</v>
      </c>
      <c r="U11" s="66">
        <v>350000.0</v>
      </c>
      <c r="V11" s="71" t="s">
        <v>52</v>
      </c>
      <c r="W11" s="76"/>
    </row>
  </sheetData>
  <mergeCells count="4">
    <mergeCell ref="A1:A2"/>
    <mergeCell ref="B1:H1"/>
    <mergeCell ref="J1:P1"/>
    <mergeCell ref="Q1:W1"/>
  </mergeCells>
  <dataValidations>
    <dataValidation type="list" allowBlank="1" showErrorMessage="1" sqref="D3:D11 G3:G11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</hyperlinks>
  <drawing r:id="rId1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4" width="13.0"/>
    <col customWidth="1" min="5" max="5" width="14.0"/>
    <col customWidth="1" min="6" max="8" width="13.0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230">
        <v>1.0</v>
      </c>
      <c r="B3" s="79" t="s">
        <v>145</v>
      </c>
      <c r="C3" s="74">
        <v>214000.0</v>
      </c>
      <c r="D3" s="80" t="str">
        <f t="shared" ref="D3:D6" si="1">ifs(C3&lt;10000, "Nano", C3&lt;=100000, "Micro", C3&lt;=500000, "Mid", C3&lt;=1000000, "Macro", C3&gt;1000000, "Mega")</f>
        <v>Mid</v>
      </c>
      <c r="E3" s="79" t="s">
        <v>145</v>
      </c>
      <c r="F3" s="188">
        <v>92800.0</v>
      </c>
      <c r="G3" s="80" t="str">
        <f t="shared" ref="G3:G6" si="2">ifs(F3&lt;10000, "Nano", F3&lt;=100000, "Micro", F3&lt;=500000, "Mid", F3&lt;=1000000, "Macro", F3&gt;1000000, "Mega")</f>
        <v>Micro</v>
      </c>
      <c r="H3" s="80" t="s">
        <v>146</v>
      </c>
      <c r="I3" s="168">
        <v>2000000.0</v>
      </c>
      <c r="J3" s="168">
        <v>2500000.0</v>
      </c>
      <c r="K3" s="168">
        <v>3000000.0</v>
      </c>
      <c r="L3" s="169" t="s">
        <v>52</v>
      </c>
      <c r="M3" s="168">
        <v>3500000.0</v>
      </c>
      <c r="N3" s="168">
        <v>4500000.0</v>
      </c>
      <c r="O3" s="168">
        <v>5000000.0</v>
      </c>
      <c r="P3" s="169" t="s">
        <v>52</v>
      </c>
      <c r="Q3" s="168">
        <v>3500000.0</v>
      </c>
      <c r="R3" s="168">
        <v>5000000.0</v>
      </c>
      <c r="S3" s="168">
        <v>5000000.0</v>
      </c>
      <c r="T3" s="231">
        <v>0.25</v>
      </c>
      <c r="U3" s="168">
        <v>1000000.0</v>
      </c>
      <c r="V3" s="168">
        <v>1000000.0</v>
      </c>
      <c r="W3" s="168">
        <v>6000000.0</v>
      </c>
    </row>
    <row r="4">
      <c r="A4" s="232">
        <v>2.0</v>
      </c>
      <c r="B4" s="127" t="s">
        <v>182</v>
      </c>
      <c r="C4" s="69">
        <v>140000.0</v>
      </c>
      <c r="D4" s="80" t="str">
        <f t="shared" si="1"/>
        <v>Mid</v>
      </c>
      <c r="E4" s="79" t="s">
        <v>182</v>
      </c>
      <c r="F4" s="186">
        <v>13000.0</v>
      </c>
      <c r="G4" s="80" t="str">
        <f t="shared" si="2"/>
        <v>Micro</v>
      </c>
      <c r="H4" s="114" t="s">
        <v>46</v>
      </c>
      <c r="I4" s="125"/>
      <c r="J4" s="119">
        <v>780000.0</v>
      </c>
      <c r="K4" s="119">
        <v>1480000.0</v>
      </c>
      <c r="L4" s="121" t="s">
        <v>52</v>
      </c>
      <c r="M4" s="119">
        <v>2980000.0</v>
      </c>
      <c r="N4" s="125"/>
      <c r="O4" s="119">
        <v>4580000.0</v>
      </c>
      <c r="P4" s="121" t="s">
        <v>52</v>
      </c>
      <c r="Q4" s="125"/>
      <c r="R4" s="125"/>
      <c r="S4" s="119">
        <v>1980000.0</v>
      </c>
      <c r="T4" s="121" t="s">
        <v>52</v>
      </c>
      <c r="U4" s="125"/>
      <c r="V4" s="121" t="s">
        <v>52</v>
      </c>
      <c r="W4" s="119">
        <v>2980000.0</v>
      </c>
    </row>
    <row r="5">
      <c r="A5" s="232">
        <v>3.0</v>
      </c>
      <c r="B5" s="79" t="s">
        <v>227</v>
      </c>
      <c r="C5" s="186">
        <v>53000.0</v>
      </c>
      <c r="D5" s="80" t="str">
        <f t="shared" si="1"/>
        <v>Micro</v>
      </c>
      <c r="E5" s="79" t="s">
        <v>228</v>
      </c>
      <c r="F5" s="69">
        <v>9000.0</v>
      </c>
      <c r="G5" s="80" t="str">
        <f t="shared" si="2"/>
        <v>Nano</v>
      </c>
      <c r="H5" s="66" t="s">
        <v>229</v>
      </c>
      <c r="I5" s="233" t="s">
        <v>231</v>
      </c>
      <c r="J5" s="3"/>
      <c r="K5" s="3"/>
      <c r="L5" s="4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</row>
    <row r="6">
      <c r="A6" s="229">
        <v>4.0</v>
      </c>
      <c r="B6" s="127" t="s">
        <v>232</v>
      </c>
      <c r="C6" s="186">
        <v>51000.0</v>
      </c>
      <c r="D6" s="80" t="str">
        <f t="shared" si="1"/>
        <v>Micro</v>
      </c>
      <c r="E6" s="79" t="s">
        <v>233</v>
      </c>
      <c r="F6" s="186">
        <v>4262.0</v>
      </c>
      <c r="G6" s="80" t="str">
        <f t="shared" si="2"/>
        <v>Nano</v>
      </c>
      <c r="H6" s="234" t="s">
        <v>234</v>
      </c>
      <c r="I6" s="119">
        <v>100000.0</v>
      </c>
      <c r="J6" s="119">
        <v>150000.0</v>
      </c>
      <c r="K6" s="235"/>
      <c r="L6" s="121" t="s">
        <v>52</v>
      </c>
      <c r="M6" s="119">
        <v>300000.0</v>
      </c>
      <c r="N6" s="119">
        <v>350000.0</v>
      </c>
      <c r="O6" s="119">
        <v>400000.0</v>
      </c>
      <c r="P6" s="121" t="s">
        <v>52</v>
      </c>
      <c r="Q6" s="125"/>
      <c r="R6" s="119">
        <v>500000.0</v>
      </c>
      <c r="S6" s="125"/>
      <c r="T6" s="119">
        <v>300000.0</v>
      </c>
      <c r="U6" s="119">
        <v>300000.0</v>
      </c>
      <c r="V6" s="121" t="s">
        <v>52</v>
      </c>
      <c r="W6" s="125"/>
    </row>
  </sheetData>
  <mergeCells count="5">
    <mergeCell ref="A1:A2"/>
    <mergeCell ref="B1:H1"/>
    <mergeCell ref="J1:P1"/>
    <mergeCell ref="Q1:W1"/>
    <mergeCell ref="I5:L5"/>
  </mergeCells>
  <dataValidations>
    <dataValidation type="list" allowBlank="1" showErrorMessage="1" sqref="D3:D6 G3:G6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</hyperlinks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4.25"/>
    <col customWidth="1" min="4" max="4" width="14.0"/>
    <col customWidth="1" min="7" max="7" width="14.5"/>
  </cols>
  <sheetData>
    <row r="1">
      <c r="A1" s="236" t="s">
        <v>2</v>
      </c>
      <c r="B1" s="236" t="s">
        <v>555</v>
      </c>
      <c r="C1" s="236" t="s">
        <v>556</v>
      </c>
      <c r="D1" s="237" t="s">
        <v>557</v>
      </c>
      <c r="E1" s="238" t="s">
        <v>558</v>
      </c>
      <c r="F1" s="4"/>
      <c r="G1" s="236" t="s">
        <v>559</v>
      </c>
    </row>
    <row r="2">
      <c r="A2" s="101">
        <v>1.0</v>
      </c>
      <c r="B2" s="239" t="s">
        <v>182</v>
      </c>
      <c r="C2" s="101" t="s">
        <v>560</v>
      </c>
      <c r="D2" s="80" t="s">
        <v>561</v>
      </c>
      <c r="E2" s="101">
        <v>4.0</v>
      </c>
      <c r="F2" s="101" t="s">
        <v>562</v>
      </c>
      <c r="G2" s="101" t="s">
        <v>563</v>
      </c>
    </row>
    <row r="3">
      <c r="A3" s="101">
        <f t="shared" ref="A3:A22" si="1">A2+1</f>
        <v>2</v>
      </c>
      <c r="B3" s="12"/>
      <c r="C3" s="101" t="s">
        <v>564</v>
      </c>
      <c r="D3" s="80" t="s">
        <v>565</v>
      </c>
      <c r="E3" s="101" t="s">
        <v>566</v>
      </c>
      <c r="F3" s="101" t="s">
        <v>562</v>
      </c>
      <c r="G3" s="101" t="s">
        <v>567</v>
      </c>
    </row>
    <row r="4">
      <c r="A4" s="101">
        <f t="shared" si="1"/>
        <v>3</v>
      </c>
      <c r="B4" s="80" t="s">
        <v>65</v>
      </c>
      <c r="C4" s="240" t="s">
        <v>568</v>
      </c>
      <c r="D4" s="241">
        <v>45114.0</v>
      </c>
      <c r="E4" s="101">
        <f>DATEDIF(D4,TODAY(),"Y")</f>
        <v>2</v>
      </c>
      <c r="F4" s="101" t="s">
        <v>562</v>
      </c>
      <c r="G4" s="101" t="s">
        <v>567</v>
      </c>
    </row>
    <row r="5">
      <c r="A5" s="101">
        <f t="shared" si="1"/>
        <v>4</v>
      </c>
      <c r="B5" s="80" t="s">
        <v>152</v>
      </c>
      <c r="C5" s="101" t="s">
        <v>569</v>
      </c>
      <c r="D5" s="241">
        <v>45410.0</v>
      </c>
      <c r="E5" s="101" t="s">
        <v>566</v>
      </c>
      <c r="F5" s="101" t="s">
        <v>562</v>
      </c>
      <c r="G5" s="101" t="s">
        <v>563</v>
      </c>
    </row>
    <row r="6">
      <c r="A6" s="101">
        <f t="shared" si="1"/>
        <v>5</v>
      </c>
      <c r="B6" s="239" t="s">
        <v>134</v>
      </c>
      <c r="C6" s="101" t="s">
        <v>570</v>
      </c>
      <c r="D6" s="241">
        <v>36525.0</v>
      </c>
      <c r="E6" s="101">
        <f t="shared" ref="E6:E10" si="2">DATEDIF(D6,TODAY(),"Y")</f>
        <v>26</v>
      </c>
      <c r="F6" s="101" t="s">
        <v>562</v>
      </c>
      <c r="G6" s="101" t="s">
        <v>567</v>
      </c>
    </row>
    <row r="7">
      <c r="A7" s="101">
        <f t="shared" si="1"/>
        <v>6</v>
      </c>
      <c r="B7" s="242"/>
      <c r="C7" s="101" t="s">
        <v>571</v>
      </c>
      <c r="D7" s="241">
        <v>38008.0</v>
      </c>
      <c r="E7" s="101">
        <f t="shared" si="2"/>
        <v>22</v>
      </c>
      <c r="F7" s="101" t="s">
        <v>562</v>
      </c>
      <c r="G7" s="101" t="s">
        <v>563</v>
      </c>
    </row>
    <row r="8">
      <c r="A8" s="101">
        <f t="shared" si="1"/>
        <v>7</v>
      </c>
      <c r="B8" s="12"/>
      <c r="C8" s="101" t="s">
        <v>572</v>
      </c>
      <c r="D8" s="241">
        <v>38853.0</v>
      </c>
      <c r="E8" s="101">
        <f t="shared" si="2"/>
        <v>19</v>
      </c>
      <c r="F8" s="101" t="s">
        <v>562</v>
      </c>
      <c r="G8" s="101" t="s">
        <v>563</v>
      </c>
    </row>
    <row r="9">
      <c r="A9" s="101">
        <f t="shared" si="1"/>
        <v>8</v>
      </c>
      <c r="B9" s="239" t="s">
        <v>56</v>
      </c>
      <c r="C9" s="101" t="s">
        <v>573</v>
      </c>
      <c r="D9" s="241">
        <v>44735.0</v>
      </c>
      <c r="E9" s="101">
        <f t="shared" si="2"/>
        <v>3</v>
      </c>
      <c r="F9" s="101" t="s">
        <v>562</v>
      </c>
      <c r="G9" s="101" t="s">
        <v>563</v>
      </c>
    </row>
    <row r="10">
      <c r="A10" s="101">
        <f t="shared" si="1"/>
        <v>9</v>
      </c>
      <c r="B10" s="242"/>
      <c r="C10" s="101" t="s">
        <v>574</v>
      </c>
      <c r="D10" s="241">
        <v>45130.0</v>
      </c>
      <c r="E10" s="101">
        <f t="shared" si="2"/>
        <v>2</v>
      </c>
      <c r="F10" s="101" t="s">
        <v>562</v>
      </c>
      <c r="G10" s="101" t="s">
        <v>567</v>
      </c>
    </row>
    <row r="11">
      <c r="A11" s="101">
        <f t="shared" si="1"/>
        <v>10</v>
      </c>
      <c r="B11" s="12"/>
      <c r="C11" s="101" t="s">
        <v>575</v>
      </c>
      <c r="D11" s="241">
        <v>45542.0</v>
      </c>
      <c r="E11" s="101" t="s">
        <v>566</v>
      </c>
      <c r="F11" s="101" t="s">
        <v>562</v>
      </c>
      <c r="G11" s="101" t="s">
        <v>567</v>
      </c>
    </row>
    <row r="12">
      <c r="A12" s="101">
        <f t="shared" si="1"/>
        <v>11</v>
      </c>
      <c r="B12" s="80" t="s">
        <v>371</v>
      </c>
      <c r="C12" s="101" t="s">
        <v>576</v>
      </c>
      <c r="D12" s="241">
        <v>44379.0</v>
      </c>
      <c r="E12" s="101">
        <f t="shared" ref="E12:E16" si="3">DATEDIF(D12,TODAY(),"Y")</f>
        <v>4</v>
      </c>
      <c r="F12" s="101" t="s">
        <v>562</v>
      </c>
      <c r="G12" s="101" t="s">
        <v>563</v>
      </c>
    </row>
    <row r="13">
      <c r="A13" s="101">
        <f t="shared" si="1"/>
        <v>12</v>
      </c>
      <c r="B13" s="80" t="s">
        <v>70</v>
      </c>
      <c r="C13" s="101" t="s">
        <v>577</v>
      </c>
      <c r="D13" s="240" t="s">
        <v>578</v>
      </c>
      <c r="E13" s="101">
        <f t="shared" si="3"/>
        <v>2</v>
      </c>
      <c r="F13" s="101" t="s">
        <v>562</v>
      </c>
      <c r="G13" s="101" t="s">
        <v>563</v>
      </c>
    </row>
    <row r="14">
      <c r="A14" s="101">
        <f t="shared" si="1"/>
        <v>13</v>
      </c>
      <c r="B14" s="80" t="s">
        <v>232</v>
      </c>
      <c r="C14" s="101" t="s">
        <v>579</v>
      </c>
      <c r="D14" s="241">
        <v>44404.0</v>
      </c>
      <c r="E14" s="101">
        <f t="shared" si="3"/>
        <v>4</v>
      </c>
      <c r="F14" s="101" t="s">
        <v>562</v>
      </c>
      <c r="G14" s="101" t="s">
        <v>563</v>
      </c>
    </row>
    <row r="15">
      <c r="A15" s="101">
        <f t="shared" si="1"/>
        <v>14</v>
      </c>
      <c r="B15" s="80" t="s">
        <v>580</v>
      </c>
      <c r="C15" s="101" t="s">
        <v>581</v>
      </c>
      <c r="D15" s="241">
        <v>44891.0</v>
      </c>
      <c r="E15" s="101">
        <f t="shared" si="3"/>
        <v>3</v>
      </c>
      <c r="F15" s="101" t="s">
        <v>562</v>
      </c>
      <c r="G15" s="101" t="s">
        <v>567</v>
      </c>
    </row>
    <row r="16">
      <c r="A16" s="101">
        <f t="shared" si="1"/>
        <v>15</v>
      </c>
      <c r="B16" s="80" t="s">
        <v>93</v>
      </c>
      <c r="C16" s="101" t="s">
        <v>582</v>
      </c>
      <c r="D16" s="241">
        <v>44825.0</v>
      </c>
      <c r="E16" s="101">
        <f t="shared" si="3"/>
        <v>3</v>
      </c>
      <c r="F16" s="101" t="s">
        <v>562</v>
      </c>
      <c r="G16" s="101" t="s">
        <v>567</v>
      </c>
    </row>
    <row r="17">
      <c r="A17" s="101">
        <f t="shared" si="1"/>
        <v>16</v>
      </c>
      <c r="B17" s="101" t="s">
        <v>53</v>
      </c>
      <c r="C17" s="101" t="s">
        <v>583</v>
      </c>
      <c r="D17" s="243">
        <v>44941.0</v>
      </c>
      <c r="E17" s="101">
        <v>1.0</v>
      </c>
      <c r="F17" s="101" t="s">
        <v>562</v>
      </c>
      <c r="G17" s="101" t="s">
        <v>567</v>
      </c>
    </row>
    <row r="18">
      <c r="A18" s="101">
        <f t="shared" si="1"/>
        <v>17</v>
      </c>
      <c r="B18" s="244" t="s">
        <v>108</v>
      </c>
      <c r="C18" s="240" t="s">
        <v>584</v>
      </c>
      <c r="D18" s="245">
        <v>44467.0</v>
      </c>
      <c r="E18" s="101">
        <f t="shared" ref="E18:E21" si="4">DATEDIF(D18,TODAY(),"Y")</f>
        <v>4</v>
      </c>
      <c r="F18" s="101" t="s">
        <v>562</v>
      </c>
      <c r="G18" s="101" t="s">
        <v>567</v>
      </c>
    </row>
    <row r="19">
      <c r="A19" s="101">
        <f t="shared" si="1"/>
        <v>18</v>
      </c>
      <c r="B19" s="12"/>
      <c r="C19" s="101" t="s">
        <v>585</v>
      </c>
      <c r="D19" s="245">
        <v>44887.0</v>
      </c>
      <c r="E19" s="101">
        <f t="shared" si="4"/>
        <v>3</v>
      </c>
      <c r="F19" s="101" t="s">
        <v>562</v>
      </c>
      <c r="G19" s="101" t="s">
        <v>563</v>
      </c>
    </row>
    <row r="20">
      <c r="A20" s="101">
        <f t="shared" si="1"/>
        <v>19</v>
      </c>
      <c r="B20" s="246" t="s">
        <v>105</v>
      </c>
      <c r="C20" s="246" t="s">
        <v>586</v>
      </c>
      <c r="D20" s="247">
        <v>45097.0</v>
      </c>
      <c r="E20" s="246">
        <f t="shared" si="4"/>
        <v>2</v>
      </c>
      <c r="F20" s="246" t="s">
        <v>562</v>
      </c>
      <c r="G20" s="246" t="s">
        <v>563</v>
      </c>
    </row>
    <row r="21">
      <c r="A21" s="101">
        <f t="shared" si="1"/>
        <v>20</v>
      </c>
      <c r="B21" s="246" t="s">
        <v>587</v>
      </c>
      <c r="C21" s="248" t="s">
        <v>588</v>
      </c>
      <c r="D21" s="249">
        <v>44887.0</v>
      </c>
      <c r="E21" s="246">
        <f t="shared" si="4"/>
        <v>3</v>
      </c>
      <c r="F21" s="246" t="s">
        <v>562</v>
      </c>
      <c r="G21" s="246" t="s">
        <v>563</v>
      </c>
    </row>
    <row r="22">
      <c r="A22" s="101">
        <f t="shared" si="1"/>
        <v>21</v>
      </c>
      <c r="B22" s="246" t="s">
        <v>145</v>
      </c>
      <c r="C22" s="250" t="s">
        <v>589</v>
      </c>
      <c r="D22" s="249">
        <v>45515.0</v>
      </c>
      <c r="E22" s="246" t="s">
        <v>566</v>
      </c>
      <c r="F22" s="246" t="s">
        <v>562</v>
      </c>
      <c r="G22" s="246" t="s">
        <v>567</v>
      </c>
    </row>
  </sheetData>
  <mergeCells count="5">
    <mergeCell ref="E1:F1"/>
    <mergeCell ref="B2:B3"/>
    <mergeCell ref="B6:B8"/>
    <mergeCell ref="B9:B11"/>
    <mergeCell ref="B18:B19"/>
  </mergeCells>
  <dataValidations>
    <dataValidation type="list" allowBlank="1" showErrorMessage="1" sqref="G2:G22">
      <formula1>"Laki-Laki,Perempuan"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15.63"/>
  </cols>
  <sheetData>
    <row r="1">
      <c r="A1" s="102" t="s">
        <v>2</v>
      </c>
      <c r="B1" s="103" t="s">
        <v>3</v>
      </c>
      <c r="C1" s="104"/>
      <c r="D1" s="104"/>
      <c r="E1" s="104"/>
      <c r="F1" s="104"/>
      <c r="G1" s="104"/>
      <c r="H1" s="104"/>
      <c r="I1" s="105" t="s">
        <v>4</v>
      </c>
      <c r="J1" s="106" t="s">
        <v>5</v>
      </c>
      <c r="K1" s="104"/>
      <c r="L1" s="104"/>
      <c r="M1" s="104"/>
      <c r="N1" s="104"/>
      <c r="O1" s="104"/>
      <c r="P1" s="107"/>
      <c r="Q1" s="108" t="s">
        <v>6</v>
      </c>
      <c r="R1" s="104"/>
      <c r="S1" s="104"/>
      <c r="T1" s="104"/>
      <c r="U1" s="104"/>
      <c r="V1" s="104"/>
      <c r="W1" s="107"/>
      <c r="X1" s="251"/>
      <c r="Y1" s="251"/>
      <c r="Z1" s="252" t="s">
        <v>590</v>
      </c>
      <c r="AA1" s="3"/>
      <c r="AB1" s="4"/>
    </row>
    <row r="2">
      <c r="A2" s="12"/>
      <c r="B2" s="109" t="s">
        <v>7</v>
      </c>
      <c r="C2" s="109" t="s">
        <v>8</v>
      </c>
      <c r="D2" s="109" t="s">
        <v>9</v>
      </c>
      <c r="E2" s="109" t="s">
        <v>10</v>
      </c>
      <c r="F2" s="110" t="s">
        <v>8</v>
      </c>
      <c r="G2" s="109" t="s">
        <v>9</v>
      </c>
      <c r="H2" s="109" t="s">
        <v>11</v>
      </c>
      <c r="I2" s="111" t="s">
        <v>13</v>
      </c>
      <c r="J2" s="111" t="s">
        <v>14</v>
      </c>
      <c r="K2" s="111" t="s">
        <v>15</v>
      </c>
      <c r="L2" s="112" t="s">
        <v>16</v>
      </c>
      <c r="M2" s="111" t="s">
        <v>17</v>
      </c>
      <c r="N2" s="111" t="s">
        <v>18</v>
      </c>
      <c r="O2" s="111" t="s">
        <v>19</v>
      </c>
      <c r="P2" s="112" t="s">
        <v>20</v>
      </c>
      <c r="Q2" s="111" t="s">
        <v>10</v>
      </c>
      <c r="R2" s="111" t="s">
        <v>21</v>
      </c>
      <c r="S2" s="111" t="s">
        <v>22</v>
      </c>
      <c r="T2" s="112" t="s">
        <v>23</v>
      </c>
      <c r="U2" s="112" t="s">
        <v>24</v>
      </c>
      <c r="V2" s="112" t="s">
        <v>25</v>
      </c>
      <c r="W2" s="112" t="s">
        <v>26</v>
      </c>
      <c r="X2" s="111" t="s">
        <v>591</v>
      </c>
      <c r="Y2" s="111" t="s">
        <v>592</v>
      </c>
      <c r="Z2" s="253" t="s">
        <v>593</v>
      </c>
      <c r="AA2" s="57" t="s">
        <v>594</v>
      </c>
      <c r="AB2" s="57" t="s">
        <v>595</v>
      </c>
    </row>
    <row r="3">
      <c r="A3" s="254">
        <v>1.0</v>
      </c>
      <c r="B3" s="131" t="s">
        <v>406</v>
      </c>
      <c r="C3" s="134">
        <v>1600000.0</v>
      </c>
      <c r="D3" s="133" t="str">
        <f t="shared" ref="D3:D5" si="1">ifs(C3&lt;10000, "Nano", C3&lt;=100000, "Micro", C3&lt;=500000, "Mid", C3&lt;=1000000, "Macro", C3&gt;1000000, "Mega")</f>
        <v>Mega</v>
      </c>
      <c r="E3" s="131" t="s">
        <v>407</v>
      </c>
      <c r="F3" s="134">
        <v>5900000.0</v>
      </c>
      <c r="G3" s="133" t="str">
        <f t="shared" ref="G3:G13" si="2">ifs(F3&lt;10000, "Nano", F3&lt;=100000, "Micro", F3&lt;=500000, "Mid", F3&lt;=1000000, "Macro", F3&gt;1000000, "Mega")</f>
        <v>Mega</v>
      </c>
      <c r="H3" s="133" t="s">
        <v>408</v>
      </c>
      <c r="I3" s="255"/>
      <c r="J3" s="122">
        <v>2500000.0</v>
      </c>
      <c r="K3" s="122">
        <v>6500000.0</v>
      </c>
      <c r="L3" s="255"/>
      <c r="M3" s="122">
        <v>3.05E7</v>
      </c>
      <c r="N3" s="122">
        <v>2500000.0</v>
      </c>
      <c r="O3" s="122">
        <v>4.05E7</v>
      </c>
      <c r="P3" s="255"/>
      <c r="Q3" s="122">
        <v>4.05E7</v>
      </c>
      <c r="R3" s="122">
        <v>5.05E7</v>
      </c>
      <c r="S3" s="255"/>
      <c r="T3" s="255"/>
      <c r="U3" s="255"/>
      <c r="V3" s="255"/>
      <c r="W3" s="122">
        <v>850000.0</v>
      </c>
      <c r="X3" s="255"/>
      <c r="Y3" s="122">
        <v>1.05E7</v>
      </c>
      <c r="Z3" s="256"/>
      <c r="AA3" s="255"/>
      <c r="AB3" s="255"/>
    </row>
    <row r="4">
      <c r="A4" s="173">
        <v>2.0</v>
      </c>
      <c r="B4" s="79" t="s">
        <v>389</v>
      </c>
      <c r="C4" s="69">
        <v>833000.0</v>
      </c>
      <c r="D4" s="80" t="str">
        <f t="shared" si="1"/>
        <v>Macro</v>
      </c>
      <c r="E4" s="79" t="s">
        <v>390</v>
      </c>
      <c r="F4" s="68">
        <v>1900000.0</v>
      </c>
      <c r="G4" s="80" t="str">
        <f t="shared" si="2"/>
        <v>Mega</v>
      </c>
      <c r="H4" s="257"/>
      <c r="I4" s="80"/>
      <c r="J4" s="80" t="s">
        <v>596</v>
      </c>
      <c r="K4" s="80" t="s">
        <v>199</v>
      </c>
      <c r="L4" s="80" t="s">
        <v>52</v>
      </c>
      <c r="M4" s="80" t="s">
        <v>199</v>
      </c>
      <c r="N4" s="80" t="s">
        <v>597</v>
      </c>
      <c r="O4" s="80" t="s">
        <v>598</v>
      </c>
      <c r="P4" s="80"/>
      <c r="Q4" s="80" t="s">
        <v>598</v>
      </c>
      <c r="R4" s="80" t="s">
        <v>599</v>
      </c>
      <c r="S4" s="80" t="s">
        <v>600</v>
      </c>
      <c r="T4" s="72">
        <v>1.0</v>
      </c>
      <c r="U4" s="80"/>
      <c r="V4" s="80" t="s">
        <v>601</v>
      </c>
      <c r="W4" s="80" t="s">
        <v>602</v>
      </c>
      <c r="X4" s="80" t="s">
        <v>603</v>
      </c>
      <c r="Y4" s="80"/>
      <c r="Z4" s="80" t="s">
        <v>604</v>
      </c>
      <c r="AA4" s="80" t="s">
        <v>605</v>
      </c>
      <c r="AB4" s="80"/>
    </row>
    <row r="5">
      <c r="A5" s="173">
        <v>3.0</v>
      </c>
      <c r="B5" s="174" t="s">
        <v>333</v>
      </c>
      <c r="C5" s="175">
        <v>78000.0</v>
      </c>
      <c r="D5" s="176" t="str">
        <f t="shared" si="1"/>
        <v>Micro</v>
      </c>
      <c r="E5" s="174" t="s">
        <v>333</v>
      </c>
      <c r="F5" s="175">
        <v>13000.0</v>
      </c>
      <c r="G5" s="176" t="str">
        <f t="shared" si="2"/>
        <v>Micro</v>
      </c>
      <c r="H5" s="176" t="s">
        <v>50</v>
      </c>
      <c r="I5" s="258"/>
      <c r="J5" s="258"/>
      <c r="K5" s="258"/>
      <c r="L5" s="259" t="s">
        <v>52</v>
      </c>
      <c r="M5" s="258"/>
      <c r="N5" s="258"/>
      <c r="O5" s="260">
        <v>2500000.0</v>
      </c>
      <c r="P5" s="259" t="s">
        <v>52</v>
      </c>
      <c r="Q5" s="259" t="s">
        <v>52</v>
      </c>
      <c r="R5" s="259" t="s">
        <v>52</v>
      </c>
      <c r="S5" s="258"/>
      <c r="T5" s="261">
        <v>500000.0</v>
      </c>
      <c r="U5" s="261">
        <v>500000.0</v>
      </c>
      <c r="V5" s="259" t="s">
        <v>52</v>
      </c>
      <c r="W5" s="261">
        <v>1500000.0</v>
      </c>
      <c r="X5" s="161"/>
      <c r="Y5" s="161"/>
      <c r="Z5" s="262"/>
      <c r="AA5" s="161"/>
      <c r="AB5" s="161"/>
    </row>
    <row r="6">
      <c r="A6" s="263">
        <f t="shared" ref="A6:A14" si="3">A5+1</f>
        <v>4</v>
      </c>
      <c r="B6" s="171" t="s">
        <v>484</v>
      </c>
      <c r="C6" s="202">
        <v>271000.0</v>
      </c>
      <c r="D6" s="164" t="str">
        <f t="shared" ref="D6:D14" si="4">ifs(C6&lt;10000, "Nano", C6&lt;=50000, "Micro", C6&lt;=500000, "Mid", C6&lt;=1000000, "Macro", C6&gt;1000000, "Mega")</f>
        <v>Mid</v>
      </c>
      <c r="E6" s="165" t="s">
        <v>484</v>
      </c>
      <c r="F6" s="202">
        <v>104000.0</v>
      </c>
      <c r="G6" s="164" t="str">
        <f t="shared" si="2"/>
        <v>Mid</v>
      </c>
      <c r="H6" s="164" t="s">
        <v>46</v>
      </c>
      <c r="I6" s="223"/>
      <c r="J6" s="200">
        <f>850000+250000</f>
        <v>1100000</v>
      </c>
      <c r="K6" s="223"/>
      <c r="L6" s="200">
        <v>250000.0</v>
      </c>
      <c r="M6" s="200">
        <v>1750000.0</v>
      </c>
      <c r="N6" s="200">
        <v>350000.0</v>
      </c>
      <c r="O6" s="200">
        <v>3000000.0</v>
      </c>
      <c r="P6" s="200">
        <v>600000.0</v>
      </c>
      <c r="Q6" s="223"/>
      <c r="R6" s="223"/>
      <c r="S6" s="223"/>
      <c r="T6" s="200">
        <v>1000000.0</v>
      </c>
      <c r="U6" s="200">
        <v>550000.0</v>
      </c>
      <c r="V6" s="200">
        <v>450000.0</v>
      </c>
      <c r="W6" s="200">
        <v>5500000.0</v>
      </c>
      <c r="X6" s="264"/>
      <c r="Y6" s="265"/>
      <c r="Z6" s="266"/>
      <c r="AA6" s="265"/>
      <c r="AB6" s="265"/>
    </row>
    <row r="7">
      <c r="A7" s="263">
        <f t="shared" si="3"/>
        <v>5</v>
      </c>
      <c r="B7" s="171" t="s">
        <v>485</v>
      </c>
      <c r="C7" s="202">
        <v>198000.0</v>
      </c>
      <c r="D7" s="164" t="str">
        <f t="shared" si="4"/>
        <v>Mid</v>
      </c>
      <c r="E7" s="165" t="s">
        <v>485</v>
      </c>
      <c r="F7" s="202">
        <v>11000.0</v>
      </c>
      <c r="G7" s="164" t="str">
        <f t="shared" si="2"/>
        <v>Micro</v>
      </c>
      <c r="H7" s="164" t="s">
        <v>486</v>
      </c>
      <c r="I7" s="223"/>
      <c r="J7" s="200">
        <v>750000.0</v>
      </c>
      <c r="K7" s="223"/>
      <c r="L7" s="200">
        <v>250000.0</v>
      </c>
      <c r="M7" s="200">
        <v>950000.0</v>
      </c>
      <c r="N7" s="223"/>
      <c r="O7" s="200">
        <v>1750000.0</v>
      </c>
      <c r="P7" s="267"/>
      <c r="Q7" s="223"/>
      <c r="R7" s="223"/>
      <c r="S7" s="223"/>
      <c r="T7" s="200">
        <v>1250000.0</v>
      </c>
      <c r="U7" s="267"/>
      <c r="V7" s="223"/>
      <c r="W7" s="223"/>
      <c r="X7" s="264"/>
      <c r="Y7" s="265"/>
      <c r="Z7" s="266"/>
      <c r="AA7" s="265"/>
      <c r="AB7" s="265"/>
    </row>
    <row r="8">
      <c r="A8" s="263">
        <f t="shared" si="3"/>
        <v>6</v>
      </c>
      <c r="B8" s="171" t="s">
        <v>489</v>
      </c>
      <c r="C8" s="202">
        <v>138000.0</v>
      </c>
      <c r="D8" s="164" t="str">
        <f t="shared" si="4"/>
        <v>Mid</v>
      </c>
      <c r="E8" s="165" t="s">
        <v>490</v>
      </c>
      <c r="F8" s="202">
        <v>49000.0</v>
      </c>
      <c r="G8" s="164" t="str">
        <f t="shared" si="2"/>
        <v>Micro</v>
      </c>
      <c r="H8" s="164" t="s">
        <v>46</v>
      </c>
      <c r="I8" s="223"/>
      <c r="J8" s="223"/>
      <c r="K8" s="223"/>
      <c r="L8" s="223"/>
      <c r="M8" s="223"/>
      <c r="N8" s="200">
        <v>650000.0</v>
      </c>
      <c r="O8" s="200" t="s">
        <v>606</v>
      </c>
      <c r="P8" s="267"/>
      <c r="Q8" s="200">
        <v>750000.0</v>
      </c>
      <c r="R8" s="223"/>
      <c r="S8" s="223"/>
      <c r="T8" s="200">
        <v>1050000.0</v>
      </c>
      <c r="U8" s="267"/>
      <c r="V8" s="223"/>
      <c r="W8" s="223"/>
      <c r="X8" s="264"/>
      <c r="Y8" s="265"/>
      <c r="Z8" s="266"/>
      <c r="AA8" s="265"/>
      <c r="AB8" s="265"/>
    </row>
    <row r="9">
      <c r="A9" s="263">
        <f t="shared" si="3"/>
        <v>7</v>
      </c>
      <c r="B9" s="171" t="s">
        <v>492</v>
      </c>
      <c r="C9" s="202">
        <v>629000.0</v>
      </c>
      <c r="D9" s="164" t="str">
        <f t="shared" si="4"/>
        <v>Macro</v>
      </c>
      <c r="E9" s="165" t="s">
        <v>493</v>
      </c>
      <c r="F9" s="202">
        <v>160000.0</v>
      </c>
      <c r="G9" s="164" t="str">
        <f t="shared" si="2"/>
        <v>Mid</v>
      </c>
      <c r="H9" s="164" t="s">
        <v>39</v>
      </c>
      <c r="I9" s="223"/>
      <c r="J9" s="200">
        <v>4100000.0</v>
      </c>
      <c r="K9" s="200">
        <v>1.35E7</v>
      </c>
      <c r="L9" s="200">
        <f>900000+250000</f>
        <v>1150000</v>
      </c>
      <c r="M9" s="200">
        <v>1.85E7</v>
      </c>
      <c r="N9" s="200">
        <v>2.15E7</v>
      </c>
      <c r="O9" s="200">
        <v>2.55E7</v>
      </c>
      <c r="P9" s="267"/>
      <c r="Q9" s="200">
        <v>2.15E7</v>
      </c>
      <c r="R9" s="200">
        <v>1.05E7</v>
      </c>
      <c r="S9" s="223"/>
      <c r="T9" s="200">
        <v>2.55E7</v>
      </c>
      <c r="U9" s="267"/>
      <c r="V9" s="223"/>
      <c r="W9" s="223"/>
      <c r="X9" s="264"/>
      <c r="Y9" s="265"/>
      <c r="Z9" s="266"/>
      <c r="AA9" s="265"/>
      <c r="AB9" s="265"/>
    </row>
    <row r="10">
      <c r="A10" s="263">
        <f t="shared" si="3"/>
        <v>8</v>
      </c>
      <c r="B10" s="171" t="s">
        <v>494</v>
      </c>
      <c r="C10" s="202">
        <v>116000.0</v>
      </c>
      <c r="D10" s="164" t="str">
        <f t="shared" si="4"/>
        <v>Mid</v>
      </c>
      <c r="E10" s="165" t="s">
        <v>494</v>
      </c>
      <c r="F10" s="202">
        <v>47000.0</v>
      </c>
      <c r="G10" s="164" t="str">
        <f t="shared" si="2"/>
        <v>Micro</v>
      </c>
      <c r="H10" s="164" t="s">
        <v>83</v>
      </c>
      <c r="I10" s="223"/>
      <c r="J10" s="223"/>
      <c r="K10" s="223"/>
      <c r="L10" s="223"/>
      <c r="M10" s="223"/>
      <c r="N10" s="223"/>
      <c r="O10" s="200">
        <v>1250000.0</v>
      </c>
      <c r="P10" s="267"/>
      <c r="Q10" s="200">
        <v>1250000.0</v>
      </c>
      <c r="R10" s="223"/>
      <c r="S10" s="223"/>
      <c r="T10" s="200">
        <v>2250000.0</v>
      </c>
      <c r="U10" s="267"/>
      <c r="V10" s="223"/>
      <c r="W10" s="223"/>
      <c r="X10" s="264"/>
      <c r="Y10" s="265"/>
      <c r="Z10" s="266"/>
      <c r="AA10" s="265"/>
      <c r="AB10" s="265"/>
    </row>
    <row r="11">
      <c r="A11" s="263">
        <f t="shared" si="3"/>
        <v>9</v>
      </c>
      <c r="B11" s="171" t="s">
        <v>607</v>
      </c>
      <c r="C11" s="202">
        <v>38000.0</v>
      </c>
      <c r="D11" s="164" t="str">
        <f t="shared" si="4"/>
        <v>Micro</v>
      </c>
      <c r="E11" s="165" t="s">
        <v>607</v>
      </c>
      <c r="F11" s="202">
        <v>51000.0</v>
      </c>
      <c r="G11" s="164" t="str">
        <f t="shared" si="2"/>
        <v>Micro</v>
      </c>
      <c r="H11" s="164" t="s">
        <v>72</v>
      </c>
      <c r="I11" s="223"/>
      <c r="J11" s="223"/>
      <c r="K11" s="223"/>
      <c r="L11" s="223"/>
      <c r="M11" s="223"/>
      <c r="N11" s="200">
        <v>1250000.0</v>
      </c>
      <c r="O11" s="200">
        <v>550000.0</v>
      </c>
      <c r="P11" s="267"/>
      <c r="Q11" s="200">
        <v>550000.0</v>
      </c>
      <c r="R11" s="200">
        <v>600000.0</v>
      </c>
      <c r="S11" s="223"/>
      <c r="T11" s="223"/>
      <c r="U11" s="267"/>
      <c r="V11" s="223"/>
      <c r="W11" s="200">
        <f>75000+250000</f>
        <v>325000</v>
      </c>
      <c r="X11" s="264"/>
      <c r="Y11" s="265"/>
      <c r="Z11" s="266"/>
      <c r="AA11" s="265"/>
      <c r="AB11" s="265"/>
    </row>
    <row r="12">
      <c r="A12" s="263">
        <f t="shared" si="3"/>
        <v>10</v>
      </c>
      <c r="B12" s="171" t="s">
        <v>608</v>
      </c>
      <c r="C12" s="202">
        <v>40300.0</v>
      </c>
      <c r="D12" s="164" t="str">
        <f t="shared" si="4"/>
        <v>Micro</v>
      </c>
      <c r="E12" s="165" t="s">
        <v>609</v>
      </c>
      <c r="F12" s="202">
        <v>870.0</v>
      </c>
      <c r="G12" s="164" t="str">
        <f t="shared" si="2"/>
        <v>Nano</v>
      </c>
      <c r="H12" s="164" t="s">
        <v>153</v>
      </c>
      <c r="I12" s="223"/>
      <c r="J12" s="200">
        <v>400000.0</v>
      </c>
      <c r="K12" s="223"/>
      <c r="L12" s="200">
        <v>250000.0</v>
      </c>
      <c r="M12" s="223"/>
      <c r="N12" s="223"/>
      <c r="O12" s="200">
        <v>750000.0</v>
      </c>
      <c r="P12" s="267"/>
      <c r="Q12" s="223"/>
      <c r="R12" s="223"/>
      <c r="S12" s="223"/>
      <c r="T12" s="200">
        <v>750000.0</v>
      </c>
      <c r="U12" s="267"/>
      <c r="V12" s="223"/>
      <c r="W12" s="223"/>
      <c r="X12" s="264"/>
      <c r="Y12" s="265"/>
      <c r="Z12" s="266"/>
      <c r="AA12" s="265"/>
      <c r="AB12" s="265"/>
    </row>
    <row r="13">
      <c r="A13" s="263">
        <f t="shared" si="3"/>
        <v>11</v>
      </c>
      <c r="B13" s="171" t="s">
        <v>495</v>
      </c>
      <c r="C13" s="202">
        <v>491000.0</v>
      </c>
      <c r="D13" s="164" t="str">
        <f t="shared" si="4"/>
        <v>Mid</v>
      </c>
      <c r="E13" s="165" t="s">
        <v>495</v>
      </c>
      <c r="F13" s="172">
        <v>1200000.0</v>
      </c>
      <c r="G13" s="164" t="str">
        <f t="shared" si="2"/>
        <v>Mega</v>
      </c>
      <c r="H13" s="164" t="s">
        <v>496</v>
      </c>
      <c r="I13" s="223"/>
      <c r="J13" s="223"/>
      <c r="K13" s="223"/>
      <c r="L13" s="223"/>
      <c r="M13" s="223"/>
      <c r="N13" s="223"/>
      <c r="O13" s="200">
        <v>4000000.0</v>
      </c>
      <c r="P13" s="267"/>
      <c r="Q13" s="200">
        <v>4000000.0</v>
      </c>
      <c r="R13" s="200">
        <v>4500000.0</v>
      </c>
      <c r="S13" s="223"/>
      <c r="T13" s="223"/>
      <c r="U13" s="267"/>
      <c r="V13" s="223"/>
      <c r="W13" s="223"/>
      <c r="X13" s="264"/>
      <c r="Y13" s="265"/>
      <c r="Z13" s="266"/>
      <c r="AA13" s="265"/>
      <c r="AB13" s="265"/>
    </row>
    <row r="14">
      <c r="A14" s="263">
        <f t="shared" si="3"/>
        <v>12</v>
      </c>
      <c r="B14" s="171" t="s">
        <v>497</v>
      </c>
      <c r="C14" s="202">
        <v>193000.0</v>
      </c>
      <c r="D14" s="164" t="str">
        <f t="shared" si="4"/>
        <v>Mid</v>
      </c>
      <c r="E14" s="265"/>
      <c r="F14" s="266"/>
      <c r="G14" s="268"/>
      <c r="H14" s="164" t="s">
        <v>291</v>
      </c>
      <c r="I14" s="223"/>
      <c r="J14" s="223"/>
      <c r="K14" s="223"/>
      <c r="L14" s="223"/>
      <c r="M14" s="223"/>
      <c r="N14" s="223"/>
      <c r="O14" s="200">
        <f>800000+250000</f>
        <v>1050000</v>
      </c>
      <c r="P14" s="267"/>
      <c r="Q14" s="223"/>
      <c r="R14" s="223"/>
      <c r="S14" s="223"/>
      <c r="T14" s="200">
        <v>950000.0</v>
      </c>
      <c r="U14" s="267"/>
      <c r="V14" s="223"/>
      <c r="W14" s="223"/>
      <c r="X14" s="264"/>
      <c r="Y14" s="265"/>
      <c r="Z14" s="266"/>
      <c r="AA14" s="265"/>
      <c r="AB14" s="265"/>
    </row>
  </sheetData>
  <mergeCells count="5">
    <mergeCell ref="A1:A2"/>
    <mergeCell ref="B1:H1"/>
    <mergeCell ref="J1:P1"/>
    <mergeCell ref="Q1:W1"/>
    <mergeCell ref="Z1:AB1"/>
  </mergeCells>
  <conditionalFormatting sqref="A4:A14 B5:AB14">
    <cfRule type="containsBlanks" dxfId="0" priority="1">
      <formula>LEN(TRIM(A4))=0</formula>
    </cfRule>
  </conditionalFormatting>
  <dataValidations>
    <dataValidation type="list" allowBlank="1" showErrorMessage="1" sqref="D3:D14 G3:G14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  <hyperlink r:id="rId13" ref="B9"/>
    <hyperlink r:id="rId14" ref="E9"/>
    <hyperlink r:id="rId15" ref="B10"/>
    <hyperlink r:id="rId16" ref="E10"/>
    <hyperlink r:id="rId17" ref="B11"/>
    <hyperlink r:id="rId18" ref="E11"/>
    <hyperlink r:id="rId19" ref="B12"/>
    <hyperlink r:id="rId20" ref="E12"/>
    <hyperlink r:id="rId21" ref="B13"/>
    <hyperlink r:id="rId22" ref="E13"/>
    <hyperlink r:id="rId23" ref="B14"/>
  </hyperlinks>
  <drawing r:id="rId2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13.63"/>
    <col customWidth="1" min="8" max="8" width="7.5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229">
        <v>1.0</v>
      </c>
      <c r="B3" s="127" t="s">
        <v>148</v>
      </c>
      <c r="C3" s="74">
        <v>213000.0</v>
      </c>
      <c r="D3" s="80" t="str">
        <f t="shared" ref="D3:D8" si="1">ifs(C3&lt;10000, "Nano", C3&lt;=100000, "Micro", C3&lt;=500000, "Mid", C3&lt;=1000000, "Macro", C3&gt;1000000, "Mega")</f>
        <v>Mid</v>
      </c>
      <c r="E3" s="79" t="s">
        <v>148</v>
      </c>
      <c r="F3" s="159">
        <v>1700000.0</v>
      </c>
      <c r="G3" s="80" t="str">
        <f t="shared" ref="G3:G8" si="2">ifs(F3&lt;10000, "Nano", F3&lt;=100000, "Micro", F3&lt;=500000, "Mid", F3&lt;=1000000, "Macro", F3&gt;1000000, "Mega")</f>
        <v>Mega</v>
      </c>
      <c r="H3" s="129" t="s">
        <v>149</v>
      </c>
      <c r="I3" s="125"/>
      <c r="J3" s="119">
        <v>1000000.0</v>
      </c>
      <c r="K3" s="119">
        <v>1500000.0</v>
      </c>
      <c r="L3" s="121" t="s">
        <v>52</v>
      </c>
      <c r="M3" s="119">
        <v>2500000.0</v>
      </c>
      <c r="N3" s="119">
        <v>3000000.0</v>
      </c>
      <c r="O3" s="119">
        <v>4000000.0</v>
      </c>
      <c r="P3" s="121" t="s">
        <v>52</v>
      </c>
      <c r="Q3" s="119">
        <v>4500000.0</v>
      </c>
      <c r="R3" s="119">
        <v>5500000.0</v>
      </c>
      <c r="S3" s="125"/>
      <c r="T3" s="119">
        <v>2000000.0</v>
      </c>
      <c r="U3" s="119">
        <v>500000.0</v>
      </c>
      <c r="V3" s="119">
        <v>500000.0</v>
      </c>
      <c r="W3" s="193" t="s">
        <v>151</v>
      </c>
    </row>
    <row r="4">
      <c r="A4" s="229">
        <v>2.0</v>
      </c>
      <c r="B4" s="79" t="s">
        <v>242</v>
      </c>
      <c r="C4" s="69">
        <v>32000.0</v>
      </c>
      <c r="D4" s="80" t="str">
        <f t="shared" si="1"/>
        <v>Micro</v>
      </c>
      <c r="E4" s="79" t="s">
        <v>243</v>
      </c>
      <c r="F4" s="186">
        <v>362000.0</v>
      </c>
      <c r="G4" s="80" t="str">
        <f t="shared" si="2"/>
        <v>Mid</v>
      </c>
      <c r="H4" s="80" t="s">
        <v>39</v>
      </c>
      <c r="I4" s="168">
        <v>200000.0</v>
      </c>
      <c r="J4" s="200">
        <v>200000.0</v>
      </c>
      <c r="K4" s="200">
        <v>700000.0</v>
      </c>
      <c r="L4" s="169" t="s">
        <v>52</v>
      </c>
      <c r="M4" s="200">
        <v>350000.0</v>
      </c>
      <c r="N4" s="200">
        <v>400000.0</v>
      </c>
      <c r="O4" s="200">
        <v>1000000.0</v>
      </c>
      <c r="P4" s="169" t="s">
        <v>52</v>
      </c>
      <c r="Q4" s="200">
        <v>2500000.0</v>
      </c>
      <c r="R4" s="200">
        <v>3000000.0</v>
      </c>
      <c r="S4" s="200">
        <v>500000.0</v>
      </c>
      <c r="T4" s="168">
        <v>500000.0</v>
      </c>
      <c r="U4" s="169" t="s">
        <v>245</v>
      </c>
      <c r="V4" s="169" t="s">
        <v>52</v>
      </c>
      <c r="W4" s="200">
        <v>1000000.0</v>
      </c>
    </row>
    <row r="5">
      <c r="A5" s="63">
        <v>3.0</v>
      </c>
      <c r="B5" s="79" t="s">
        <v>266</v>
      </c>
      <c r="C5" s="69">
        <v>287000.0</v>
      </c>
      <c r="D5" s="80" t="str">
        <f t="shared" si="1"/>
        <v>Mid</v>
      </c>
      <c r="E5" s="79" t="s">
        <v>267</v>
      </c>
      <c r="F5" s="69">
        <v>477000.0</v>
      </c>
      <c r="G5" s="80" t="str">
        <f t="shared" si="2"/>
        <v>Mid</v>
      </c>
      <c r="H5" s="80" t="s">
        <v>66</v>
      </c>
      <c r="I5" s="135"/>
      <c r="J5" s="122">
        <v>350000.0</v>
      </c>
      <c r="K5" s="135"/>
      <c r="L5" s="135"/>
      <c r="M5" s="122">
        <v>500000.0</v>
      </c>
      <c r="N5" s="135"/>
      <c r="O5" s="122">
        <v>1000000.0</v>
      </c>
      <c r="P5" s="122">
        <v>150000.0</v>
      </c>
      <c r="Q5" s="122">
        <v>2000000.0</v>
      </c>
      <c r="R5" s="135"/>
      <c r="S5" s="122">
        <v>500000.0</v>
      </c>
      <c r="T5" s="122">
        <v>300000.0</v>
      </c>
      <c r="U5" s="135"/>
      <c r="V5" s="122">
        <v>200000.0</v>
      </c>
      <c r="W5" s="122" t="s">
        <v>269</v>
      </c>
    </row>
    <row r="6">
      <c r="A6" s="60">
        <v>4.0</v>
      </c>
      <c r="B6" s="79" t="s">
        <v>280</v>
      </c>
      <c r="C6" s="68">
        <v>2900000.0</v>
      </c>
      <c r="D6" s="80" t="str">
        <f t="shared" si="1"/>
        <v>Mega</v>
      </c>
      <c r="E6" s="79" t="s">
        <v>281</v>
      </c>
      <c r="F6" s="68">
        <v>1600000.0</v>
      </c>
      <c r="G6" s="80" t="str">
        <f t="shared" si="2"/>
        <v>Mega</v>
      </c>
      <c r="H6" s="80" t="s">
        <v>66</v>
      </c>
      <c r="I6" s="135"/>
      <c r="J6" s="122">
        <v>500000.0</v>
      </c>
      <c r="K6" s="135"/>
      <c r="L6" s="135"/>
      <c r="M6" s="122">
        <v>1000000.0</v>
      </c>
      <c r="N6" s="122">
        <v>1500000.0</v>
      </c>
      <c r="O6" s="122">
        <v>1500000.0</v>
      </c>
      <c r="P6" s="135"/>
      <c r="Q6" s="122">
        <v>1500000.0</v>
      </c>
      <c r="R6" s="122">
        <v>2000000.0</v>
      </c>
      <c r="S6" s="122">
        <v>1000000.0</v>
      </c>
      <c r="T6" s="122">
        <v>500000.0</v>
      </c>
      <c r="U6" s="135"/>
      <c r="V6" s="198" t="s">
        <v>52</v>
      </c>
      <c r="W6" s="122">
        <v>3500000.0</v>
      </c>
    </row>
    <row r="7">
      <c r="A7" s="60">
        <v>5.0</v>
      </c>
      <c r="B7" s="79" t="s">
        <v>282</v>
      </c>
      <c r="C7" s="69">
        <v>30900.0</v>
      </c>
      <c r="D7" s="80" t="str">
        <f t="shared" si="1"/>
        <v>Micro</v>
      </c>
      <c r="E7" s="79" t="s">
        <v>282</v>
      </c>
      <c r="F7" s="69">
        <v>47800.0</v>
      </c>
      <c r="G7" s="80" t="str">
        <f t="shared" si="2"/>
        <v>Micro</v>
      </c>
      <c r="H7" s="80" t="s">
        <v>39</v>
      </c>
      <c r="I7" s="135"/>
      <c r="J7" s="122">
        <v>1000000.0</v>
      </c>
      <c r="K7" s="122">
        <v>1000000.0</v>
      </c>
      <c r="L7" s="218" t="s">
        <v>62</v>
      </c>
      <c r="M7" s="122">
        <v>1500000.0</v>
      </c>
      <c r="N7" s="122">
        <v>1500000.0</v>
      </c>
      <c r="O7" s="122">
        <v>1500000.0</v>
      </c>
      <c r="P7" s="135"/>
      <c r="Q7" s="122">
        <v>1.5E7</v>
      </c>
      <c r="R7" s="122">
        <v>1.5E7</v>
      </c>
      <c r="S7" s="122">
        <v>1500000.0</v>
      </c>
      <c r="T7" s="122">
        <v>500000.0</v>
      </c>
      <c r="U7" s="135"/>
      <c r="V7" s="135"/>
      <c r="W7" s="122">
        <v>500000.0</v>
      </c>
    </row>
    <row r="8">
      <c r="A8" s="60">
        <v>7.0</v>
      </c>
      <c r="B8" s="79" t="s">
        <v>300</v>
      </c>
      <c r="C8" s="69">
        <v>972000.0</v>
      </c>
      <c r="D8" s="80" t="str">
        <f t="shared" si="1"/>
        <v>Macro</v>
      </c>
      <c r="E8" s="79" t="s">
        <v>300</v>
      </c>
      <c r="F8" s="69">
        <v>482300.0</v>
      </c>
      <c r="G8" s="80" t="str">
        <f t="shared" si="2"/>
        <v>Mid</v>
      </c>
      <c r="H8" s="80" t="s">
        <v>297</v>
      </c>
      <c r="I8" s="135"/>
      <c r="J8" s="122">
        <v>4000000.0</v>
      </c>
      <c r="K8" s="135"/>
      <c r="L8" s="135"/>
      <c r="M8" s="122">
        <v>8000000.0</v>
      </c>
      <c r="N8" s="135"/>
      <c r="O8" s="122">
        <v>5.0E7</v>
      </c>
      <c r="P8" s="135"/>
      <c r="Q8" s="135"/>
      <c r="R8" s="135"/>
      <c r="S8" s="122">
        <v>2.5E7</v>
      </c>
      <c r="T8" s="122" t="s">
        <v>302</v>
      </c>
      <c r="U8" s="135"/>
      <c r="V8" s="135"/>
      <c r="W8" s="135"/>
    </row>
  </sheetData>
  <mergeCells count="4">
    <mergeCell ref="A1:A2"/>
    <mergeCell ref="B1:H1"/>
    <mergeCell ref="J1:P1"/>
    <mergeCell ref="Q1:W1"/>
  </mergeCells>
  <dataValidations>
    <dataValidation type="list" allowBlank="1" showErrorMessage="1" sqref="D3:D8 G3:G8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</hyperlinks>
  <drawing r:id="rId1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63">
        <v>1.0</v>
      </c>
      <c r="B3" s="79" t="s">
        <v>212</v>
      </c>
      <c r="C3" s="69">
        <v>100000.0</v>
      </c>
      <c r="D3" s="80" t="str">
        <f t="shared" ref="D3:D5" si="1">ifs(C3&lt;10000, "Nano", C3&lt;=100000, "Micro", C3&lt;=500000, "Mid", C3&lt;=1000000, "Macro", C3&gt;1000000, "Mega")</f>
        <v>Micro</v>
      </c>
      <c r="E3" s="79" t="s">
        <v>212</v>
      </c>
      <c r="F3" s="69">
        <v>329900.0</v>
      </c>
      <c r="G3" s="80" t="str">
        <f t="shared" ref="G3:G6" si="2">ifs(F3&lt;10000, "Nano", F3&lt;=100000, "Micro", F3&lt;=500000, "Mid", F3&lt;=1000000, "Macro", F3&gt;1000000, "Mega")</f>
        <v>Mid</v>
      </c>
      <c r="H3" s="80" t="s">
        <v>46</v>
      </c>
      <c r="I3" s="83" t="s">
        <v>610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>
      <c r="A4" s="60">
        <v>2.0</v>
      </c>
      <c r="B4" s="127" t="s">
        <v>355</v>
      </c>
      <c r="C4" s="69">
        <v>181000.0</v>
      </c>
      <c r="D4" s="80" t="str">
        <f t="shared" si="1"/>
        <v>Mid</v>
      </c>
      <c r="E4" s="79" t="s">
        <v>355</v>
      </c>
      <c r="F4" s="69">
        <v>506000.0</v>
      </c>
      <c r="G4" s="80" t="str">
        <f t="shared" si="2"/>
        <v>Macro</v>
      </c>
      <c r="H4" s="129" t="s">
        <v>50</v>
      </c>
      <c r="I4" s="269"/>
      <c r="J4" s="114">
        <v>1000000.0</v>
      </c>
      <c r="K4" s="114">
        <v>3000000.0</v>
      </c>
      <c r="L4" s="115" t="s">
        <v>52</v>
      </c>
      <c r="M4" s="114">
        <v>2500000.0</v>
      </c>
      <c r="N4" s="114">
        <v>3000000.0</v>
      </c>
      <c r="O4" s="114">
        <v>5000000.0</v>
      </c>
      <c r="P4" s="115" t="s">
        <v>52</v>
      </c>
      <c r="Q4" s="114">
        <v>4000000.0</v>
      </c>
      <c r="R4" s="270">
        <v>5000000.0</v>
      </c>
      <c r="S4" s="114">
        <v>7000000.0</v>
      </c>
      <c r="T4" s="114">
        <v>1000000.0</v>
      </c>
      <c r="U4" s="269"/>
      <c r="V4" s="115" t="s">
        <v>52</v>
      </c>
      <c r="W4" s="114">
        <v>2.0E7</v>
      </c>
    </row>
    <row r="5">
      <c r="A5" s="60">
        <v>3.0</v>
      </c>
      <c r="B5" s="127" t="s">
        <v>360</v>
      </c>
      <c r="C5" s="69">
        <v>100000.0</v>
      </c>
      <c r="D5" s="80" t="str">
        <f t="shared" si="1"/>
        <v>Micro</v>
      </c>
      <c r="E5" s="79" t="s">
        <v>360</v>
      </c>
      <c r="F5" s="69">
        <v>409000.0</v>
      </c>
      <c r="G5" s="80" t="str">
        <f t="shared" si="2"/>
        <v>Mid</v>
      </c>
      <c r="H5" s="80" t="s">
        <v>361</v>
      </c>
      <c r="I5" s="114">
        <v>750000.0</v>
      </c>
      <c r="J5" s="271">
        <v>900000.0</v>
      </c>
      <c r="K5" s="269"/>
      <c r="L5" s="114">
        <v>50000.0</v>
      </c>
      <c r="M5" s="114">
        <v>1000000.0</v>
      </c>
      <c r="N5" s="269"/>
      <c r="O5" s="114">
        <v>1500000.0</v>
      </c>
      <c r="P5" s="115" t="s">
        <v>52</v>
      </c>
      <c r="Q5" s="114">
        <v>4000000.0</v>
      </c>
      <c r="R5" s="114">
        <v>4500000.0</v>
      </c>
      <c r="S5" s="269"/>
      <c r="T5" s="269"/>
      <c r="U5" s="269"/>
      <c r="V5" s="114">
        <v>50000.0</v>
      </c>
      <c r="W5" s="269"/>
    </row>
    <row r="6">
      <c r="A6" s="60">
        <v>4.0</v>
      </c>
      <c r="B6" s="79" t="s">
        <v>500</v>
      </c>
      <c r="C6" s="69">
        <v>198000.0</v>
      </c>
      <c r="D6" s="80" t="str">
        <f>ifs(C6&lt;10000, "Nano", C6&lt;=50000, "Micro", C6&lt;=500000, "Mid", C6&lt;=1000000, "Macro", C6&gt;1000000, "Mega")</f>
        <v>Mid</v>
      </c>
      <c r="E6" s="64" t="s">
        <v>500</v>
      </c>
      <c r="F6" s="69">
        <v>428600.0</v>
      </c>
      <c r="G6" s="80" t="str">
        <f t="shared" si="2"/>
        <v>Mid</v>
      </c>
      <c r="H6" s="80" t="s">
        <v>50</v>
      </c>
      <c r="I6" s="76"/>
      <c r="J6" s="66" t="s">
        <v>502</v>
      </c>
      <c r="K6" s="76"/>
      <c r="L6" s="76"/>
      <c r="M6" s="66">
        <v>3000000.0</v>
      </c>
      <c r="N6" s="76"/>
      <c r="O6" s="66" t="s">
        <v>503</v>
      </c>
      <c r="P6" s="99"/>
      <c r="Q6" s="66">
        <v>2000000.0</v>
      </c>
      <c r="R6" s="76"/>
      <c r="S6" s="76"/>
      <c r="T6" s="66">
        <v>500000.0</v>
      </c>
      <c r="U6" s="99"/>
      <c r="V6" s="99"/>
      <c r="W6" s="76"/>
    </row>
  </sheetData>
  <mergeCells count="5">
    <mergeCell ref="A1:A2"/>
    <mergeCell ref="B1:H1"/>
    <mergeCell ref="J1:P1"/>
    <mergeCell ref="Q1:W1"/>
    <mergeCell ref="I3:W3"/>
  </mergeCells>
  <dataValidations>
    <dataValidation type="list" allowBlank="1" showErrorMessage="1" sqref="D3:D6 G3:G6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</hyperlinks>
  <drawing r:id="rId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113">
        <v>1.0</v>
      </c>
      <c r="B3" s="127" t="s">
        <v>120</v>
      </c>
      <c r="C3" s="186">
        <v>329000.0</v>
      </c>
      <c r="D3" s="80" t="str">
        <f t="shared" ref="D3:D5" si="1">ifs(C3&lt;10000, "Nano", C3&lt;=100000, "Micro", C3&lt;=500000, "Mid", C3&lt;=1000000, "Macro", C3&gt;1000000, "Mega")</f>
        <v>Mid</v>
      </c>
      <c r="E3" s="79" t="s">
        <v>611</v>
      </c>
      <c r="F3" s="69">
        <v>166700.0</v>
      </c>
      <c r="G3" s="80" t="str">
        <f t="shared" ref="G3:G20" si="2">ifs(F3&lt;10000, "Nano", F3&lt;=100000, "Micro", F3&lt;=500000, "Mid", F3&lt;=1000000, "Macro", F3&gt;1000000, "Mega")</f>
        <v>Mid</v>
      </c>
      <c r="H3" s="129" t="s">
        <v>50</v>
      </c>
      <c r="I3" s="114">
        <v>500000.0</v>
      </c>
      <c r="J3" s="114">
        <v>1500000.0</v>
      </c>
      <c r="K3" s="114">
        <v>2500000.0</v>
      </c>
      <c r="L3" s="115" t="s">
        <v>52</v>
      </c>
      <c r="M3" s="114">
        <v>5000000.0</v>
      </c>
      <c r="N3" s="115" t="s">
        <v>52</v>
      </c>
      <c r="O3" s="114">
        <v>7500000.0</v>
      </c>
      <c r="P3" s="114">
        <v>2500000.0</v>
      </c>
      <c r="Q3" s="114">
        <v>1.0E7</v>
      </c>
      <c r="R3" s="114">
        <v>1.2E7</v>
      </c>
      <c r="S3" s="114" t="s">
        <v>123</v>
      </c>
      <c r="T3" s="114" t="s">
        <v>124</v>
      </c>
      <c r="U3" s="114">
        <v>2500000.0</v>
      </c>
      <c r="V3" s="115" t="s">
        <v>52</v>
      </c>
      <c r="W3" s="114">
        <v>6500000.0</v>
      </c>
    </row>
    <row r="4">
      <c r="A4" s="113">
        <v>2.0</v>
      </c>
      <c r="B4" s="79" t="s">
        <v>223</v>
      </c>
      <c r="C4" s="69">
        <v>66000.0</v>
      </c>
      <c r="D4" s="80" t="str">
        <f t="shared" si="1"/>
        <v>Micro</v>
      </c>
      <c r="E4" s="64" t="s">
        <v>223</v>
      </c>
      <c r="F4" s="75">
        <v>2200000.0</v>
      </c>
      <c r="G4" s="80" t="str">
        <f t="shared" si="2"/>
        <v>Mega</v>
      </c>
      <c r="H4" s="272" t="s">
        <v>39</v>
      </c>
      <c r="I4" s="123"/>
      <c r="J4" s="114">
        <v>500000.0</v>
      </c>
      <c r="K4" s="114">
        <v>1500000.0</v>
      </c>
      <c r="L4" s="115" t="s">
        <v>52</v>
      </c>
      <c r="M4" s="114">
        <v>2500000.0</v>
      </c>
      <c r="N4" s="114">
        <v>3000000.0</v>
      </c>
      <c r="O4" s="114">
        <v>4000000.0</v>
      </c>
      <c r="P4" s="115" t="s">
        <v>52</v>
      </c>
      <c r="Q4" s="114" t="s">
        <v>224</v>
      </c>
      <c r="R4" s="114">
        <v>1.2E7</v>
      </c>
      <c r="S4" s="114" t="s">
        <v>225</v>
      </c>
      <c r="T4" s="114">
        <v>4000000.0</v>
      </c>
      <c r="U4" s="114">
        <v>1000000.0</v>
      </c>
      <c r="V4" s="114">
        <v>500000.0</v>
      </c>
      <c r="W4" s="114" t="s">
        <v>226</v>
      </c>
    </row>
    <row r="5">
      <c r="A5" s="113">
        <v>3.0</v>
      </c>
      <c r="B5" s="79" t="s">
        <v>239</v>
      </c>
      <c r="C5" s="69">
        <v>39300.0</v>
      </c>
      <c r="D5" s="80" t="str">
        <f t="shared" si="1"/>
        <v>Micro</v>
      </c>
      <c r="E5" s="79" t="s">
        <v>240</v>
      </c>
      <c r="F5" s="65">
        <v>2200000.0</v>
      </c>
      <c r="G5" s="80" t="str">
        <f t="shared" si="2"/>
        <v>Mega</v>
      </c>
      <c r="H5" s="80" t="s">
        <v>66</v>
      </c>
      <c r="I5" s="114">
        <v>200000.0</v>
      </c>
      <c r="J5" s="114">
        <v>200000.0</v>
      </c>
      <c r="K5" s="114">
        <v>500000.0</v>
      </c>
      <c r="L5" s="115" t="s">
        <v>52</v>
      </c>
      <c r="M5" s="114">
        <v>800000.0</v>
      </c>
      <c r="N5" s="114">
        <v>1000000.0</v>
      </c>
      <c r="O5" s="114">
        <v>1500000.0</v>
      </c>
      <c r="P5" s="115" t="s">
        <v>52</v>
      </c>
      <c r="Q5" s="114">
        <v>6000000.0</v>
      </c>
      <c r="R5" s="114">
        <v>7000000.0</v>
      </c>
      <c r="S5" s="114">
        <v>2000000.0</v>
      </c>
      <c r="T5" s="114">
        <v>1000000.0</v>
      </c>
      <c r="U5" s="115" t="s">
        <v>52</v>
      </c>
      <c r="V5" s="115" t="s">
        <v>52</v>
      </c>
      <c r="W5" s="114">
        <v>8000000.0</v>
      </c>
    </row>
    <row r="6">
      <c r="A6" s="113">
        <v>4.0</v>
      </c>
      <c r="B6" s="63" t="s">
        <v>422</v>
      </c>
      <c r="C6" s="97"/>
      <c r="D6" s="80" t="str">
        <f>ifs(C6&lt;10000, "Nano", C6&lt;=50000, "Micro", C6&lt;=500000, "Mid", C6&lt;=1000000, "Macro", C6&gt;1000000, "Mega")</f>
        <v>Nano</v>
      </c>
      <c r="E6" s="64" t="s">
        <v>423</v>
      </c>
      <c r="F6" s="68">
        <v>3500000.0</v>
      </c>
      <c r="G6" s="80" t="str">
        <f t="shared" si="2"/>
        <v>Mega</v>
      </c>
      <c r="H6" s="80" t="s">
        <v>39</v>
      </c>
      <c r="I6" s="76"/>
      <c r="J6" s="66">
        <v>6000000.0</v>
      </c>
      <c r="K6" s="76"/>
      <c r="L6" s="76"/>
      <c r="M6" s="76"/>
      <c r="N6" s="76"/>
      <c r="O6" s="76"/>
      <c r="P6" s="72">
        <v>0.3</v>
      </c>
      <c r="Q6" s="66" t="s">
        <v>425</v>
      </c>
      <c r="R6" s="66" t="s">
        <v>426</v>
      </c>
      <c r="S6" s="66">
        <v>3.0E7</v>
      </c>
      <c r="T6" s="72">
        <v>1.0</v>
      </c>
      <c r="U6" s="72">
        <v>0.3</v>
      </c>
      <c r="V6" s="76"/>
      <c r="W6" s="66">
        <v>2.8E7</v>
      </c>
    </row>
    <row r="7">
      <c r="A7" s="113">
        <v>5.0</v>
      </c>
      <c r="B7" s="127" t="s">
        <v>363</v>
      </c>
      <c r="C7" s="69">
        <v>238000.0</v>
      </c>
      <c r="D7" s="80" t="str">
        <f>ifs(C7&lt;10000, "Nano", C7&lt;=100000, "Micro", C7&lt;=500000, "Mid", C7&lt;=1000000, "Macro", C7&gt;1000000, "Mega")</f>
        <v>Mid</v>
      </c>
      <c r="E7" s="79" t="s">
        <v>364</v>
      </c>
      <c r="F7" s="65">
        <v>2700000.0</v>
      </c>
      <c r="G7" s="80" t="str">
        <f t="shared" si="2"/>
        <v>Mega</v>
      </c>
      <c r="H7" s="129" t="s">
        <v>39</v>
      </c>
      <c r="I7" s="269"/>
      <c r="J7" s="114">
        <v>5000000.0</v>
      </c>
      <c r="K7" s="114">
        <v>1.3E7</v>
      </c>
      <c r="L7" s="114" t="s">
        <v>366</v>
      </c>
      <c r="M7" s="114">
        <v>9000000.0</v>
      </c>
      <c r="N7" s="273">
        <v>2.5E7</v>
      </c>
      <c r="O7" s="114">
        <v>1.7E7</v>
      </c>
      <c r="P7" s="274">
        <v>0.5</v>
      </c>
      <c r="Q7" s="114">
        <v>3.0E7</v>
      </c>
      <c r="R7" s="273">
        <v>2.5E7</v>
      </c>
      <c r="S7" s="273">
        <v>3.5E7</v>
      </c>
      <c r="T7" s="117">
        <v>1.0</v>
      </c>
      <c r="U7" s="117">
        <v>0.3</v>
      </c>
      <c r="V7" s="117">
        <v>0.3</v>
      </c>
      <c r="W7" s="114">
        <v>1.5E7</v>
      </c>
    </row>
    <row r="8">
      <c r="A8" s="113">
        <v>6.0</v>
      </c>
      <c r="B8" s="272" t="s">
        <v>422</v>
      </c>
      <c r="C8" s="96"/>
      <c r="D8" s="97"/>
      <c r="E8" s="79" t="s">
        <v>392</v>
      </c>
      <c r="F8" s="69">
        <v>862900.0</v>
      </c>
      <c r="G8" s="80" t="str">
        <f t="shared" si="2"/>
        <v>Macro</v>
      </c>
      <c r="H8" s="129" t="s">
        <v>321</v>
      </c>
      <c r="I8" s="269"/>
      <c r="J8" s="269"/>
      <c r="K8" s="269"/>
      <c r="L8" s="269"/>
      <c r="M8" s="269"/>
      <c r="N8" s="269"/>
      <c r="O8" s="269"/>
      <c r="P8" s="269"/>
      <c r="Q8" s="114">
        <v>6000000.0</v>
      </c>
      <c r="R8" s="269"/>
      <c r="S8" s="269"/>
      <c r="T8" s="269"/>
      <c r="U8" s="269"/>
      <c r="V8" s="269"/>
      <c r="W8" s="269"/>
    </row>
    <row r="9">
      <c r="A9" s="113">
        <v>7.0</v>
      </c>
      <c r="B9" s="79" t="s">
        <v>394</v>
      </c>
      <c r="C9" s="68">
        <v>2400000.0</v>
      </c>
      <c r="D9" s="80" t="str">
        <f t="shared" ref="D9:D13" si="3">ifs(C9&lt;10000, "Nano", C9&lt;=100000, "Micro", C9&lt;=500000, "Mid", C9&lt;=1000000, "Macro", C9&gt;1000000, "Mega")</f>
        <v>Mega</v>
      </c>
      <c r="E9" s="79" t="s">
        <v>395</v>
      </c>
      <c r="F9" s="68">
        <v>1.36E7</v>
      </c>
      <c r="G9" s="80" t="str">
        <f t="shared" si="2"/>
        <v>Mega</v>
      </c>
      <c r="H9" s="80" t="s">
        <v>50</v>
      </c>
      <c r="I9" s="66">
        <v>1500000.0</v>
      </c>
      <c r="J9" s="66">
        <v>5000000.0</v>
      </c>
      <c r="K9" s="86"/>
      <c r="L9" s="86"/>
      <c r="M9" s="66">
        <v>1.5E7</v>
      </c>
      <c r="N9" s="86"/>
      <c r="O9" s="66">
        <v>3.5E7</v>
      </c>
      <c r="P9" s="72">
        <v>0.1</v>
      </c>
      <c r="Q9" s="66">
        <v>5.0E7</v>
      </c>
      <c r="R9" s="86"/>
      <c r="S9" s="86"/>
      <c r="T9" s="72">
        <v>0.5</v>
      </c>
      <c r="U9" s="86"/>
      <c r="V9" s="86"/>
      <c r="W9" s="66" t="s">
        <v>396</v>
      </c>
    </row>
    <row r="10">
      <c r="A10" s="113">
        <v>8.0</v>
      </c>
      <c r="B10" s="275" t="s">
        <v>397</v>
      </c>
      <c r="C10" s="69">
        <v>22100.0</v>
      </c>
      <c r="D10" s="80" t="str">
        <f t="shared" si="3"/>
        <v>Micro</v>
      </c>
      <c r="E10" s="79" t="s">
        <v>397</v>
      </c>
      <c r="F10" s="69">
        <v>824500.0</v>
      </c>
      <c r="G10" s="80" t="str">
        <f t="shared" si="2"/>
        <v>Macro</v>
      </c>
      <c r="H10" s="80" t="s">
        <v>321</v>
      </c>
      <c r="I10" s="86"/>
      <c r="J10" s="66">
        <v>1000000.0</v>
      </c>
      <c r="K10" s="86"/>
      <c r="L10" s="86"/>
      <c r="M10" s="66">
        <v>1750000.0</v>
      </c>
      <c r="N10" s="86"/>
      <c r="O10" s="66">
        <v>4750000.0</v>
      </c>
      <c r="P10" s="86"/>
      <c r="Q10" s="66">
        <v>9750000.0</v>
      </c>
      <c r="R10" s="66">
        <v>1.025E7</v>
      </c>
      <c r="S10" s="86"/>
      <c r="T10" s="72">
        <v>0.5</v>
      </c>
      <c r="U10" s="66">
        <v>500000.0</v>
      </c>
      <c r="V10" s="86"/>
      <c r="W10" s="86"/>
    </row>
    <row r="11">
      <c r="A11" s="113">
        <v>9.0</v>
      </c>
      <c r="B11" s="79" t="s">
        <v>399</v>
      </c>
      <c r="C11" s="69">
        <v>98400.0</v>
      </c>
      <c r="D11" s="80" t="str">
        <f t="shared" si="3"/>
        <v>Micro</v>
      </c>
      <c r="E11" s="79" t="s">
        <v>399</v>
      </c>
      <c r="F11" s="69">
        <v>230600.0</v>
      </c>
      <c r="G11" s="80" t="str">
        <f t="shared" si="2"/>
        <v>Mid</v>
      </c>
      <c r="H11" s="80" t="s">
        <v>46</v>
      </c>
      <c r="I11" s="86"/>
      <c r="J11" s="66">
        <v>500000.0</v>
      </c>
      <c r="K11" s="86"/>
      <c r="L11" s="66">
        <v>50000.0</v>
      </c>
      <c r="M11" s="66">
        <v>500000.0</v>
      </c>
      <c r="N11" s="66">
        <v>50000.0</v>
      </c>
      <c r="O11" s="66">
        <v>5000000.0</v>
      </c>
      <c r="P11" s="66">
        <v>1500000.0</v>
      </c>
      <c r="Q11" s="66">
        <v>5500000.0</v>
      </c>
      <c r="R11" s="66">
        <v>1500000.0</v>
      </c>
      <c r="S11" s="66">
        <v>500000.0</v>
      </c>
      <c r="T11" s="66">
        <v>1500000.0</v>
      </c>
      <c r="U11" s="66">
        <v>1000000.0</v>
      </c>
      <c r="V11" s="66">
        <v>300000.0</v>
      </c>
      <c r="W11" s="66">
        <v>1000000.0</v>
      </c>
    </row>
    <row r="12">
      <c r="A12" s="113">
        <v>10.0</v>
      </c>
      <c r="B12" s="79" t="s">
        <v>409</v>
      </c>
      <c r="C12" s="69">
        <v>374000.0</v>
      </c>
      <c r="D12" s="80" t="str">
        <f t="shared" si="3"/>
        <v>Mid</v>
      </c>
      <c r="E12" s="79" t="s">
        <v>410</v>
      </c>
      <c r="F12" s="68">
        <v>1900000.0</v>
      </c>
      <c r="G12" s="80" t="str">
        <f t="shared" si="2"/>
        <v>Mega</v>
      </c>
      <c r="H12" s="80" t="s">
        <v>321</v>
      </c>
      <c r="I12" s="66">
        <v>2000000.0</v>
      </c>
      <c r="J12" s="66">
        <v>3500000.0</v>
      </c>
      <c r="K12" s="66">
        <v>1.0E7</v>
      </c>
      <c r="L12" s="71" t="s">
        <v>52</v>
      </c>
      <c r="M12" s="66">
        <v>1.5E7</v>
      </c>
      <c r="N12" s="66">
        <v>1.6E7</v>
      </c>
      <c r="O12" s="66">
        <v>1.7E7</v>
      </c>
      <c r="P12" s="71" t="s">
        <v>52</v>
      </c>
      <c r="Q12" s="66">
        <v>2.8E7</v>
      </c>
      <c r="R12" s="66">
        <v>4.5E7</v>
      </c>
      <c r="S12" s="66">
        <v>1.8E7</v>
      </c>
      <c r="T12" s="67">
        <v>1.0</v>
      </c>
      <c r="U12" s="67">
        <v>0.3</v>
      </c>
      <c r="V12" s="67">
        <v>0.3</v>
      </c>
      <c r="W12" s="67">
        <v>0.3</v>
      </c>
    </row>
    <row r="13">
      <c r="A13" s="113">
        <v>11.0</v>
      </c>
      <c r="B13" s="127" t="s">
        <v>364</v>
      </c>
      <c r="C13" s="69">
        <v>770000.0</v>
      </c>
      <c r="D13" s="80" t="str">
        <f t="shared" si="3"/>
        <v>Macro</v>
      </c>
      <c r="E13" s="79" t="s">
        <v>364</v>
      </c>
      <c r="F13" s="65">
        <v>2700000.0</v>
      </c>
      <c r="G13" s="80" t="str">
        <f t="shared" si="2"/>
        <v>Mega</v>
      </c>
      <c r="H13" s="129" t="s">
        <v>39</v>
      </c>
      <c r="I13" s="269"/>
      <c r="J13" s="114">
        <v>9000000.0</v>
      </c>
      <c r="K13" s="273">
        <v>2.5E7</v>
      </c>
      <c r="L13" s="114" t="s">
        <v>421</v>
      </c>
      <c r="M13" s="273">
        <v>1.5E7</v>
      </c>
      <c r="N13" s="273">
        <v>3.5E7</v>
      </c>
      <c r="O13" s="114">
        <v>2.5E7</v>
      </c>
      <c r="P13" s="274">
        <v>0.5</v>
      </c>
      <c r="Q13" s="114">
        <v>3.0E7</v>
      </c>
      <c r="R13" s="273">
        <v>2.5E7</v>
      </c>
      <c r="S13" s="273">
        <v>3.5E7</v>
      </c>
      <c r="T13" s="117">
        <v>1.0</v>
      </c>
      <c r="U13" s="117">
        <v>0.3</v>
      </c>
      <c r="V13" s="117">
        <v>0.3</v>
      </c>
      <c r="W13" s="114">
        <v>1.5E7</v>
      </c>
    </row>
    <row r="14">
      <c r="A14" s="113">
        <v>12.0</v>
      </c>
      <c r="B14" s="80" t="s">
        <v>422</v>
      </c>
      <c r="C14" s="96"/>
      <c r="D14" s="80" t="str">
        <f t="shared" ref="D14:D20" si="4">ifs(C14&lt;10000, "Nano", C14&lt;=50000, "Micro", C14&lt;=500000, "Mid", C14&lt;=1000000, "Macro", C14&gt;1000000, "Mega")</f>
        <v>Nano</v>
      </c>
      <c r="E14" s="64" t="s">
        <v>423</v>
      </c>
      <c r="F14" s="68">
        <v>3500000.0</v>
      </c>
      <c r="G14" s="80" t="str">
        <f t="shared" si="2"/>
        <v>Mega</v>
      </c>
      <c r="H14" s="80" t="s">
        <v>39</v>
      </c>
      <c r="I14" s="76"/>
      <c r="J14" s="66">
        <v>6000000.0</v>
      </c>
      <c r="K14" s="76"/>
      <c r="L14" s="76"/>
      <c r="M14" s="76"/>
      <c r="N14" s="76"/>
      <c r="O14" s="76"/>
      <c r="P14" s="72">
        <v>0.3</v>
      </c>
      <c r="Q14" s="66" t="s">
        <v>425</v>
      </c>
      <c r="R14" s="66" t="s">
        <v>426</v>
      </c>
      <c r="S14" s="66">
        <v>3.0E7</v>
      </c>
      <c r="T14" s="72">
        <v>1.0</v>
      </c>
      <c r="U14" s="72">
        <v>0.3</v>
      </c>
      <c r="V14" s="76"/>
      <c r="W14" s="66">
        <v>2.8E7</v>
      </c>
    </row>
    <row r="15">
      <c r="A15" s="113">
        <v>13.0</v>
      </c>
      <c r="B15" s="79" t="s">
        <v>442</v>
      </c>
      <c r="C15" s="69">
        <v>416000.0</v>
      </c>
      <c r="D15" s="80" t="str">
        <f t="shared" si="4"/>
        <v>Mid</v>
      </c>
      <c r="E15" s="64" t="s">
        <v>443</v>
      </c>
      <c r="F15" s="68">
        <v>1200000.0</v>
      </c>
      <c r="G15" s="80" t="str">
        <f t="shared" si="2"/>
        <v>Mega</v>
      </c>
      <c r="H15" s="80" t="s">
        <v>39</v>
      </c>
      <c r="I15" s="76"/>
      <c r="J15" s="66">
        <v>5000000.0</v>
      </c>
      <c r="K15" s="66">
        <v>2.0E7</v>
      </c>
      <c r="L15" s="66">
        <v>3000000.0</v>
      </c>
      <c r="M15" s="66">
        <v>1.5E7</v>
      </c>
      <c r="N15" s="76"/>
      <c r="O15" s="66">
        <v>2.1E7</v>
      </c>
      <c r="P15" s="66">
        <v>1.0E7</v>
      </c>
      <c r="Q15" s="66">
        <v>3.5E7</v>
      </c>
      <c r="R15" s="66">
        <v>2.1E7</v>
      </c>
      <c r="S15" s="66">
        <v>3.0E7</v>
      </c>
      <c r="T15" s="99"/>
      <c r="U15" s="71" t="s">
        <v>52</v>
      </c>
      <c r="V15" s="66">
        <v>3000000.0</v>
      </c>
      <c r="W15" s="66">
        <v>1.0E7</v>
      </c>
    </row>
    <row r="16">
      <c r="A16" s="113">
        <v>14.0</v>
      </c>
      <c r="B16" s="79" t="s">
        <v>460</v>
      </c>
      <c r="C16" s="69">
        <v>41500.0</v>
      </c>
      <c r="D16" s="80" t="str">
        <f t="shared" si="4"/>
        <v>Micro</v>
      </c>
      <c r="E16" s="64" t="s">
        <v>460</v>
      </c>
      <c r="F16" s="68">
        <v>1700000.0</v>
      </c>
      <c r="G16" s="80" t="str">
        <f t="shared" si="2"/>
        <v>Mega</v>
      </c>
      <c r="H16" s="80" t="s">
        <v>461</v>
      </c>
      <c r="I16" s="76"/>
      <c r="J16" s="76"/>
      <c r="K16" s="76"/>
      <c r="L16" s="76"/>
      <c r="M16" s="76"/>
      <c r="N16" s="76"/>
      <c r="O16" s="76"/>
      <c r="P16" s="99"/>
      <c r="Q16" s="66">
        <v>2.0E7</v>
      </c>
      <c r="R16" s="66">
        <v>5000000.0</v>
      </c>
      <c r="S16" s="76"/>
      <c r="T16" s="66">
        <v>1.5E7</v>
      </c>
      <c r="U16" s="99"/>
      <c r="V16" s="76"/>
      <c r="W16" s="76"/>
    </row>
    <row r="17">
      <c r="A17" s="113">
        <v>15.0</v>
      </c>
      <c r="B17" s="79" t="s">
        <v>465</v>
      </c>
      <c r="C17" s="69">
        <v>703000.0</v>
      </c>
      <c r="D17" s="80" t="str">
        <f t="shared" si="4"/>
        <v>Macro</v>
      </c>
      <c r="E17" s="64" t="s">
        <v>466</v>
      </c>
      <c r="F17" s="68">
        <v>2300000.0</v>
      </c>
      <c r="G17" s="80" t="str">
        <f t="shared" si="2"/>
        <v>Mega</v>
      </c>
      <c r="H17" s="95"/>
      <c r="I17" s="76"/>
      <c r="J17" s="66">
        <v>7000000.0</v>
      </c>
      <c r="K17" s="66">
        <v>1.7E7</v>
      </c>
      <c r="L17" s="66">
        <v>1000000.0</v>
      </c>
      <c r="M17" s="66">
        <v>1.9E7</v>
      </c>
      <c r="N17" s="76"/>
      <c r="O17" s="66">
        <v>2.2E7</v>
      </c>
      <c r="P17" s="99"/>
      <c r="Q17" s="66">
        <v>2.7E7</v>
      </c>
      <c r="R17" s="66">
        <v>4.3E7</v>
      </c>
      <c r="S17" s="66">
        <v>2.0E7</v>
      </c>
      <c r="T17" s="72">
        <v>0.5</v>
      </c>
      <c r="U17" s="99"/>
      <c r="V17" s="76"/>
      <c r="W17" s="66">
        <v>1.6E7</v>
      </c>
    </row>
    <row r="18">
      <c r="A18" s="113">
        <v>16.0</v>
      </c>
      <c r="B18" s="79" t="s">
        <v>468</v>
      </c>
      <c r="C18" s="69">
        <v>337000.0</v>
      </c>
      <c r="D18" s="80" t="str">
        <f t="shared" si="4"/>
        <v>Mid</v>
      </c>
      <c r="E18" s="64" t="s">
        <v>468</v>
      </c>
      <c r="F18" s="68">
        <v>4800000.0</v>
      </c>
      <c r="G18" s="80" t="str">
        <f t="shared" si="2"/>
        <v>Mega</v>
      </c>
      <c r="H18" s="95"/>
      <c r="I18" s="76"/>
      <c r="J18" s="66">
        <v>6000000.0</v>
      </c>
      <c r="K18" s="66">
        <v>1.5E7</v>
      </c>
      <c r="L18" s="66">
        <v>1000000.0</v>
      </c>
      <c r="M18" s="66">
        <v>8000000.0</v>
      </c>
      <c r="N18" s="66">
        <v>1.0E7</v>
      </c>
      <c r="O18" s="66">
        <v>2.0E7</v>
      </c>
      <c r="P18" s="99"/>
      <c r="Q18" s="66">
        <v>2.5E7</v>
      </c>
      <c r="R18" s="66">
        <v>4.0E7</v>
      </c>
      <c r="S18" s="66">
        <v>2.0E7</v>
      </c>
      <c r="T18" s="72">
        <v>0.5</v>
      </c>
      <c r="U18" s="99"/>
      <c r="V18" s="76"/>
      <c r="W18" s="66">
        <v>1.5E7</v>
      </c>
    </row>
    <row r="19">
      <c r="A19" s="113">
        <v>17.0</v>
      </c>
      <c r="B19" s="79" t="s">
        <v>469</v>
      </c>
      <c r="C19" s="69">
        <v>101000.0</v>
      </c>
      <c r="D19" s="80" t="str">
        <f t="shared" si="4"/>
        <v>Mid</v>
      </c>
      <c r="E19" s="64" t="s">
        <v>470</v>
      </c>
      <c r="F19" s="68">
        <v>2100000.0</v>
      </c>
      <c r="G19" s="80" t="str">
        <f t="shared" si="2"/>
        <v>Mega</v>
      </c>
      <c r="H19" s="95"/>
      <c r="I19" s="76"/>
      <c r="J19" s="66">
        <v>5000000.0</v>
      </c>
      <c r="K19" s="66">
        <v>1.2E7</v>
      </c>
      <c r="L19" s="66">
        <v>1000000.0</v>
      </c>
      <c r="M19" s="66">
        <v>1.3E7</v>
      </c>
      <c r="N19" s="76"/>
      <c r="O19" s="66">
        <v>1.8E7</v>
      </c>
      <c r="P19" s="99"/>
      <c r="Q19" s="66">
        <v>2.5E7</v>
      </c>
      <c r="R19" s="66">
        <v>3.0E7</v>
      </c>
      <c r="S19" s="66">
        <v>1.5E7</v>
      </c>
      <c r="T19" s="72">
        <v>0.5</v>
      </c>
      <c r="U19" s="99"/>
      <c r="V19" s="76"/>
      <c r="W19" s="66">
        <v>2.0E7</v>
      </c>
    </row>
    <row r="20">
      <c r="A20" s="113">
        <v>18.0</v>
      </c>
      <c r="B20" s="79" t="s">
        <v>474</v>
      </c>
      <c r="C20" s="69">
        <v>12700.0</v>
      </c>
      <c r="D20" s="80" t="str">
        <f t="shared" si="4"/>
        <v>Micro</v>
      </c>
      <c r="E20" s="64" t="s">
        <v>475</v>
      </c>
      <c r="F20" s="69">
        <v>320500.0</v>
      </c>
      <c r="G20" s="80" t="str">
        <f t="shared" si="2"/>
        <v>Mid</v>
      </c>
      <c r="H20" s="95"/>
      <c r="I20" s="76"/>
      <c r="J20" s="66">
        <v>4000000.0</v>
      </c>
      <c r="K20" s="66">
        <v>9000000.0</v>
      </c>
      <c r="L20" s="66">
        <v>1000000.0</v>
      </c>
      <c r="M20" s="66">
        <v>6000000.0</v>
      </c>
      <c r="N20" s="76"/>
      <c r="O20" s="66">
        <v>1.0E7</v>
      </c>
      <c r="P20" s="99"/>
      <c r="Q20" s="66">
        <v>1.0E7</v>
      </c>
      <c r="R20" s="66">
        <v>1.7E7</v>
      </c>
      <c r="S20" s="66">
        <v>1.5E7</v>
      </c>
      <c r="T20" s="72">
        <v>0.5</v>
      </c>
      <c r="U20" s="99"/>
      <c r="V20" s="76"/>
      <c r="W20" s="66">
        <v>3000000.0</v>
      </c>
    </row>
  </sheetData>
  <mergeCells count="4">
    <mergeCell ref="A1:A2"/>
    <mergeCell ref="B1:H1"/>
    <mergeCell ref="J1:P1"/>
    <mergeCell ref="Q1:W1"/>
  </mergeCells>
  <conditionalFormatting sqref="I12:W20">
    <cfRule type="containsBlanks" dxfId="1" priority="1">
      <formula>LEN(TRIM(I12))=0</formula>
    </cfRule>
  </conditionalFormatting>
  <conditionalFormatting sqref="B7:W7">
    <cfRule type="containsBlanks" dxfId="0" priority="2">
      <formula>LEN(TRIM(B7))=0</formula>
    </cfRule>
  </conditionalFormatting>
  <dataValidations>
    <dataValidation type="list" allowBlank="1" showErrorMessage="1" sqref="D3:D20 G3:G20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E6"/>
    <hyperlink r:id="rId8" ref="B7"/>
    <hyperlink r:id="rId9" ref="E7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E14"/>
    <hyperlink r:id="rId22" ref="B15"/>
    <hyperlink r:id="rId23" ref="E15"/>
    <hyperlink r:id="rId24" ref="B16"/>
    <hyperlink r:id="rId25" ref="E16"/>
    <hyperlink r:id="rId26" ref="B17"/>
    <hyperlink r:id="rId27" ref="E17"/>
    <hyperlink r:id="rId28" ref="B18"/>
    <hyperlink r:id="rId29" ref="E18"/>
    <hyperlink r:id="rId30" ref="B19"/>
    <hyperlink r:id="rId31" ref="E19"/>
    <hyperlink r:id="rId32" ref="B20"/>
    <hyperlink r:id="rId33" ref="E20"/>
  </hyperlinks>
  <drawing r:id="rId3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60">
        <v>1.0</v>
      </c>
      <c r="B3" s="79" t="s">
        <v>333</v>
      </c>
      <c r="C3" s="69">
        <v>78000.0</v>
      </c>
      <c r="D3" s="80" t="str">
        <f t="shared" ref="D3:D4" si="1">ifs(C3&lt;10000, "Nano", C3&lt;=100000, "Micro", C3&lt;=500000, "Mid", C3&lt;=1000000, "Macro", C3&gt;1000000, "Mega")</f>
        <v>Micro</v>
      </c>
      <c r="E3" s="79" t="s">
        <v>333</v>
      </c>
      <c r="F3" s="69">
        <v>13000.0</v>
      </c>
      <c r="G3" s="80" t="str">
        <f t="shared" ref="G3:G7" si="2">ifs(F3&lt;10000, "Nano", F3&lt;=100000, "Micro", F3&lt;=500000, "Mid", F3&lt;=1000000, "Macro", F3&gt;1000000, "Mega")</f>
        <v>Micro</v>
      </c>
      <c r="H3" s="129" t="s">
        <v>50</v>
      </c>
      <c r="I3" s="123"/>
      <c r="J3" s="123"/>
      <c r="K3" s="123"/>
      <c r="L3" s="115" t="s">
        <v>52</v>
      </c>
      <c r="M3" s="123"/>
      <c r="N3" s="123"/>
      <c r="O3" s="114">
        <v>1000000.0</v>
      </c>
      <c r="P3" s="115" t="s">
        <v>52</v>
      </c>
      <c r="Q3" s="115" t="s">
        <v>52</v>
      </c>
      <c r="R3" s="115" t="s">
        <v>52</v>
      </c>
      <c r="S3" s="123"/>
      <c r="T3" s="114">
        <v>500000.0</v>
      </c>
      <c r="U3" s="114">
        <v>500000.0</v>
      </c>
      <c r="V3" s="115" t="s">
        <v>52</v>
      </c>
      <c r="W3" s="66">
        <v>1500000.0</v>
      </c>
    </row>
    <row r="4">
      <c r="A4" s="60">
        <v>2.0</v>
      </c>
      <c r="B4" s="127" t="s">
        <v>349</v>
      </c>
      <c r="C4" s="69">
        <v>237000.0</v>
      </c>
      <c r="D4" s="80" t="str">
        <f t="shared" si="1"/>
        <v>Mid</v>
      </c>
      <c r="E4" s="79" t="s">
        <v>350</v>
      </c>
      <c r="F4" s="65">
        <v>1100000.0</v>
      </c>
      <c r="G4" s="80" t="str">
        <f t="shared" si="2"/>
        <v>Mega</v>
      </c>
      <c r="H4" s="129" t="s">
        <v>39</v>
      </c>
      <c r="I4" s="114">
        <v>3500000.0</v>
      </c>
      <c r="J4" s="114">
        <v>3500000.0</v>
      </c>
      <c r="K4" s="114">
        <v>6500000.0</v>
      </c>
      <c r="L4" s="114">
        <v>1000000.0</v>
      </c>
      <c r="M4" s="114">
        <v>6000000.0</v>
      </c>
      <c r="N4" s="114" t="s">
        <v>352</v>
      </c>
      <c r="O4" s="114" t="s">
        <v>353</v>
      </c>
      <c r="P4" s="114">
        <v>5000000.0</v>
      </c>
      <c r="Q4" s="114" t="s">
        <v>354</v>
      </c>
      <c r="R4" s="114">
        <v>2.0E7</v>
      </c>
      <c r="S4" s="114">
        <v>5000000.0</v>
      </c>
      <c r="T4" s="276">
        <v>7000000.0</v>
      </c>
      <c r="U4" s="107"/>
      <c r="V4" s="269"/>
      <c r="W4" s="114">
        <v>7000000.0</v>
      </c>
    </row>
    <row r="5">
      <c r="A5" s="60">
        <v>3.0</v>
      </c>
      <c r="B5" s="79" t="s">
        <v>431</v>
      </c>
      <c r="C5" s="69">
        <v>124000.0</v>
      </c>
      <c r="D5" s="80" t="str">
        <f t="shared" ref="D5:D7" si="3">ifs(C5&lt;10000, "Nano", C5&lt;=50000, "Micro", C5&lt;=500000, "Mid", C5&lt;=1000000, "Macro", C5&gt;1000000, "Mega")</f>
        <v>Mid</v>
      </c>
      <c r="E5" s="64" t="s">
        <v>432</v>
      </c>
      <c r="F5" s="69">
        <v>972800.0</v>
      </c>
      <c r="G5" s="80" t="str">
        <f t="shared" si="2"/>
        <v>Macro</v>
      </c>
      <c r="H5" s="80" t="s">
        <v>39</v>
      </c>
      <c r="I5" s="76"/>
      <c r="J5" s="66">
        <v>1000000.0</v>
      </c>
      <c r="K5" s="66">
        <v>3000000.0</v>
      </c>
      <c r="L5" s="71" t="s">
        <v>52</v>
      </c>
      <c r="M5" s="66">
        <v>3000000.0</v>
      </c>
      <c r="N5" s="66">
        <v>4500000.0</v>
      </c>
      <c r="O5" s="66">
        <v>7000000.0</v>
      </c>
      <c r="P5" s="66">
        <v>1000000.0</v>
      </c>
      <c r="Q5" s="66">
        <v>1.0E7</v>
      </c>
      <c r="R5" s="76"/>
      <c r="S5" s="66">
        <v>8000000.0</v>
      </c>
      <c r="T5" s="72">
        <v>0.5</v>
      </c>
      <c r="U5" s="99"/>
      <c r="V5" s="76"/>
      <c r="W5" s="66">
        <v>7000000.0</v>
      </c>
    </row>
    <row r="6">
      <c r="A6" s="60">
        <v>4.0</v>
      </c>
      <c r="B6" s="79" t="s">
        <v>440</v>
      </c>
      <c r="C6" s="68">
        <v>1000000.0</v>
      </c>
      <c r="D6" s="80" t="str">
        <f t="shared" si="3"/>
        <v>Macro</v>
      </c>
      <c r="E6" s="64" t="s">
        <v>440</v>
      </c>
      <c r="F6" s="68">
        <v>8100000.0</v>
      </c>
      <c r="G6" s="80" t="str">
        <f t="shared" si="2"/>
        <v>Mega</v>
      </c>
      <c r="H6" s="80" t="s">
        <v>39</v>
      </c>
      <c r="I6" s="76"/>
      <c r="J6" s="66">
        <v>7000000.0</v>
      </c>
      <c r="K6" s="76"/>
      <c r="L6" s="76"/>
      <c r="M6" s="66">
        <v>8500000.0</v>
      </c>
      <c r="N6" s="66">
        <v>1000000.0</v>
      </c>
      <c r="O6" s="66">
        <v>2.0E7</v>
      </c>
      <c r="P6" s="66">
        <v>5000000.0</v>
      </c>
      <c r="Q6" s="66">
        <v>2.25E7</v>
      </c>
      <c r="R6" s="76"/>
      <c r="S6" s="66">
        <v>2.5E7</v>
      </c>
      <c r="T6" s="99"/>
      <c r="U6" s="99"/>
      <c r="V6" s="76"/>
      <c r="W6" s="76"/>
    </row>
    <row r="7">
      <c r="A7" s="60">
        <v>5.0</v>
      </c>
      <c r="B7" s="79" t="s">
        <v>441</v>
      </c>
      <c r="C7" s="68">
        <v>1000000.0</v>
      </c>
      <c r="D7" s="80" t="str">
        <f t="shared" si="3"/>
        <v>Macro</v>
      </c>
      <c r="E7" s="64" t="s">
        <v>441</v>
      </c>
      <c r="F7" s="68">
        <v>2200000.0</v>
      </c>
      <c r="G7" s="80" t="str">
        <f t="shared" si="2"/>
        <v>Mega</v>
      </c>
      <c r="H7" s="80" t="s">
        <v>39</v>
      </c>
      <c r="I7" s="76"/>
      <c r="J7" s="66">
        <v>1.2E7</v>
      </c>
      <c r="K7" s="66">
        <v>3.5E7</v>
      </c>
      <c r="L7" s="76"/>
      <c r="M7" s="66">
        <v>5.0E7</v>
      </c>
      <c r="N7" s="66">
        <v>6.0E7</v>
      </c>
      <c r="O7" s="66">
        <v>5.5E7</v>
      </c>
      <c r="P7" s="66">
        <v>2.75E7</v>
      </c>
      <c r="Q7" s="66">
        <v>4.0E7</v>
      </c>
      <c r="R7" s="66">
        <v>2.75E7</v>
      </c>
      <c r="S7" s="76"/>
      <c r="T7" s="99"/>
      <c r="U7" s="99"/>
      <c r="V7" s="66">
        <v>1.5E7</v>
      </c>
      <c r="W7" s="66">
        <v>5.5E7</v>
      </c>
    </row>
  </sheetData>
  <mergeCells count="5">
    <mergeCell ref="A1:A2"/>
    <mergeCell ref="B1:H1"/>
    <mergeCell ref="J1:P1"/>
    <mergeCell ref="Q1:W1"/>
    <mergeCell ref="T4:U4"/>
  </mergeCells>
  <dataValidations>
    <dataValidation type="list" allowBlank="1" showErrorMessage="1" sqref="D3:D7 G3:G7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</hyperlinks>
  <drawing r:id="rId1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9.38"/>
    <col customWidth="1" min="3" max="3" width="8.75"/>
    <col customWidth="1" min="4" max="4" width="10.5"/>
    <col customWidth="1" min="5" max="5" width="12.13"/>
    <col customWidth="1" min="6" max="6" width="8.75"/>
    <col customWidth="1" min="7" max="7" width="10.0"/>
    <col customWidth="1" min="8" max="8" width="9.25"/>
  </cols>
  <sheetData>
    <row r="1">
      <c r="A1" s="6" t="s">
        <v>2</v>
      </c>
      <c r="B1" s="7" t="s">
        <v>3</v>
      </c>
      <c r="C1" s="3"/>
      <c r="D1" s="3"/>
      <c r="E1" s="3"/>
      <c r="F1" s="3"/>
      <c r="G1" s="3"/>
      <c r="H1" s="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3" t="s">
        <v>7</v>
      </c>
      <c r="C2" s="13" t="s">
        <v>8</v>
      </c>
      <c r="D2" s="13" t="s">
        <v>9</v>
      </c>
      <c r="E2" s="13" t="s">
        <v>10</v>
      </c>
      <c r="F2" s="14" t="s">
        <v>8</v>
      </c>
      <c r="G2" s="13" t="s">
        <v>9</v>
      </c>
      <c r="H2" s="13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60">
        <v>1.0</v>
      </c>
      <c r="B3" s="88" t="s">
        <v>274</v>
      </c>
      <c r="C3" s="69">
        <v>614000.0</v>
      </c>
      <c r="D3" s="66" t="str">
        <f t="shared" ref="D3:D4" si="1">ifs(C3&lt;10000, "Nano", C3&lt;=100000, "Micro", C3&lt;=500000, "Mid", C3&lt;=1000000, "Macro", C3&gt;1000000, "Mega")</f>
        <v>Macro</v>
      </c>
      <c r="E3" s="89" t="s">
        <v>274</v>
      </c>
      <c r="F3" s="69">
        <v>301800.0</v>
      </c>
      <c r="G3" s="66" t="str">
        <f t="shared" ref="G3:G5" si="2">ifs(F3&lt;10000, "Nano", F3&lt;=100000, "Micro", F3&lt;=500000, "Mid", F3&lt;=1000000, "Macro", F3&gt;1000000, "Mega")</f>
        <v>Mid</v>
      </c>
      <c r="H3" s="80" t="s">
        <v>39</v>
      </c>
      <c r="I3" s="207"/>
      <c r="J3" s="194">
        <v>4000000.0</v>
      </c>
      <c r="K3" s="194">
        <v>1.0E7</v>
      </c>
      <c r="L3" s="207"/>
      <c r="M3" s="194">
        <v>1.5E7</v>
      </c>
      <c r="N3" s="194">
        <v>5000000.0</v>
      </c>
      <c r="O3" s="194">
        <v>2.0E7</v>
      </c>
      <c r="P3" s="207"/>
      <c r="Q3" s="194">
        <v>1.25E7</v>
      </c>
      <c r="R3" s="194">
        <v>2.55E7</v>
      </c>
      <c r="S3" s="194">
        <v>1.5E7</v>
      </c>
      <c r="T3" s="135"/>
      <c r="U3" s="135"/>
      <c r="V3" s="135"/>
      <c r="W3" s="122" t="s">
        <v>276</v>
      </c>
    </row>
    <row r="4">
      <c r="A4" s="60">
        <v>2.0</v>
      </c>
      <c r="B4" s="79" t="s">
        <v>290</v>
      </c>
      <c r="C4" s="69">
        <v>71900.0</v>
      </c>
      <c r="D4" s="80" t="str">
        <f t="shared" si="1"/>
        <v>Micro</v>
      </c>
      <c r="E4" s="79" t="s">
        <v>290</v>
      </c>
      <c r="F4" s="69">
        <v>171700.0</v>
      </c>
      <c r="G4" s="80" t="str">
        <f t="shared" si="2"/>
        <v>Mid</v>
      </c>
      <c r="H4" s="80" t="s">
        <v>291</v>
      </c>
      <c r="I4" s="135"/>
      <c r="J4" s="122">
        <v>1500000.0</v>
      </c>
      <c r="K4" s="135"/>
      <c r="L4" s="135"/>
      <c r="M4" s="122">
        <v>2000000.0</v>
      </c>
      <c r="N4" s="135"/>
      <c r="O4" s="122">
        <v>3000000.0</v>
      </c>
      <c r="P4" s="135"/>
      <c r="Q4" s="122">
        <v>3000000.0</v>
      </c>
      <c r="R4" s="122">
        <v>4000000.0</v>
      </c>
      <c r="S4" s="135"/>
      <c r="T4" s="135"/>
      <c r="U4" s="135"/>
      <c r="V4" s="135"/>
      <c r="W4" s="135"/>
    </row>
    <row r="5">
      <c r="A5" s="60">
        <v>3.0</v>
      </c>
      <c r="B5" s="79" t="s">
        <v>434</v>
      </c>
      <c r="C5" s="68">
        <v>1900000.0</v>
      </c>
      <c r="D5" s="80" t="str">
        <f>ifs(C5&lt;10000, "Nano", C5&lt;=50000, "Micro", C5&lt;=500000, "Mid", C5&lt;=1000000, "Macro", C5&gt;1000000, "Mega")</f>
        <v>Mega</v>
      </c>
      <c r="E5" s="64" t="s">
        <v>435</v>
      </c>
      <c r="F5" s="68">
        <v>3300000.0</v>
      </c>
      <c r="G5" s="80" t="str">
        <f t="shared" si="2"/>
        <v>Mega</v>
      </c>
      <c r="H5" s="80" t="s">
        <v>39</v>
      </c>
      <c r="I5" s="141"/>
      <c r="J5" s="141"/>
      <c r="K5" s="122">
        <v>8000000.0</v>
      </c>
      <c r="L5" s="141"/>
      <c r="M5" s="141"/>
      <c r="N5" s="122">
        <v>1.2E7</v>
      </c>
      <c r="O5" s="122">
        <v>1.5E7</v>
      </c>
      <c r="P5" s="142"/>
      <c r="Q5" s="122">
        <v>1.7E7</v>
      </c>
      <c r="R5" s="122">
        <v>2.6E7</v>
      </c>
      <c r="S5" s="141"/>
      <c r="T5" s="122">
        <v>1.0E7</v>
      </c>
      <c r="U5" s="122">
        <v>1000000.0</v>
      </c>
      <c r="V5" s="141"/>
      <c r="W5" s="122">
        <v>4000000.0</v>
      </c>
    </row>
  </sheetData>
  <mergeCells count="4">
    <mergeCell ref="A1:A2"/>
    <mergeCell ref="B1:H1"/>
    <mergeCell ref="J1:P1"/>
    <mergeCell ref="Q1:W1"/>
  </mergeCells>
  <dataValidations>
    <dataValidation type="list" allowBlank="1" showErrorMessage="1" sqref="D3:D5 G3:G5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</hyperlinks>
  <drawing r:id="rId7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14.63"/>
    <col customWidth="1" min="3" max="3" width="8.75"/>
    <col customWidth="1" min="4" max="4" width="10.5"/>
    <col customWidth="1" min="5" max="5" width="12.38"/>
    <col customWidth="1" min="6" max="6" width="8.75"/>
    <col customWidth="1" min="7" max="7" width="10.5"/>
    <col customWidth="1" min="8" max="8" width="12.63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232">
        <v>1.0</v>
      </c>
      <c r="B3" s="79" t="s">
        <v>145</v>
      </c>
      <c r="C3" s="74">
        <v>214000.0</v>
      </c>
      <c r="D3" s="80" t="str">
        <f t="shared" ref="D3:D8" si="1">ifs(C3&lt;10000, "Nano", C3&lt;=100000, "Micro", C3&lt;=500000, "Mid", C3&lt;=1000000, "Macro", C3&gt;1000000, "Mega")</f>
        <v>Mid</v>
      </c>
      <c r="E3" s="79" t="s">
        <v>145</v>
      </c>
      <c r="F3" s="188">
        <v>92800.0</v>
      </c>
      <c r="G3" s="80" t="str">
        <f t="shared" ref="G3:G8" si="2">ifs(F3&lt;10000, "Nano", F3&lt;=100000, "Micro", F3&lt;=500000, "Mid", F3&lt;=1000000, "Macro", F3&gt;1000000, "Mega")</f>
        <v>Micro</v>
      </c>
      <c r="H3" s="80" t="s">
        <v>146</v>
      </c>
      <c r="I3" s="114">
        <v>2000000.0</v>
      </c>
      <c r="J3" s="114">
        <v>2500000.0</v>
      </c>
      <c r="K3" s="114">
        <v>3000000.0</v>
      </c>
      <c r="L3" s="115" t="s">
        <v>52</v>
      </c>
      <c r="M3" s="114">
        <v>3500000.0</v>
      </c>
      <c r="N3" s="114">
        <v>4500000.0</v>
      </c>
      <c r="O3" s="114">
        <v>5000000.0</v>
      </c>
      <c r="P3" s="115" t="s">
        <v>52</v>
      </c>
      <c r="Q3" s="114">
        <v>3500000.0</v>
      </c>
      <c r="R3" s="114">
        <v>5000000.0</v>
      </c>
      <c r="S3" s="114">
        <v>5000000.0</v>
      </c>
      <c r="T3" s="117">
        <v>0.25</v>
      </c>
      <c r="U3" s="114">
        <v>1000000.0</v>
      </c>
      <c r="V3" s="114">
        <v>1000000.0</v>
      </c>
      <c r="W3" s="114">
        <v>6000000.0</v>
      </c>
    </row>
    <row r="4">
      <c r="A4" s="60">
        <v>2.0</v>
      </c>
      <c r="B4" s="79" t="s">
        <v>270</v>
      </c>
      <c r="C4" s="68">
        <v>2600000.0</v>
      </c>
      <c r="D4" s="80" t="str">
        <f t="shared" si="1"/>
        <v>Mega</v>
      </c>
      <c r="E4" s="79" t="s">
        <v>271</v>
      </c>
      <c r="F4" s="69">
        <v>705600.0</v>
      </c>
      <c r="G4" s="80" t="str">
        <f t="shared" si="2"/>
        <v>Macro</v>
      </c>
      <c r="H4" s="80" t="s">
        <v>39</v>
      </c>
      <c r="I4" s="86"/>
      <c r="J4" s="66">
        <v>1.5E7</v>
      </c>
      <c r="K4" s="66">
        <v>3.5E7</v>
      </c>
      <c r="L4" s="86"/>
      <c r="M4" s="66">
        <v>3.5E7</v>
      </c>
      <c r="N4" s="86"/>
      <c r="O4" s="66">
        <v>4.5E7</v>
      </c>
      <c r="P4" s="86"/>
      <c r="Q4" s="66">
        <v>3.5E7</v>
      </c>
      <c r="R4" s="86"/>
      <c r="S4" s="66">
        <v>4.0E7</v>
      </c>
      <c r="T4" s="86"/>
      <c r="U4" s="86"/>
      <c r="V4" s="86"/>
      <c r="W4" s="66" t="s">
        <v>273</v>
      </c>
    </row>
    <row r="5">
      <c r="A5" s="60">
        <v>3.0</v>
      </c>
      <c r="B5" s="79" t="s">
        <v>295</v>
      </c>
      <c r="C5" s="69">
        <v>421000.0</v>
      </c>
      <c r="D5" s="80" t="str">
        <f t="shared" si="1"/>
        <v>Mid</v>
      </c>
      <c r="E5" s="79" t="s">
        <v>296</v>
      </c>
      <c r="F5" s="69">
        <v>83800.0</v>
      </c>
      <c r="G5" s="80" t="str">
        <f t="shared" si="2"/>
        <v>Micro</v>
      </c>
      <c r="H5" s="80" t="s">
        <v>297</v>
      </c>
      <c r="I5" s="86"/>
      <c r="J5" s="66">
        <v>1.0E7</v>
      </c>
      <c r="K5" s="66">
        <v>1.5E7</v>
      </c>
      <c r="L5" s="66">
        <v>2000000.0</v>
      </c>
      <c r="M5" s="66">
        <v>1.9E7</v>
      </c>
      <c r="N5" s="66">
        <v>2.1E7</v>
      </c>
      <c r="O5" s="66">
        <v>7.0E7</v>
      </c>
      <c r="P5" s="77" t="s">
        <v>299</v>
      </c>
      <c r="Q5" s="66">
        <v>3.5E7</v>
      </c>
      <c r="R5" s="66">
        <v>5.5E7</v>
      </c>
      <c r="S5" s="86"/>
      <c r="T5" s="86"/>
      <c r="U5" s="86"/>
      <c r="V5" s="86"/>
      <c r="W5" s="86"/>
    </row>
    <row r="6">
      <c r="A6" s="60">
        <v>4.0</v>
      </c>
      <c r="B6" s="79" t="s">
        <v>317</v>
      </c>
      <c r="C6" s="69">
        <v>979000.0</v>
      </c>
      <c r="D6" s="80" t="str">
        <f t="shared" si="1"/>
        <v>Macro</v>
      </c>
      <c r="E6" s="79" t="s">
        <v>317</v>
      </c>
      <c r="F6" s="68">
        <v>2600000.0</v>
      </c>
      <c r="G6" s="80" t="str">
        <f t="shared" si="2"/>
        <v>Mega</v>
      </c>
      <c r="H6" s="80" t="s">
        <v>39</v>
      </c>
      <c r="I6" s="86"/>
      <c r="J6" s="66">
        <v>1.4E7</v>
      </c>
      <c r="K6" s="66">
        <v>1.7E7</v>
      </c>
      <c r="L6" s="66">
        <v>2000000.0</v>
      </c>
      <c r="M6" s="86"/>
      <c r="N6" s="114">
        <v>2.2E7</v>
      </c>
      <c r="O6" s="66">
        <v>2.4E7</v>
      </c>
      <c r="P6" s="66">
        <v>1.0E7</v>
      </c>
      <c r="Q6" s="66">
        <v>2.7E7</v>
      </c>
      <c r="R6" s="66">
        <v>1.0E7</v>
      </c>
      <c r="S6" s="66">
        <v>1.2E7</v>
      </c>
      <c r="T6" s="72">
        <v>0.5</v>
      </c>
      <c r="U6" s="72">
        <v>0.2</v>
      </c>
      <c r="V6" s="86"/>
      <c r="W6" s="66">
        <v>1.2E7</v>
      </c>
    </row>
    <row r="7">
      <c r="A7" s="60">
        <v>5.0</v>
      </c>
      <c r="B7" s="79" t="s">
        <v>319</v>
      </c>
      <c r="C7" s="69">
        <v>238000.0</v>
      </c>
      <c r="D7" s="80" t="str">
        <f t="shared" si="1"/>
        <v>Mid</v>
      </c>
      <c r="E7" s="79" t="s">
        <v>320</v>
      </c>
      <c r="F7" s="69">
        <v>473700.0</v>
      </c>
      <c r="G7" s="80" t="str">
        <f t="shared" si="2"/>
        <v>Mid</v>
      </c>
      <c r="H7" s="80" t="s">
        <v>321</v>
      </c>
      <c r="I7" s="86"/>
      <c r="J7" s="66">
        <v>5000000.0</v>
      </c>
      <c r="K7" s="66">
        <v>8000000.0</v>
      </c>
      <c r="L7" s="86"/>
      <c r="M7" s="66">
        <v>1.0E7</v>
      </c>
      <c r="N7" s="66">
        <v>1.1E7</v>
      </c>
      <c r="O7" s="66">
        <v>2.0E7</v>
      </c>
      <c r="P7" s="86"/>
      <c r="Q7" s="66">
        <v>2.0E7</v>
      </c>
      <c r="R7" s="86"/>
      <c r="S7" s="66">
        <v>2.0E7</v>
      </c>
      <c r="T7" s="72" t="s">
        <v>323</v>
      </c>
      <c r="U7" s="72">
        <v>0.25</v>
      </c>
      <c r="V7" s="72">
        <v>0.25</v>
      </c>
      <c r="W7" s="86"/>
    </row>
    <row r="8">
      <c r="A8" s="60">
        <v>6.0</v>
      </c>
      <c r="B8" s="79" t="s">
        <v>400</v>
      </c>
      <c r="C8" s="69">
        <v>101000.0</v>
      </c>
      <c r="D8" s="80" t="str">
        <f t="shared" si="1"/>
        <v>Mid</v>
      </c>
      <c r="E8" s="79" t="s">
        <v>401</v>
      </c>
      <c r="F8" s="69">
        <v>12200.0</v>
      </c>
      <c r="G8" s="80" t="str">
        <f t="shared" si="2"/>
        <v>Micro</v>
      </c>
      <c r="H8" s="80" t="s">
        <v>46</v>
      </c>
      <c r="I8" s="86"/>
      <c r="J8" s="66">
        <v>350000.0</v>
      </c>
      <c r="K8" s="66">
        <v>750000.0</v>
      </c>
      <c r="L8" s="86"/>
      <c r="M8" s="66">
        <v>3000000.0</v>
      </c>
      <c r="N8" s="66">
        <v>3500000.0</v>
      </c>
      <c r="O8" s="66">
        <v>3500000.0</v>
      </c>
      <c r="P8" s="86"/>
      <c r="Q8" s="66">
        <v>500000.0</v>
      </c>
      <c r="R8" s="86"/>
      <c r="S8" s="86"/>
      <c r="T8" s="86"/>
      <c r="U8" s="86"/>
      <c r="V8" s="86"/>
      <c r="W8" s="66">
        <v>1500000.0</v>
      </c>
    </row>
  </sheetData>
  <mergeCells count="4">
    <mergeCell ref="A1:A2"/>
    <mergeCell ref="B1:H1"/>
    <mergeCell ref="J1:P1"/>
    <mergeCell ref="Q1:W1"/>
  </mergeCells>
  <dataValidations>
    <dataValidation type="list" allowBlank="1" showErrorMessage="1" sqref="D3:D8 G3:G8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</hyperlinks>
  <drawing r:id="rId1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60">
        <v>1.0</v>
      </c>
      <c r="B3" s="79" t="s">
        <v>403</v>
      </c>
      <c r="C3" s="68">
        <v>1900000.0</v>
      </c>
      <c r="D3" s="80" t="str">
        <f t="shared" ref="D3:D6" si="1">ifs(C3&lt;10000, "Nano", C3&lt;=100000, "Micro", C3&lt;=500000, "Mid", C3&lt;=1000000, "Macro", C3&gt;1000000, "Mega")</f>
        <v>Mega</v>
      </c>
      <c r="E3" s="79" t="s">
        <v>404</v>
      </c>
      <c r="F3" s="68">
        <v>1300000.0</v>
      </c>
      <c r="G3" s="80" t="str">
        <f t="shared" ref="G3:G6" si="2">ifs(F3&lt;10000, "Nano", F3&lt;=100000, "Micro", F3&lt;=500000, "Mid", F3&lt;=1000000, "Macro", F3&gt;1000000, "Mega")</f>
        <v>Mega</v>
      </c>
      <c r="H3" s="80" t="s">
        <v>39</v>
      </c>
      <c r="I3" s="86"/>
      <c r="J3" s="66">
        <v>5000000.0</v>
      </c>
      <c r="K3" s="66">
        <v>9000000.0</v>
      </c>
      <c r="L3" s="86"/>
      <c r="M3" s="66">
        <v>1.2E7</v>
      </c>
      <c r="N3" s="86"/>
      <c r="O3" s="66">
        <v>2.5E7</v>
      </c>
      <c r="P3" s="71" t="s">
        <v>52</v>
      </c>
      <c r="Q3" s="66">
        <v>1.5E7</v>
      </c>
      <c r="R3" s="66">
        <v>3.0E7</v>
      </c>
      <c r="S3" s="86"/>
      <c r="T3" s="72">
        <v>1.0</v>
      </c>
      <c r="U3" s="72">
        <v>0.3</v>
      </c>
      <c r="V3" s="86"/>
      <c r="W3" s="86"/>
    </row>
    <row r="4">
      <c r="A4" s="60">
        <v>2.0</v>
      </c>
      <c r="B4" s="79" t="s">
        <v>412</v>
      </c>
      <c r="C4" s="69">
        <v>267000.0</v>
      </c>
      <c r="D4" s="80" t="str">
        <f t="shared" si="1"/>
        <v>Mid</v>
      </c>
      <c r="E4" s="79" t="s">
        <v>413</v>
      </c>
      <c r="F4" s="69">
        <v>110400.0</v>
      </c>
      <c r="G4" s="80" t="str">
        <f t="shared" si="2"/>
        <v>Mid</v>
      </c>
      <c r="H4" s="80" t="s">
        <v>414</v>
      </c>
      <c r="I4" s="86"/>
      <c r="J4" s="66">
        <v>3500000.0</v>
      </c>
      <c r="K4" s="66">
        <v>4000000.0</v>
      </c>
      <c r="L4" s="71" t="s">
        <v>52</v>
      </c>
      <c r="M4" s="66">
        <v>5000000.0</v>
      </c>
      <c r="N4" s="77" t="s">
        <v>415</v>
      </c>
      <c r="O4" s="66">
        <v>7000000.0</v>
      </c>
      <c r="P4" s="71" t="s">
        <v>52</v>
      </c>
      <c r="Q4" s="66">
        <v>7000000.0</v>
      </c>
      <c r="R4" s="66">
        <v>1.0E7</v>
      </c>
      <c r="S4" s="66">
        <v>1.0E7</v>
      </c>
      <c r="T4" s="67">
        <v>1.0</v>
      </c>
      <c r="U4" s="66">
        <v>2000000.0</v>
      </c>
      <c r="V4" s="66" t="s">
        <v>416</v>
      </c>
      <c r="W4" s="66">
        <v>1.0E7</v>
      </c>
    </row>
    <row r="5">
      <c r="A5" s="60">
        <v>3.0</v>
      </c>
      <c r="B5" s="79" t="s">
        <v>417</v>
      </c>
      <c r="C5" s="68">
        <v>1600000.0</v>
      </c>
      <c r="D5" s="80" t="str">
        <f t="shared" si="1"/>
        <v>Mega</v>
      </c>
      <c r="E5" s="79" t="s">
        <v>418</v>
      </c>
      <c r="F5" s="68">
        <v>1700000.0</v>
      </c>
      <c r="G5" s="80" t="str">
        <f t="shared" si="2"/>
        <v>Mega</v>
      </c>
      <c r="H5" s="80" t="s">
        <v>39</v>
      </c>
      <c r="I5" s="86"/>
      <c r="J5" s="66">
        <v>1.75E7</v>
      </c>
      <c r="K5" s="66">
        <v>6.0E7</v>
      </c>
      <c r="L5" s="66">
        <v>2500000.0</v>
      </c>
      <c r="M5" s="66">
        <v>3.0E7</v>
      </c>
      <c r="N5" s="66">
        <v>3.5E7</v>
      </c>
      <c r="O5" s="66">
        <v>3.2E7</v>
      </c>
      <c r="P5" s="66">
        <v>2000000.0</v>
      </c>
      <c r="Q5" s="66">
        <v>2.0E7</v>
      </c>
      <c r="R5" s="66">
        <v>5.2E7</v>
      </c>
      <c r="S5" s="66">
        <v>3.6E7</v>
      </c>
      <c r="T5" s="66">
        <v>6000000.0</v>
      </c>
      <c r="U5" s="66">
        <v>9600000.0</v>
      </c>
      <c r="V5" s="66">
        <v>5000000.0</v>
      </c>
      <c r="W5" s="66">
        <v>3.5E7</v>
      </c>
    </row>
    <row r="6">
      <c r="A6" s="60">
        <v>4.0</v>
      </c>
      <c r="B6" s="79" t="s">
        <v>419</v>
      </c>
      <c r="C6" s="69">
        <v>813000.0</v>
      </c>
      <c r="D6" s="80" t="str">
        <f t="shared" si="1"/>
        <v>Macro</v>
      </c>
      <c r="E6" s="79" t="s">
        <v>420</v>
      </c>
      <c r="F6" s="69">
        <v>142800.0</v>
      </c>
      <c r="G6" s="80" t="str">
        <f t="shared" si="2"/>
        <v>Mid</v>
      </c>
      <c r="H6" s="80" t="s">
        <v>39</v>
      </c>
      <c r="I6" s="86"/>
      <c r="J6" s="66">
        <v>1.15E7</v>
      </c>
      <c r="K6" s="86"/>
      <c r="L6" s="86"/>
      <c r="M6" s="66">
        <v>2.0E7</v>
      </c>
      <c r="N6" s="86"/>
      <c r="O6" s="66">
        <v>2.6E7</v>
      </c>
      <c r="P6" s="86"/>
      <c r="Q6" s="66">
        <v>2.4E7</v>
      </c>
      <c r="R6" s="86"/>
      <c r="S6" s="86"/>
      <c r="T6" s="86"/>
      <c r="U6" s="86"/>
      <c r="V6" s="86"/>
      <c r="W6" s="86"/>
    </row>
  </sheetData>
  <mergeCells count="4">
    <mergeCell ref="A1:A2"/>
    <mergeCell ref="B1:H1"/>
    <mergeCell ref="J1:P1"/>
    <mergeCell ref="Q1:W1"/>
  </mergeCells>
  <conditionalFormatting sqref="I4:W6">
    <cfRule type="containsBlanks" dxfId="1" priority="1">
      <formula>LEN(TRIM(I4))=0</formula>
    </cfRule>
  </conditionalFormatting>
  <dataValidations>
    <dataValidation type="list" allowBlank="1" showErrorMessage="1" sqref="D3:D6 G3:G6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</hyperlinks>
  <drawing r:id="rId9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3.25"/>
    <col customWidth="1" min="2" max="2" width="14.0"/>
  </cols>
  <sheetData>
    <row r="1">
      <c r="A1" s="144" t="s">
        <v>2</v>
      </c>
      <c r="B1" s="145" t="s">
        <v>3</v>
      </c>
      <c r="C1" s="104"/>
      <c r="D1" s="104"/>
      <c r="E1" s="104"/>
      <c r="F1" s="104"/>
      <c r="G1" s="104"/>
      <c r="H1" s="104"/>
      <c r="I1" s="146" t="s">
        <v>4</v>
      </c>
      <c r="J1" s="147" t="s">
        <v>5</v>
      </c>
      <c r="K1" s="104"/>
      <c r="L1" s="104"/>
      <c r="M1" s="104"/>
      <c r="N1" s="104"/>
      <c r="O1" s="104"/>
      <c r="P1" s="107"/>
      <c r="Q1" s="148" t="s">
        <v>6</v>
      </c>
      <c r="R1" s="104"/>
      <c r="S1" s="104"/>
      <c r="T1" s="104"/>
      <c r="U1" s="104"/>
      <c r="V1" s="104"/>
      <c r="W1" s="107"/>
    </row>
    <row r="2">
      <c r="A2" s="12"/>
      <c r="B2" s="149" t="s">
        <v>7</v>
      </c>
      <c r="C2" s="149" t="s">
        <v>8</v>
      </c>
      <c r="D2" s="149" t="s">
        <v>9</v>
      </c>
      <c r="E2" s="149" t="s">
        <v>10</v>
      </c>
      <c r="F2" s="150" t="s">
        <v>8</v>
      </c>
      <c r="G2" s="149" t="s">
        <v>9</v>
      </c>
      <c r="H2" s="149" t="s">
        <v>11</v>
      </c>
      <c r="I2" s="151" t="s">
        <v>13</v>
      </c>
      <c r="J2" s="151" t="s">
        <v>14</v>
      </c>
      <c r="K2" s="151" t="s">
        <v>15</v>
      </c>
      <c r="L2" s="152" t="s">
        <v>16</v>
      </c>
      <c r="M2" s="151" t="s">
        <v>17</v>
      </c>
      <c r="N2" s="151" t="s">
        <v>18</v>
      </c>
      <c r="O2" s="151" t="s">
        <v>19</v>
      </c>
      <c r="P2" s="152" t="s">
        <v>20</v>
      </c>
      <c r="Q2" s="151" t="s">
        <v>10</v>
      </c>
      <c r="R2" s="151" t="s">
        <v>21</v>
      </c>
      <c r="S2" s="151" t="s">
        <v>22</v>
      </c>
      <c r="T2" s="152" t="s">
        <v>23</v>
      </c>
      <c r="U2" s="152" t="s">
        <v>24</v>
      </c>
      <c r="V2" s="152" t="s">
        <v>25</v>
      </c>
      <c r="W2" s="152" t="s">
        <v>26</v>
      </c>
    </row>
    <row r="3">
      <c r="A3" s="170">
        <v>1.0</v>
      </c>
      <c r="B3" s="131" t="s">
        <v>498</v>
      </c>
      <c r="C3" s="134">
        <v>1.58E7</v>
      </c>
      <c r="D3" s="133" t="str">
        <f t="shared" ref="D3:D4" si="1">ifs(C3&lt;10000, "Nano", C3&lt;=50000, "Micro", C3&lt;=500000, "Mid", C3&lt;=1000000, "Macro", C3&gt;1000000, "Mega")</f>
        <v>Mega</v>
      </c>
      <c r="E3" s="140" t="s">
        <v>499</v>
      </c>
      <c r="F3" s="134">
        <v>6300000.0</v>
      </c>
      <c r="G3" s="133" t="str">
        <f t="shared" ref="G3:G8" si="2">ifs(F3&lt;10000, "Nano", F3&lt;=100000, "Micro", F3&lt;=500000, "Mid", F3&lt;=1000000, "Macro", F3&gt;1000000, "Mega")</f>
        <v>Mega</v>
      </c>
      <c r="H3" s="133" t="s">
        <v>39</v>
      </c>
      <c r="I3" s="122">
        <v>1.5E7</v>
      </c>
      <c r="J3" s="122">
        <v>2.5E7</v>
      </c>
      <c r="K3" s="122">
        <v>3.5E7</v>
      </c>
      <c r="L3" s="198" t="s">
        <v>52</v>
      </c>
      <c r="M3" s="122">
        <v>6.0E7</v>
      </c>
      <c r="N3" s="122">
        <v>7.5E7</v>
      </c>
      <c r="O3" s="122">
        <v>1.2E8</v>
      </c>
      <c r="P3" s="142"/>
      <c r="Q3" s="122">
        <v>1.0E8</v>
      </c>
      <c r="R3" s="141"/>
      <c r="S3" s="122">
        <v>7.5E7</v>
      </c>
      <c r="T3" s="122">
        <v>1.0E8</v>
      </c>
      <c r="U3" s="142"/>
      <c r="V3" s="196">
        <v>0.25</v>
      </c>
      <c r="W3" s="141"/>
    </row>
    <row r="4">
      <c r="A4" s="170">
        <v>2.0</v>
      </c>
      <c r="B4" s="131" t="s">
        <v>427</v>
      </c>
      <c r="C4" s="134">
        <v>1.14E7</v>
      </c>
      <c r="D4" s="133" t="str">
        <f t="shared" si="1"/>
        <v>Mega</v>
      </c>
      <c r="E4" s="140" t="s">
        <v>428</v>
      </c>
      <c r="F4" s="134">
        <v>1800000.0</v>
      </c>
      <c r="G4" s="133" t="str">
        <f t="shared" si="2"/>
        <v>Mega</v>
      </c>
      <c r="H4" s="133" t="s">
        <v>39</v>
      </c>
      <c r="I4" s="141"/>
      <c r="J4" s="122">
        <v>3.5E7</v>
      </c>
      <c r="K4" s="122">
        <v>5.0E7</v>
      </c>
      <c r="L4" s="122">
        <v>5000000.0</v>
      </c>
      <c r="M4" s="122">
        <v>6.0E7</v>
      </c>
      <c r="N4" s="122">
        <v>8.5E7</v>
      </c>
      <c r="O4" s="122">
        <v>7.5E7</v>
      </c>
      <c r="P4" s="122">
        <v>1.5E7</v>
      </c>
      <c r="Q4" s="122">
        <v>7.0E7</v>
      </c>
      <c r="R4" s="122">
        <v>1.0E8</v>
      </c>
      <c r="S4" s="122">
        <v>8.0E7</v>
      </c>
      <c r="T4" s="122">
        <v>1.5E7</v>
      </c>
      <c r="U4" s="122">
        <v>1.0E7</v>
      </c>
      <c r="V4" s="122">
        <v>3000000.0</v>
      </c>
      <c r="W4" s="122">
        <v>8.0E7</v>
      </c>
    </row>
    <row r="5">
      <c r="A5" s="277">
        <v>3.0</v>
      </c>
      <c r="B5" s="137" t="s">
        <v>44</v>
      </c>
      <c r="C5" s="134">
        <v>6700000.0</v>
      </c>
      <c r="D5" s="133" t="str">
        <f>ifs(C5&lt;10000, "Nano", C5&lt;=100000, "Micro", C5&lt;=500000, "Mid", C5&lt;=1000000, "Macro", C5&gt;1000000, "Mega")</f>
        <v>Mega</v>
      </c>
      <c r="E5" s="131" t="s">
        <v>45</v>
      </c>
      <c r="F5" s="134">
        <v>2800000.0</v>
      </c>
      <c r="G5" s="133" t="str">
        <f t="shared" si="2"/>
        <v>Mega</v>
      </c>
      <c r="H5" s="138" t="s">
        <v>46</v>
      </c>
      <c r="I5" s="125"/>
      <c r="J5" s="119">
        <v>2.0E7</v>
      </c>
      <c r="K5" s="119">
        <v>3.5E7</v>
      </c>
      <c r="L5" s="119">
        <v>5000000.0</v>
      </c>
      <c r="M5" s="119">
        <v>3.0E7</v>
      </c>
      <c r="N5" s="119">
        <v>4.5E7</v>
      </c>
      <c r="O5" s="119">
        <v>4.5E7</v>
      </c>
      <c r="P5" s="119">
        <v>1.0E7</v>
      </c>
      <c r="Q5" s="119">
        <v>4.5E7</v>
      </c>
      <c r="R5" s="119">
        <v>6.5E7</v>
      </c>
      <c r="S5" s="119">
        <v>4.5E7</v>
      </c>
      <c r="T5" s="119">
        <v>1.0E7</v>
      </c>
      <c r="U5" s="119">
        <v>1.0E7</v>
      </c>
      <c r="V5" s="125"/>
      <c r="W5" s="125"/>
    </row>
    <row r="6">
      <c r="A6" s="170">
        <v>4.0</v>
      </c>
      <c r="B6" s="131" t="s">
        <v>430</v>
      </c>
      <c r="C6" s="132">
        <v>205000.0</v>
      </c>
      <c r="D6" s="133" t="str">
        <f t="shared" ref="D6:D8" si="3">ifs(C6&lt;10000, "Nano", C6&lt;=50000, "Micro", C6&lt;=500000, "Mid", C6&lt;=1000000, "Macro", C6&gt;1000000, "Mega")</f>
        <v>Mid</v>
      </c>
      <c r="E6" s="140" t="s">
        <v>430</v>
      </c>
      <c r="F6" s="132">
        <v>10600.0</v>
      </c>
      <c r="G6" s="133" t="str">
        <f t="shared" si="2"/>
        <v>Micro</v>
      </c>
      <c r="H6" s="133" t="s">
        <v>39</v>
      </c>
      <c r="I6" s="141"/>
      <c r="J6" s="122">
        <v>7000000.0</v>
      </c>
      <c r="K6" s="122">
        <v>1.0E7</v>
      </c>
      <c r="L6" s="122">
        <v>2000000.0</v>
      </c>
      <c r="M6" s="122">
        <v>1.0E7</v>
      </c>
      <c r="N6" s="122">
        <v>1.5E7</v>
      </c>
      <c r="O6" s="122">
        <v>2.5E7</v>
      </c>
      <c r="P6" s="122">
        <v>2500000.0</v>
      </c>
      <c r="Q6" s="122">
        <v>8000000.0</v>
      </c>
      <c r="R6" s="122">
        <v>3.0E7</v>
      </c>
      <c r="S6" s="122">
        <v>1.5E7</v>
      </c>
      <c r="T6" s="122">
        <v>2500000.0</v>
      </c>
      <c r="U6" s="122">
        <v>2500000.0</v>
      </c>
      <c r="V6" s="122">
        <v>1000000.0</v>
      </c>
      <c r="W6" s="122">
        <v>2.5E7</v>
      </c>
    </row>
    <row r="7">
      <c r="A7" s="170">
        <v>5.0</v>
      </c>
      <c r="B7" s="131" t="s">
        <v>519</v>
      </c>
      <c r="C7" s="132">
        <v>601000.0</v>
      </c>
      <c r="D7" s="133" t="str">
        <f t="shared" si="3"/>
        <v>Macro</v>
      </c>
      <c r="E7" s="140" t="s">
        <v>520</v>
      </c>
      <c r="F7" s="134">
        <v>1400000.0</v>
      </c>
      <c r="G7" s="133" t="str">
        <f t="shared" si="2"/>
        <v>Mega</v>
      </c>
      <c r="H7" s="133" t="s">
        <v>39</v>
      </c>
      <c r="I7" s="141"/>
      <c r="J7" s="122">
        <v>7000000.0</v>
      </c>
      <c r="K7" s="141"/>
      <c r="L7" s="141"/>
      <c r="M7" s="122">
        <v>4.0E7</v>
      </c>
      <c r="N7" s="141"/>
      <c r="O7" s="122">
        <v>5.0E7</v>
      </c>
      <c r="P7" s="122">
        <v>4.5E7</v>
      </c>
      <c r="Q7" s="122">
        <v>6.0E7</v>
      </c>
      <c r="R7" s="141"/>
      <c r="S7" s="122">
        <v>7.0E7</v>
      </c>
      <c r="T7" s="141"/>
      <c r="U7" s="141"/>
      <c r="V7" s="141"/>
      <c r="W7" s="141"/>
    </row>
    <row r="8">
      <c r="A8" s="170">
        <v>6.0</v>
      </c>
      <c r="B8" s="131" t="s">
        <v>521</v>
      </c>
      <c r="C8" s="134">
        <v>3000000.0</v>
      </c>
      <c r="D8" s="133" t="str">
        <f t="shared" si="3"/>
        <v>Mega</v>
      </c>
      <c r="E8" s="140" t="s">
        <v>522</v>
      </c>
      <c r="F8" s="134">
        <v>1300000.0</v>
      </c>
      <c r="G8" s="133" t="str">
        <f t="shared" si="2"/>
        <v>Mega</v>
      </c>
      <c r="H8" s="133" t="s">
        <v>39</v>
      </c>
      <c r="I8" s="141"/>
      <c r="J8" s="122">
        <v>1.5E7</v>
      </c>
      <c r="K8" s="122">
        <v>2.25E7</v>
      </c>
      <c r="L8" s="198" t="s">
        <v>52</v>
      </c>
      <c r="M8" s="122">
        <v>3.0E7</v>
      </c>
      <c r="N8" s="122">
        <v>3.5E7</v>
      </c>
      <c r="O8" s="122">
        <v>5.0E7</v>
      </c>
      <c r="P8" s="141"/>
      <c r="Q8" s="122">
        <v>5.0E7</v>
      </c>
      <c r="R8" s="141"/>
      <c r="S8" s="122">
        <v>5.0E7</v>
      </c>
      <c r="T8" s="141"/>
      <c r="U8" s="122">
        <v>5000000.0</v>
      </c>
      <c r="V8" s="141"/>
      <c r="W8" s="141"/>
    </row>
  </sheetData>
  <mergeCells count="4">
    <mergeCell ref="A1:A2"/>
    <mergeCell ref="B1:H1"/>
    <mergeCell ref="J1:P1"/>
    <mergeCell ref="Q1:W1"/>
  </mergeCells>
  <dataValidations>
    <dataValidation type="list" allowBlank="1" showErrorMessage="1" sqref="D3:D8 G3:G8">
      <formula1>"Mega,Macro,Micro,Nano,Mid,#N/A"</formula1>
    </dataValidation>
  </dataValidations>
  <hyperlinks>
    <hyperlink r:id="rId1" ref="B3"/>
    <hyperlink r:id="rId2" ref="E3"/>
    <hyperlink r:id="rId3" ref="B4"/>
    <hyperlink r:id="rId4" ref="E4"/>
    <hyperlink r:id="rId5" ref="B5"/>
    <hyperlink r:id="rId6" ref="E5"/>
    <hyperlink r:id="rId7" ref="B6"/>
    <hyperlink r:id="rId8" ref="E6"/>
    <hyperlink r:id="rId9" ref="B7"/>
    <hyperlink r:id="rId10" ref="E7"/>
    <hyperlink r:id="rId11" ref="B8"/>
    <hyperlink r:id="rId12" ref="E8"/>
  </hyperlinks>
  <drawing r:id="rId1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4.5"/>
    <col customWidth="1" min="2" max="2" width="15.63"/>
    <col customWidth="1" min="5" max="5" width="15.63"/>
    <col customWidth="1" min="9" max="9" width="20.0"/>
  </cols>
  <sheetData>
    <row r="1">
      <c r="A1" s="38"/>
      <c r="B1" s="3"/>
      <c r="C1" s="3"/>
      <c r="D1" s="3"/>
      <c r="E1" s="3"/>
      <c r="F1" s="3"/>
      <c r="G1" s="3"/>
      <c r="H1" s="3"/>
      <c r="I1" s="4"/>
      <c r="J1" s="5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""Fashion Wanita!A4:Y999"")"),1.0)</f>
        <v>1</v>
      </c>
      <c r="B4" s="18" t="str">
        <f>IFERROR(__xludf.DUMMYFUNCTION("""COMPUTED_VALUE"""),"saritiw")</f>
        <v>saritiw</v>
      </c>
      <c r="C4" s="19">
        <f>IFERROR(__xludf.DUMMYFUNCTION("""COMPUTED_VALUE"""),999000.0)</f>
        <v>999000</v>
      </c>
      <c r="D4" s="17" t="str">
        <f>IFERROR(__xludf.DUMMYFUNCTION("""COMPUTED_VALUE"""),"Macro")</f>
        <v>Macro</v>
      </c>
      <c r="E4" s="18" t="str">
        <f>IFERROR(__xludf.DUMMYFUNCTION("""COMPUTED_VALUE"""),"sariendahpratiwi")</f>
        <v>sariendahpratiwi</v>
      </c>
      <c r="F4" s="23">
        <f>IFERROR(__xludf.DUMMYFUNCTION("""COMPUTED_VALUE"""),84300.0)</f>
        <v>84300</v>
      </c>
      <c r="G4" s="17" t="str">
        <f>IFERROR(__xludf.DUMMYFUNCTION("""COMPUTED_VALUE"""),"Micro")</f>
        <v>Micro</v>
      </c>
      <c r="H4" s="17" t="str">
        <f>IFERROR(__xludf.DUMMYFUNCTION("""COMPUTED_VALUE"""),"Bandung")</f>
        <v>Bandung</v>
      </c>
      <c r="I4" s="17" t="str">
        <f>IFERROR(__xludf.DUMMYFUNCTION("""COMPUTED_VALUE"""),"- Lifestyle Female
- Fashion Wanita")</f>
        <v>- Lifestyle Female
- Fashion Wanita</v>
      </c>
      <c r="J4" s="20">
        <f>IFERROR(__xludf.DUMMYFUNCTION("""COMPUTED_VALUE"""),2000000.0)</f>
        <v>2000000</v>
      </c>
      <c r="K4" s="20">
        <f>IFERROR(__xludf.DUMMYFUNCTION("""COMPUTED_VALUE"""),3500000.0)</f>
        <v>3500000</v>
      </c>
      <c r="L4" s="20">
        <f>IFERROR(__xludf.DUMMYFUNCTION("""COMPUTED_VALUE"""),6500000.0)</f>
        <v>6500000</v>
      </c>
      <c r="M4" s="20" t="str">
        <f>IFERROR(__xludf.DUMMYFUNCTION("""COMPUTED_VALUE"""),"FREE")</f>
        <v>FREE</v>
      </c>
      <c r="N4" s="20">
        <f>IFERROR(__xludf.DUMMYFUNCTION("""COMPUTED_VALUE"""),8000000.0)</f>
        <v>8000000</v>
      </c>
      <c r="O4" s="20">
        <f>IFERROR(__xludf.DUMMYFUNCTION("""COMPUTED_VALUE"""),1000000.0)</f>
        <v>1000000</v>
      </c>
      <c r="P4" s="20">
        <f>IFERROR(__xludf.DUMMYFUNCTION("""COMPUTED_VALUE"""),1.3E7)</f>
        <v>13000000</v>
      </c>
      <c r="Q4" s="20">
        <f>IFERROR(__xludf.DUMMYFUNCTION("""COMPUTED_VALUE"""),1000000.0)</f>
        <v>1000000</v>
      </c>
      <c r="R4" s="20">
        <f>IFERROR(__xludf.DUMMYFUNCTION("""COMPUTED_VALUE"""),8000000.0)</f>
        <v>8000000</v>
      </c>
      <c r="S4" s="20">
        <f>IFERROR(__xludf.DUMMYFUNCTION("""COMPUTED_VALUE"""),1.9E7)</f>
        <v>19000000</v>
      </c>
      <c r="T4" s="20">
        <f>IFERROR(__xludf.DUMMYFUNCTION("""COMPUTED_VALUE"""),1.0E7)</f>
        <v>10000000</v>
      </c>
      <c r="U4" s="21">
        <f>IFERROR(__xludf.DUMMYFUNCTION("""COMPUTED_VALUE"""),0.5)</f>
        <v>0.5</v>
      </c>
      <c r="V4" s="20">
        <f>IFERROR(__xludf.DUMMYFUNCTION("""COMPUTED_VALUE"""),1000000.0)</f>
        <v>1000000</v>
      </c>
      <c r="W4" s="20">
        <f>IFERROR(__xludf.DUMMYFUNCTION("""COMPUTED_VALUE"""),1000000.0)</f>
        <v>1000000</v>
      </c>
      <c r="X4" s="20">
        <f>IFERROR(__xludf.DUMMYFUNCTION("""COMPUTED_VALUE"""),5000000.0)</f>
        <v>5000000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IFERROR(__xludf.DUMMYFUNCTION("""COMPUTED_VALUE"""),"nadianraulya")</f>
        <v>nadianraulya</v>
      </c>
      <c r="C5" s="19">
        <f>IFERROR(__xludf.DUMMYFUNCTION("""COMPUTED_VALUE"""),1000000.0)</f>
        <v>1000000</v>
      </c>
      <c r="D5" s="17" t="str">
        <f>IFERROR(__xludf.DUMMYFUNCTION("""COMPUTED_VALUE"""),"Macro")</f>
        <v>Macro</v>
      </c>
      <c r="E5" s="18" t="str">
        <f>IFERROR(__xludf.DUMMYFUNCTION("""COMPUTED_VALUE"""),"nadianuraulyaa")</f>
        <v>nadianuraulyaa</v>
      </c>
      <c r="F5" s="23">
        <f>IFERROR(__xludf.DUMMYFUNCTION("""COMPUTED_VALUE"""),590200.0)</f>
        <v>590200</v>
      </c>
      <c r="G5" s="17" t="str">
        <f>IFERROR(__xludf.DUMMYFUNCTION("""COMPUTED_VALUE"""),"Macro")</f>
        <v>Macro</v>
      </c>
      <c r="H5" s="17" t="str">
        <f>IFERROR(__xludf.DUMMYFUNCTION("""COMPUTED_VALUE"""),"Bandung")</f>
        <v>Bandung</v>
      </c>
      <c r="I5" s="17" t="str">
        <f>IFERROR(__xludf.DUMMYFUNCTION("""COMPUTED_VALUE"""),"- Lifestyle Female
- Mom &amp; Kids
- Fashion Wanita")</f>
        <v>- Lifestyle Female
- Mom &amp; Kids
- Fashion Wanita</v>
      </c>
      <c r="J5" s="20">
        <f>IFERROR(__xludf.DUMMYFUNCTION("""COMPUTED_VALUE"""),500000.0)</f>
        <v>500000</v>
      </c>
      <c r="K5" s="20">
        <f>IFERROR(__xludf.DUMMYFUNCTION("""COMPUTED_VALUE"""),3000000.0)</f>
        <v>3000000</v>
      </c>
      <c r="L5" s="20">
        <f>IFERROR(__xludf.DUMMYFUNCTION("""COMPUTED_VALUE"""),3500000.0)</f>
        <v>3500000</v>
      </c>
      <c r="M5" s="20" t="str">
        <f>IFERROR(__xludf.DUMMYFUNCTION("""COMPUTED_VALUE"""),"FREE")</f>
        <v>FREE</v>
      </c>
      <c r="N5" s="20">
        <f>IFERROR(__xludf.DUMMYFUNCTION("""COMPUTED_VALUE"""),4000000.0)</f>
        <v>4000000</v>
      </c>
      <c r="O5" s="17"/>
      <c r="P5" s="20" t="str">
        <f>IFERROR(__xludf.DUMMYFUNCTION("""COMPUTED_VALUE"""),"Rp7,000,000 - Rp9,000,000")</f>
        <v>Rp7,000,000 - Rp9,000,000</v>
      </c>
      <c r="Q5" s="20" t="str">
        <f>IFERROR(__xludf.DUMMYFUNCTION("""COMPUTED_VALUE"""),"FREE")</f>
        <v>FREE</v>
      </c>
      <c r="R5" s="20">
        <f>IFERROR(__xludf.DUMMYFUNCTION("""COMPUTED_VALUE"""),1500000.0)</f>
        <v>1500000</v>
      </c>
      <c r="S5" s="20">
        <f>IFERROR(__xludf.DUMMYFUNCTION("""COMPUTED_VALUE"""),6000000.0)</f>
        <v>6000000</v>
      </c>
      <c r="T5" s="17"/>
      <c r="U5" s="17"/>
      <c r="V5" s="17"/>
      <c r="W5" s="20" t="str">
        <f>IFERROR(__xludf.DUMMYFUNCTION("""COMPUTED_VALUE"""),"FREE")</f>
        <v>FREE</v>
      </c>
      <c r="X5" s="17"/>
      <c r="Y5" s="17"/>
    </row>
    <row r="6">
      <c r="A6" s="17">
        <f>IFERROR(__xludf.DUMMYFUNCTION("""COMPUTED_VALUE"""),3.0)</f>
        <v>3</v>
      </c>
      <c r="B6" s="18" t="str">
        <f>IFERROR(__xludf.DUMMYFUNCTION("""COMPUTED_VALUE"""),"nadiladrn")</f>
        <v>nadiladrn</v>
      </c>
      <c r="C6" s="23">
        <f>IFERROR(__xludf.DUMMYFUNCTION("""COMPUTED_VALUE"""),509000.0)</f>
        <v>509000</v>
      </c>
      <c r="D6" s="17" t="str">
        <f>IFERROR(__xludf.DUMMYFUNCTION("""COMPUTED_VALUE"""),"Macro")</f>
        <v>Macro</v>
      </c>
      <c r="E6" s="18" t="str">
        <f>IFERROR(__xludf.DUMMYFUNCTION("""COMPUTED_VALUE"""),"dileeedrn")</f>
        <v>dileeedrn</v>
      </c>
      <c r="F6" s="23">
        <f>IFERROR(__xludf.DUMMYFUNCTION("""COMPUTED_VALUE"""),168200.0)</f>
        <v>168200</v>
      </c>
      <c r="G6" s="17" t="str">
        <f>IFERROR(__xludf.DUMMYFUNCTION("""COMPUTED_VALUE"""),"Mid")</f>
        <v>Mid</v>
      </c>
      <c r="H6" s="17" t="str">
        <f>IFERROR(__xludf.DUMMYFUNCTION("""COMPUTED_VALUE"""),"Siantar")</f>
        <v>Siantar</v>
      </c>
      <c r="I6" s="17" t="str">
        <f>IFERROR(__xludf.DUMMYFUNCTION("""COMPUTED_VALUE"""),"- Lifestyle Female
- Fashion Wanita
- Beauty")</f>
        <v>- Lifestyle Female
- Fashion Wanita
- Beauty</v>
      </c>
      <c r="J6" s="20">
        <f>IFERROR(__xludf.DUMMYFUNCTION("""COMPUTED_VALUE"""),400000.0)</f>
        <v>400000</v>
      </c>
      <c r="K6" s="20">
        <f>IFERROR(__xludf.DUMMYFUNCTION("""COMPUTED_VALUE"""),500000.0)</f>
        <v>500000</v>
      </c>
      <c r="L6" s="20">
        <f>IFERROR(__xludf.DUMMYFUNCTION("""COMPUTED_VALUE"""),650000.0)</f>
        <v>650000</v>
      </c>
      <c r="M6" s="20" t="str">
        <f>IFERROR(__xludf.DUMMYFUNCTION("""COMPUTED_VALUE"""),"FREE")</f>
        <v>FREE</v>
      </c>
      <c r="N6" s="20">
        <f>IFERROR(__xludf.DUMMYFUNCTION("""COMPUTED_VALUE"""),850000.0)</f>
        <v>850000</v>
      </c>
      <c r="O6" s="20">
        <f>IFERROR(__xludf.DUMMYFUNCTION("""COMPUTED_VALUE"""),950000.0)</f>
        <v>950000</v>
      </c>
      <c r="P6" s="20">
        <f>IFERROR(__xludf.DUMMYFUNCTION("""COMPUTED_VALUE"""),1000000.0)</f>
        <v>1000000</v>
      </c>
      <c r="Q6" s="20" t="str">
        <f>IFERROR(__xludf.DUMMYFUNCTION("""COMPUTED_VALUE"""),"FREE")</f>
        <v>FREE</v>
      </c>
      <c r="R6" s="20">
        <f>IFERROR(__xludf.DUMMYFUNCTION("""COMPUTED_VALUE"""),750000.0)</f>
        <v>750000</v>
      </c>
      <c r="S6" s="20">
        <f>IFERROR(__xludf.DUMMYFUNCTION("""COMPUTED_VALUE"""),1500000.0)</f>
        <v>1500000</v>
      </c>
      <c r="T6" s="17"/>
      <c r="U6" s="20" t="str">
        <f>IFERROR(__xludf.DUMMYFUNCTION("""COMPUTED_VALUE"""),"FREE")</f>
        <v>FREE</v>
      </c>
      <c r="V6" s="17"/>
      <c r="W6" s="20" t="str">
        <f>IFERROR(__xludf.DUMMYFUNCTION("""COMPUTED_VALUE"""),"FREE")</f>
        <v>FREE</v>
      </c>
      <c r="X6" s="20" t="str">
        <f>IFERROR(__xludf.DUMMYFUNCTION("""COMPUTED_VALUE"""),"Rp1.500.000 - Rp2.500.000")</f>
        <v>Rp1.500.000 - Rp2.500.000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IFERROR(__xludf.DUMMYFUNCTION("""COMPUTED_VALUE"""),"nabilabellai_")</f>
        <v>nabilabellai_</v>
      </c>
      <c r="C7" s="23">
        <f>IFERROR(__xludf.DUMMYFUNCTION("""COMPUTED_VALUE"""),420000.0)</f>
        <v>420000</v>
      </c>
      <c r="D7" s="17" t="str">
        <f>IFERROR(__xludf.DUMMYFUNCTION("""COMPUTED_VALUE"""),"Mid")</f>
        <v>Mid</v>
      </c>
      <c r="E7" s="18" t="str">
        <f>IFERROR(__xludf.DUMMYFUNCTION("""COMPUTED_VALUE"""),"nabilabellai_")</f>
        <v>nabilabellai_</v>
      </c>
      <c r="F7" s="23">
        <f>IFERROR(__xludf.DUMMYFUNCTION("""COMPUTED_VALUE"""),106700.0)</f>
        <v>106700</v>
      </c>
      <c r="G7" s="17" t="str">
        <f>IFERROR(__xludf.DUMMYFUNCTION("""COMPUTED_VALUE"""),"Mid")</f>
        <v>Mid</v>
      </c>
      <c r="H7" s="17" t="str">
        <f>IFERROR(__xludf.DUMMYFUNCTION("""COMPUTED_VALUE"""),"Bandung")</f>
        <v>Bandung</v>
      </c>
      <c r="I7" s="17" t="str">
        <f>IFERROR(__xludf.DUMMYFUNCTION("""COMPUTED_VALUE"""),"- Lifestyle Female
- Fashion Wanita
- Mom &amp; Kids")</f>
        <v>- Lifestyle Female
- Fashion Wanita
- Mom &amp; Kids</v>
      </c>
      <c r="J7" s="20">
        <f>IFERROR(__xludf.DUMMYFUNCTION("""COMPUTED_VALUE"""),600000.0)</f>
        <v>600000</v>
      </c>
      <c r="K7" s="20">
        <f>IFERROR(__xludf.DUMMYFUNCTION("""COMPUTED_VALUE"""),7000000.0)</f>
        <v>7000000</v>
      </c>
      <c r="L7" s="20">
        <f>IFERROR(__xludf.DUMMYFUNCTION("""COMPUTED_VALUE"""),8000000.0)</f>
        <v>8000000</v>
      </c>
      <c r="M7" s="20" t="str">
        <f>IFERROR(__xludf.DUMMYFUNCTION("""COMPUTED_VALUE"""),"FREE")</f>
        <v>FREE</v>
      </c>
      <c r="N7" s="20">
        <f>IFERROR(__xludf.DUMMYFUNCTION("""COMPUTED_VALUE"""),7000000.0)</f>
        <v>7000000</v>
      </c>
      <c r="O7" s="20">
        <f>IFERROR(__xludf.DUMMYFUNCTION("""COMPUTED_VALUE"""),8000000.0)</f>
        <v>8000000</v>
      </c>
      <c r="P7" s="20">
        <f>IFERROR(__xludf.DUMMYFUNCTION("""COMPUTED_VALUE"""),1.5E7)</f>
        <v>15000000</v>
      </c>
      <c r="Q7" s="20" t="str">
        <f>IFERROR(__xludf.DUMMYFUNCTION("""COMPUTED_VALUE"""),"FREE")</f>
        <v>FREE</v>
      </c>
      <c r="R7" s="20">
        <f>IFERROR(__xludf.DUMMYFUNCTION("""COMPUTED_VALUE"""),8000000.0)</f>
        <v>8000000</v>
      </c>
      <c r="S7" s="20">
        <f>IFERROR(__xludf.DUMMYFUNCTION("""COMPUTED_VALUE"""),1.5E7)</f>
        <v>15000000</v>
      </c>
      <c r="T7" s="20">
        <f>IFERROR(__xludf.DUMMYFUNCTION("""COMPUTED_VALUE"""),5000000.0)</f>
        <v>5000000</v>
      </c>
      <c r="U7" s="20" t="str">
        <f>IFERROR(__xludf.DUMMYFUNCTION("""COMPUTED_VALUE"""),"FREE")</f>
        <v>FREE</v>
      </c>
      <c r="V7" s="20" t="str">
        <f>IFERROR(__xludf.DUMMYFUNCTION("""COMPUTED_VALUE"""),"Pake Code Boost")</f>
        <v>Pake Code Boost</v>
      </c>
      <c r="W7" s="20">
        <f>IFERROR(__xludf.DUMMYFUNCTION("""COMPUTED_VALUE"""),1000000.0)</f>
        <v>1000000</v>
      </c>
      <c r="X7" s="20">
        <f>IFERROR(__xludf.DUMMYFUNCTION("""COMPUTED_VALUE"""),5000000.0)</f>
        <v>5000000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IFERROR(__xludf.DUMMYFUNCTION("""COMPUTED_VALUE"""),"seviqfebinita")</f>
        <v>seviqfebinita</v>
      </c>
      <c r="C8" s="23">
        <f>IFERROR(__xludf.DUMMYFUNCTION("""COMPUTED_VALUE"""),417000.0)</f>
        <v>417000</v>
      </c>
      <c r="D8" s="17" t="str">
        <f>IFERROR(__xludf.DUMMYFUNCTION("""COMPUTED_VALUE"""),"Mid")</f>
        <v>Mid</v>
      </c>
      <c r="E8" s="18" t="str">
        <f>IFERROR(__xludf.DUMMYFUNCTION("""COMPUTED_VALUE"""),"seviqfebinita")</f>
        <v>seviqfebinita</v>
      </c>
      <c r="F8" s="23">
        <f>IFERROR(__xludf.DUMMYFUNCTION("""COMPUTED_VALUE"""),103500.0)</f>
        <v>103500</v>
      </c>
      <c r="G8" s="17" t="str">
        <f>IFERROR(__xludf.DUMMYFUNCTION("""COMPUTED_VALUE"""),"Mid")</f>
        <v>Mid</v>
      </c>
      <c r="H8" s="17" t="str">
        <f>IFERROR(__xludf.DUMMYFUNCTION("""COMPUTED_VALUE"""),"Jakarta")</f>
        <v>Jakarta</v>
      </c>
      <c r="I8" s="17" t="str">
        <f>IFERROR(__xludf.DUMMYFUNCTION("""COMPUTED_VALUE"""),"- Lifestyle Female
- Fashion Wanita
- Mom &amp; Kids")</f>
        <v>- Lifestyle Female
- Fashion Wanita
- Mom &amp; Kids</v>
      </c>
      <c r="J8" s="20">
        <f>IFERROR(__xludf.DUMMYFUNCTION("""COMPUTED_VALUE"""),1000000.0)</f>
        <v>1000000</v>
      </c>
      <c r="K8" s="17"/>
      <c r="L8" s="17"/>
      <c r="M8" s="17"/>
      <c r="N8" s="17"/>
      <c r="O8" s="17"/>
      <c r="P8" s="17"/>
      <c r="Q8" s="17"/>
      <c r="R8" s="17"/>
      <c r="S8" s="17"/>
      <c r="T8" s="20" t="str">
        <f>IFERROR(__xludf.DUMMYFUNCTION("""COMPUTED_VALUE"""),"Rp10,000,000/2 jam")</f>
        <v>Rp10,000,000/2 jam</v>
      </c>
      <c r="U8" s="17" t="str">
        <f>IFERROR(__xludf.DUMMYFUNCTION("""COMPUTED_VALUE"""),"+100%")</f>
        <v>+100%</v>
      </c>
      <c r="V8" s="20">
        <f>IFERROR(__xludf.DUMMYFUNCTION("""COMPUTED_VALUE"""),3000000.0)</f>
        <v>3000000</v>
      </c>
      <c r="W8" s="20">
        <f>IFERROR(__xludf.DUMMYFUNCTION("""COMPUTED_VALUE"""),3000000.0)</f>
        <v>3000000</v>
      </c>
      <c r="X8" s="20">
        <f>IFERROR(__xludf.DUMMYFUNCTION("""COMPUTED_VALUE"""),1.5E7)</f>
        <v>15000000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IFERROR(__xludf.DUMMYFUNCTION("""COMPUTED_VALUE"""),"alminetaaz")</f>
        <v>alminetaaz</v>
      </c>
      <c r="C9" s="23">
        <f>IFERROR(__xludf.DUMMYFUNCTION("""COMPUTED_VALUE"""),382000.0)</f>
        <v>382000</v>
      </c>
      <c r="D9" s="17" t="str">
        <f>IFERROR(__xludf.DUMMYFUNCTION("""COMPUTED_VALUE"""),"Mid")</f>
        <v>Mid</v>
      </c>
      <c r="E9" s="18" t="str">
        <f>IFERROR(__xludf.DUMMYFUNCTION("""COMPUTED_VALUE"""),"almineta")</f>
        <v>almineta</v>
      </c>
      <c r="F9" s="19">
        <f>IFERROR(__xludf.DUMMYFUNCTION("""COMPUTED_VALUE"""),2800000.0)</f>
        <v>2800000</v>
      </c>
      <c r="G9" s="17" t="str">
        <f>IFERROR(__xludf.DUMMYFUNCTION("""COMPUTED_VALUE"""),"Mega")</f>
        <v>Mega</v>
      </c>
      <c r="H9" s="17" t="str">
        <f>IFERROR(__xludf.DUMMYFUNCTION("""COMPUTED_VALUE"""),"Jakarta")</f>
        <v>Jakarta</v>
      </c>
      <c r="I9" s="17" t="str">
        <f>IFERROR(__xludf.DUMMYFUNCTION("""COMPUTED_VALUE"""),"- Fashion Wanita
- Lifestyle Female
- Pasutri
- Beauty")</f>
        <v>- Fashion Wanita
- Lifestyle Female
- Pasutri
- Beauty</v>
      </c>
      <c r="J9" s="20">
        <f>IFERROR(__xludf.DUMMYFUNCTION("""COMPUTED_VALUE"""),1500000.0)</f>
        <v>1500000</v>
      </c>
      <c r="K9" s="20">
        <f>IFERROR(__xludf.DUMMYFUNCTION("""COMPUTED_VALUE"""),5500000.0)</f>
        <v>5500000</v>
      </c>
      <c r="L9" s="20">
        <f>IFERROR(__xludf.DUMMYFUNCTION("""COMPUTED_VALUE"""),7000000.0)</f>
        <v>7000000</v>
      </c>
      <c r="M9" s="20" t="str">
        <f>IFERROR(__xludf.DUMMYFUNCTION("""COMPUTED_VALUE"""),"FREE")</f>
        <v>FREE</v>
      </c>
      <c r="N9" s="20">
        <f>IFERROR(__xludf.DUMMYFUNCTION("""COMPUTED_VALUE"""),4500000.0)</f>
        <v>4500000</v>
      </c>
      <c r="O9" s="20" t="str">
        <f>IFERROR(__xludf.DUMMYFUNCTION("""COMPUTED_VALUE"""),"Rp700,000/slide")</f>
        <v>Rp700,000/slide</v>
      </c>
      <c r="P9" s="20">
        <f>IFERROR(__xludf.DUMMYFUNCTION("""COMPUTED_VALUE"""),1.2E7)</f>
        <v>12000000</v>
      </c>
      <c r="Q9" s="20">
        <f>IFERROR(__xludf.DUMMYFUNCTION("""COMPUTED_VALUE"""),1500000.0)</f>
        <v>1500000</v>
      </c>
      <c r="R9" s="20">
        <f>IFERROR(__xludf.DUMMYFUNCTION("""COMPUTED_VALUE"""),2.2E7)</f>
        <v>22000000</v>
      </c>
      <c r="S9" s="20">
        <f>IFERROR(__xludf.DUMMYFUNCTION("""COMPUTED_VALUE"""),1.0E7)</f>
        <v>10000000</v>
      </c>
      <c r="T9" s="20">
        <f>IFERROR(__xludf.DUMMYFUNCTION("""COMPUTED_VALUE"""),1.0E7)</f>
        <v>10000000</v>
      </c>
      <c r="U9" s="20">
        <f>IFERROR(__xludf.DUMMYFUNCTION("""COMPUTED_VALUE"""),3.5E7)</f>
        <v>35000000</v>
      </c>
      <c r="V9" s="21">
        <f>IFERROR(__xludf.DUMMYFUNCTION("""COMPUTED_VALUE"""),0.5)</f>
        <v>0.5</v>
      </c>
      <c r="W9" s="20">
        <f>IFERROR(__xludf.DUMMYFUNCTION("""COMPUTED_VALUE"""),1500000.0)</f>
        <v>1500000</v>
      </c>
      <c r="X9" s="20">
        <f>IFERROR(__xludf.DUMMYFUNCTION("""COMPUTED_VALUE"""),3000000.0)</f>
        <v>3000000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IFERROR(__xludf.DUMMYFUNCTION("""COMPUTED_VALUE"""),"elyanisa_")</f>
        <v>elyanisa_</v>
      </c>
      <c r="C10" s="23">
        <f>IFERROR(__xludf.DUMMYFUNCTION("""COMPUTED_VALUE"""),379000.0)</f>
        <v>379000</v>
      </c>
      <c r="D10" s="17" t="str">
        <f>IFERROR(__xludf.DUMMYFUNCTION("""COMPUTED_VALUE"""),"Mid")</f>
        <v>Mid</v>
      </c>
      <c r="E10" s="18" t="str">
        <f>IFERROR(__xludf.DUMMYFUNCTION("""COMPUTED_VALUE"""),"elyanisaa")</f>
        <v>elyanisaa</v>
      </c>
      <c r="F10" s="23">
        <f>IFERROR(__xludf.DUMMYFUNCTION("""COMPUTED_VALUE"""),72500.0)</f>
        <v>72500</v>
      </c>
      <c r="G10" s="17" t="str">
        <f>IFERROR(__xludf.DUMMYFUNCTION("""COMPUTED_VALUE"""),"Micro")</f>
        <v>Micro</v>
      </c>
      <c r="H10" s="17" t="str">
        <f>IFERROR(__xludf.DUMMYFUNCTION("""COMPUTED_VALUE"""),"Cimahi")</f>
        <v>Cimahi</v>
      </c>
      <c r="I10" s="17" t="str">
        <f>IFERROR(__xludf.DUMMYFUNCTION("""COMPUTED_VALUE"""),"- Lifestyle Female
- Fashion Wanita
- Mom &amp; Kids")</f>
        <v>- Lifestyle Female
- Fashion Wanita
- Mom &amp; Kids</v>
      </c>
      <c r="J10" s="20">
        <f>IFERROR(__xludf.DUMMYFUNCTION("""COMPUTED_VALUE"""),200000.0)</f>
        <v>200000</v>
      </c>
      <c r="K10" s="20">
        <f>IFERROR(__xludf.DUMMYFUNCTION("""COMPUTED_VALUE"""),1500000.0)</f>
        <v>1500000</v>
      </c>
      <c r="L10" s="17"/>
      <c r="M10" s="20" t="str">
        <f>IFERROR(__xludf.DUMMYFUNCTION("""COMPUTED_VALUE"""),"FREE")</f>
        <v>FREE</v>
      </c>
      <c r="N10" s="20">
        <f>IFERROR(__xludf.DUMMYFUNCTION("""COMPUTED_VALUE"""),3000000.0)</f>
        <v>3000000</v>
      </c>
      <c r="O10" s="17"/>
      <c r="P10" s="20">
        <f>IFERROR(__xludf.DUMMYFUNCTION("""COMPUTED_VALUE"""),8000000.0)</f>
        <v>8000000</v>
      </c>
      <c r="Q10" s="20" t="str">
        <f>IFERROR(__xludf.DUMMYFUNCTION("""COMPUTED_VALUE"""),"FREE")</f>
        <v>FREE</v>
      </c>
      <c r="R10" s="20">
        <f>IFERROR(__xludf.DUMMYFUNCTION("""COMPUTED_VALUE"""),3000000.0)</f>
        <v>3000000</v>
      </c>
      <c r="S10" s="20">
        <f>IFERROR(__xludf.DUMMYFUNCTION("""COMPUTED_VALUE"""),8000000.0)</f>
        <v>8000000</v>
      </c>
      <c r="T10" s="17"/>
      <c r="U10" s="17"/>
      <c r="V10" s="17"/>
      <c r="W10" s="17"/>
      <c r="X10" s="17" t="str">
        <f>IFERROR(__xludf.DUMMYFUNCTION("""COMPUTED_VALUE"""),"+Rp1,000,000 - Rp3,000,000")</f>
        <v>+Rp1,000,000 - Rp3,000,000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IFERROR(__xludf.DUMMYFUNCTION("""COMPUTED_VALUE"""),"hellodhanii")</f>
        <v>hellodhanii</v>
      </c>
      <c r="C11" s="23">
        <f>IFERROR(__xludf.DUMMYFUNCTION("""COMPUTED_VALUE"""),299000.0)</f>
        <v>299000</v>
      </c>
      <c r="D11" s="17" t="str">
        <f>IFERROR(__xludf.DUMMYFUNCTION("""COMPUTED_VALUE"""),"Mid")</f>
        <v>Mid</v>
      </c>
      <c r="E11" s="24" t="str">
        <f>IFERROR(__xludf.DUMMYFUNCTION("""COMPUTED_VALUE"""),"hellodhani")</f>
        <v>hellodhani</v>
      </c>
      <c r="F11" s="19">
        <f>IFERROR(__xludf.DUMMYFUNCTION("""COMPUTED_VALUE"""),2300000.0)</f>
        <v>2300000</v>
      </c>
      <c r="G11" s="17" t="str">
        <f>IFERROR(__xludf.DUMMYFUNCTION("""COMPUTED_VALUE"""),"Mega")</f>
        <v>Mega</v>
      </c>
      <c r="H11" s="20" t="str">
        <f>IFERROR(__xludf.DUMMYFUNCTION("""COMPUTED_VALUE"""),"Jakarta")</f>
        <v>Jakarta</v>
      </c>
      <c r="I11" s="17" t="str">
        <f>IFERROR(__xludf.DUMMYFUNCTION("""COMPUTED_VALUE"""),"- Beauty
- Lifestyle Female
- Fashion Wanita")</f>
        <v>- Beauty
- Lifestyle Female
- Fashion Wanita</v>
      </c>
      <c r="J11" s="20">
        <f>IFERROR(__xludf.DUMMYFUNCTION("""COMPUTED_VALUE"""),1000000.0)</f>
        <v>1000000</v>
      </c>
      <c r="K11" s="20">
        <f>IFERROR(__xludf.DUMMYFUNCTION("""COMPUTED_VALUE"""),3000000.0)</f>
        <v>3000000</v>
      </c>
      <c r="L11" s="20">
        <f>IFERROR(__xludf.DUMMYFUNCTION("""COMPUTED_VALUE"""),4000000.0)</f>
        <v>4000000</v>
      </c>
      <c r="M11" s="20" t="str">
        <f>IFERROR(__xludf.DUMMYFUNCTION("""COMPUTED_VALUE"""),"FREE")</f>
        <v>FREE</v>
      </c>
      <c r="N11" s="20">
        <f>IFERROR(__xludf.DUMMYFUNCTION("""COMPUTED_VALUE"""),3500000.0)</f>
        <v>3500000</v>
      </c>
      <c r="O11" s="20" t="str">
        <f>IFERROR(__xludf.DUMMYFUNCTION("""COMPUTED_VALUE"""),"FREE")</f>
        <v>FREE</v>
      </c>
      <c r="P11" s="20">
        <f>IFERROR(__xludf.DUMMYFUNCTION("""COMPUTED_VALUE"""),9000000.0)</f>
        <v>9000000</v>
      </c>
      <c r="Q11" s="20" t="str">
        <f>IFERROR(__xludf.DUMMYFUNCTION("""COMPUTED_VALUE"""),"FREE")</f>
        <v>FREE</v>
      </c>
      <c r="R11" s="20">
        <f>IFERROR(__xludf.DUMMYFUNCTION("""COMPUTED_VALUE"""),7000000.0)</f>
        <v>7000000</v>
      </c>
      <c r="S11" s="20">
        <f>IFERROR(__xludf.DUMMYFUNCTION("""COMPUTED_VALUE"""),4500000.0)</f>
        <v>4500000</v>
      </c>
      <c r="T11" s="20">
        <f>IFERROR(__xludf.DUMMYFUNCTION("""COMPUTED_VALUE"""),4000000.0)</f>
        <v>4000000</v>
      </c>
      <c r="U11" s="20" t="str">
        <f>IFERROR(__xludf.DUMMYFUNCTION("""COMPUTED_VALUE"""),"100% SOW")</f>
        <v>100% SOW</v>
      </c>
      <c r="V11" s="20" t="str">
        <f>IFERROR(__xludf.DUMMYFUNCTION("""COMPUTED_VALUE"""),"FREE")</f>
        <v>FREE</v>
      </c>
      <c r="W11" s="20" t="str">
        <f>IFERROR(__xludf.DUMMYFUNCTION("""COMPUTED_VALUE"""),"FREE")</f>
        <v>FREE</v>
      </c>
      <c r="X11" s="20">
        <f>IFERROR(__xludf.DUMMYFUNCTION("""COMPUTED_VALUE"""),1000000.0)</f>
        <v>1000000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IFERROR(__xludf.DUMMYFUNCTION("""COMPUTED_VALUE"""),"nennyzoe")</f>
        <v>nennyzoe</v>
      </c>
      <c r="C12" s="23">
        <f>IFERROR(__xludf.DUMMYFUNCTION("""COMPUTED_VALUE"""),270000.0)</f>
        <v>270000</v>
      </c>
      <c r="D12" s="17" t="str">
        <f>IFERROR(__xludf.DUMMYFUNCTION("""COMPUTED_VALUE"""),"Mid")</f>
        <v>Mid</v>
      </c>
      <c r="E12" s="18" t="str">
        <f>IFERROR(__xludf.DUMMYFUNCTION("""COMPUTED_VALUE"""),"nennyzoe")</f>
        <v>nennyzoe</v>
      </c>
      <c r="F12" s="19">
        <f>IFERROR(__xludf.DUMMYFUNCTION("""COMPUTED_VALUE"""),1100000.0)</f>
        <v>1100000</v>
      </c>
      <c r="G12" s="17" t="str">
        <f>IFERROR(__xludf.DUMMYFUNCTION("""COMPUTED_VALUE"""),"Mega")</f>
        <v>Mega</v>
      </c>
      <c r="H12" s="17" t="str">
        <f>IFERROR(__xludf.DUMMYFUNCTION("""COMPUTED_VALUE"""),"Bandung")</f>
        <v>Bandung</v>
      </c>
      <c r="I12" s="17" t="str">
        <f>IFERROR(__xludf.DUMMYFUNCTION("""COMPUTED_VALUE"""),"- Fashion Wanita
- Lifestyle Female
- Beauty
- Family")</f>
        <v>- Fashion Wanita
- Lifestyle Female
- Beauty
- Family</v>
      </c>
      <c r="J12" s="20">
        <f>IFERROR(__xludf.DUMMYFUNCTION("""COMPUTED_VALUE"""),400000.0)</f>
        <v>400000</v>
      </c>
      <c r="K12" s="20">
        <f>IFERROR(__xludf.DUMMYFUNCTION("""COMPUTED_VALUE"""),2000000.0)</f>
        <v>2000000</v>
      </c>
      <c r="L12" s="20">
        <f>IFERROR(__xludf.DUMMYFUNCTION("""COMPUTED_VALUE"""),5000000.0)</f>
        <v>5000000</v>
      </c>
      <c r="M12" s="20" t="str">
        <f>IFERROR(__xludf.DUMMYFUNCTION("""COMPUTED_VALUE"""),"FREE")</f>
        <v>FREE</v>
      </c>
      <c r="N12" s="20">
        <f>IFERROR(__xludf.DUMMYFUNCTION("""COMPUTED_VALUE"""),3500000.0)</f>
        <v>3500000</v>
      </c>
      <c r="O12" s="20">
        <f>IFERROR(__xludf.DUMMYFUNCTION("""COMPUTED_VALUE"""),4000000.0)</f>
        <v>4000000</v>
      </c>
      <c r="P12" s="20">
        <f>IFERROR(__xludf.DUMMYFUNCTION("""COMPUTED_VALUE"""),7500000.0)</f>
        <v>7500000</v>
      </c>
      <c r="Q12" s="20" t="str">
        <f>IFERROR(__xludf.DUMMYFUNCTION("""COMPUTED_VALUE"""),"FREE")</f>
        <v>FREE</v>
      </c>
      <c r="R12" s="20">
        <f>IFERROR(__xludf.DUMMYFUNCTION("""COMPUTED_VALUE"""),1.0E7)</f>
        <v>10000000</v>
      </c>
      <c r="S12" s="20">
        <f>IFERROR(__xludf.DUMMYFUNCTION("""COMPUTED_VALUE"""),1.5E7)</f>
        <v>15000000</v>
      </c>
      <c r="T12" s="20">
        <f>IFERROR(__xludf.DUMMYFUNCTION("""COMPUTED_VALUE"""),8000000.0)</f>
        <v>8000000</v>
      </c>
      <c r="U12" s="20">
        <f>IFERROR(__xludf.DUMMYFUNCTION("""COMPUTED_VALUE"""),1.5E7)</f>
        <v>15000000</v>
      </c>
      <c r="V12" s="21">
        <f>IFERROR(__xludf.DUMMYFUNCTION("""COMPUTED_VALUE"""),0.5)</f>
        <v>0.5</v>
      </c>
      <c r="W12" s="20">
        <f>IFERROR(__xludf.DUMMYFUNCTION("""COMPUTED_VALUE"""),1000000.0)</f>
        <v>1000000</v>
      </c>
      <c r="X12" s="20">
        <f>IFERROR(__xludf.DUMMYFUNCTION("""COMPUTED_VALUE"""),2000000.0)</f>
        <v>2000000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IFERROR(__xludf.DUMMYFUNCTION("""COMPUTED_VALUE"""),"bbyjiangel_")</f>
        <v>bbyjiangel_</v>
      </c>
      <c r="C13" s="23">
        <f>IFERROR(__xludf.DUMMYFUNCTION("""COMPUTED_VALUE"""),266000.0)</f>
        <v>266000</v>
      </c>
      <c r="D13" s="17" t="str">
        <f>IFERROR(__xludf.DUMMYFUNCTION("""COMPUTED_VALUE"""),"Mid")</f>
        <v>Mid</v>
      </c>
      <c r="E13" s="18" t="str">
        <f>IFERROR(__xludf.DUMMYFUNCTION("""COMPUTED_VALUE"""),"jiyaakila")</f>
        <v>jiyaakila</v>
      </c>
      <c r="F13" s="23">
        <f>IFERROR(__xludf.DUMMYFUNCTION("""COMPUTED_VALUE"""),25500.0)</f>
        <v>25500</v>
      </c>
      <c r="G13" s="17" t="str">
        <f>IFERROR(__xludf.DUMMYFUNCTION("""COMPUTED_VALUE"""),"Micro")</f>
        <v>Micro</v>
      </c>
      <c r="H13" s="17" t="str">
        <f>IFERROR(__xludf.DUMMYFUNCTION("""COMPUTED_VALUE"""),"Padang")</f>
        <v>Padang</v>
      </c>
      <c r="I13" s="17" t="str">
        <f>IFERROR(__xludf.DUMMYFUNCTION("""COMPUTED_VALUE"""),"- Fashion Wanita
- Beauty")</f>
        <v>- Fashion Wanita
- Beauty</v>
      </c>
      <c r="J13" s="20">
        <f>IFERROR(__xludf.DUMMYFUNCTION("""COMPUTED_VALUE"""),200000.0)</f>
        <v>200000</v>
      </c>
      <c r="K13" s="20">
        <f>IFERROR(__xludf.DUMMYFUNCTION("""COMPUTED_VALUE"""),1000000.0)</f>
        <v>1000000</v>
      </c>
      <c r="L13" s="17"/>
      <c r="M13" s="20" t="str">
        <f>IFERROR(__xludf.DUMMYFUNCTION("""COMPUTED_VALUE"""),"FREE")</f>
        <v>FREE</v>
      </c>
      <c r="N13" s="20">
        <f>IFERROR(__xludf.DUMMYFUNCTION("""COMPUTED_VALUE"""),1500000.0)</f>
        <v>1500000</v>
      </c>
      <c r="O13" s="20">
        <f>IFERROR(__xludf.DUMMYFUNCTION("""COMPUTED_VALUE"""),2000000.0)</f>
        <v>2000000</v>
      </c>
      <c r="P13" s="20">
        <f>IFERROR(__xludf.DUMMYFUNCTION("""COMPUTED_VALUE"""),3000000.0)</f>
        <v>3000000</v>
      </c>
      <c r="Q13" s="20" t="str">
        <f>IFERROR(__xludf.DUMMYFUNCTION("""COMPUTED_VALUE"""),"FREE")</f>
        <v>FREE</v>
      </c>
      <c r="R13" s="20">
        <f>IFERROR(__xludf.DUMMYFUNCTION("""COMPUTED_VALUE"""),500000.0)</f>
        <v>500000</v>
      </c>
      <c r="S13" s="17"/>
      <c r="T13" s="17"/>
      <c r="U13" s="17"/>
      <c r="V13" s="17"/>
      <c r="W13" s="20" t="str">
        <f>IFERROR(__xludf.DUMMYFUNCTION("""COMPUTED_VALUE"""),"FREE")</f>
        <v>FREE</v>
      </c>
      <c r="X13" s="17"/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IFERROR(__xludf.DUMMYFUNCTION("""COMPUTED_VALUE"""),"nabilabyaaa")</f>
        <v>nabilabyaaa</v>
      </c>
      <c r="C14" s="23">
        <f>IFERROR(__xludf.DUMMYFUNCTION("""COMPUTED_VALUE"""),210000.0)</f>
        <v>210000</v>
      </c>
      <c r="D14" s="17" t="str">
        <f>IFERROR(__xludf.DUMMYFUNCTION("""COMPUTED_VALUE"""),"Mid")</f>
        <v>Mid</v>
      </c>
      <c r="E14" s="18" t="str">
        <f>IFERROR(__xludf.DUMMYFUNCTION("""COMPUTED_VALUE"""),"nabilabyaaa")</f>
        <v>nabilabyaaa</v>
      </c>
      <c r="F14" s="19">
        <f>IFERROR(__xludf.DUMMYFUNCTION("""COMPUTED_VALUE"""),198600.0)</f>
        <v>198600</v>
      </c>
      <c r="G14" s="17" t="str">
        <f>IFERROR(__xludf.DUMMYFUNCTION("""COMPUTED_VALUE"""),"Mid")</f>
        <v>Mid</v>
      </c>
      <c r="H14" s="17" t="str">
        <f>IFERROR(__xludf.DUMMYFUNCTION("""COMPUTED_VALUE"""),"Malang")</f>
        <v>Malang</v>
      </c>
      <c r="I14" s="17" t="str">
        <f>IFERROR(__xludf.DUMMYFUNCTION("""COMPUTED_VALUE"""),"- Fashion Wanita
- Beauty")</f>
        <v>- Fashion Wanita
- Beauty</v>
      </c>
      <c r="J14" s="20">
        <f>IFERROR(__xludf.DUMMYFUNCTION("""COMPUTED_VALUE"""),400000.0)</f>
        <v>400000</v>
      </c>
      <c r="K14" s="20">
        <f>IFERROR(__xludf.DUMMYFUNCTION("""COMPUTED_VALUE"""),600000.0)</f>
        <v>600000</v>
      </c>
      <c r="L14" s="20">
        <f>IFERROR(__xludf.DUMMYFUNCTION("""COMPUTED_VALUE"""),800000.0)</f>
        <v>800000</v>
      </c>
      <c r="M14" s="20" t="str">
        <f>IFERROR(__xludf.DUMMYFUNCTION("""COMPUTED_VALUE"""),"FREE")</f>
        <v>FREE</v>
      </c>
      <c r="N14" s="20">
        <f>IFERROR(__xludf.DUMMYFUNCTION("""COMPUTED_VALUE"""),1300000.0)</f>
        <v>1300000</v>
      </c>
      <c r="O14" s="20" t="str">
        <f>IFERROR(__xludf.DUMMYFUNCTION("""COMPUTED_VALUE"""),"FREE")</f>
        <v>FREE</v>
      </c>
      <c r="P14" s="20" t="str">
        <f>IFERROR(__xludf.DUMMYFUNCTION("""COMPUTED_VALUE"""),"Indoor: Rp1.500.000
Outdoor: Rp1.700.000")</f>
        <v>Indoor: Rp1.500.000
Outdoor: Rp1.700.000</v>
      </c>
      <c r="Q14" s="20">
        <f>IFERROR(__xludf.DUMMYFUNCTION("""COMPUTED_VALUE"""),100000.0)</f>
        <v>100000</v>
      </c>
      <c r="R14" s="20">
        <f>IFERROR(__xludf.DUMMYFUNCTION("""COMPUTED_VALUE"""),1500000.0)</f>
        <v>1500000</v>
      </c>
      <c r="S14" s="20">
        <f>IFERROR(__xludf.DUMMYFUNCTION("""COMPUTED_VALUE"""),2000000.0)</f>
        <v>2000000</v>
      </c>
      <c r="T14" s="17"/>
      <c r="U14" s="20">
        <f>IFERROR(__xludf.DUMMYFUNCTION("""COMPUTED_VALUE"""),1000000.0)</f>
        <v>1000000</v>
      </c>
      <c r="V14" s="20">
        <f>IFERROR(__xludf.DUMMYFUNCTION("""COMPUTED_VALUE"""),300000.0)</f>
        <v>300000</v>
      </c>
      <c r="W14" s="20">
        <f>IFERROR(__xludf.DUMMYFUNCTION("""COMPUTED_VALUE"""),300000.0)</f>
        <v>300000</v>
      </c>
      <c r="X14" s="20">
        <f>IFERROR(__xludf.DUMMYFUNCTION("""COMPUTED_VALUE"""),1000000.0)</f>
        <v>1000000</v>
      </c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IFERROR(__xludf.DUMMYFUNCTION("""COMPUTED_VALUE"""),"viaazulviani")</f>
        <v>viaazulviani</v>
      </c>
      <c r="C15" s="23">
        <f>IFERROR(__xludf.DUMMYFUNCTION("""COMPUTED_VALUE"""),205000.0)</f>
        <v>205000</v>
      </c>
      <c r="D15" s="17" t="str">
        <f>IFERROR(__xludf.DUMMYFUNCTION("""COMPUTED_VALUE"""),"Mid")</f>
        <v>Mid</v>
      </c>
      <c r="E15" s="18" t="str">
        <f>IFERROR(__xludf.DUMMYFUNCTION("""COMPUTED_VALUE"""),"viaazulviani")</f>
        <v>viaazulviani</v>
      </c>
      <c r="F15" s="23">
        <f>IFERROR(__xludf.DUMMYFUNCTION("""COMPUTED_VALUE"""),127000.0)</f>
        <v>127000</v>
      </c>
      <c r="G15" s="17" t="str">
        <f>IFERROR(__xludf.DUMMYFUNCTION("""COMPUTED_VALUE"""),"Mid")</f>
        <v>Mid</v>
      </c>
      <c r="H15" s="17" t="str">
        <f>IFERROR(__xludf.DUMMYFUNCTION("""COMPUTED_VALUE"""),"Medan")</f>
        <v>Medan</v>
      </c>
      <c r="I15" s="17" t="str">
        <f>IFERROR(__xludf.DUMMYFUNCTION("""COMPUTED_VALUE"""),"- Fashion Wanita 
- Lifestyle Female
- Beauty
- Mom &amp; Kids")</f>
        <v>- Fashion Wanita 
- Lifestyle Female
- Beauty
- Mom &amp; Kids</v>
      </c>
      <c r="J15" s="20">
        <f>IFERROR(__xludf.DUMMYFUNCTION("""COMPUTED_VALUE"""),500000.0)</f>
        <v>500000</v>
      </c>
      <c r="K15" s="20">
        <f>IFERROR(__xludf.DUMMYFUNCTION("""COMPUTED_VALUE"""),1500000.0)</f>
        <v>1500000</v>
      </c>
      <c r="L15" s="20">
        <f>IFERROR(__xludf.DUMMYFUNCTION("""COMPUTED_VALUE"""),3500000.0)</f>
        <v>3500000</v>
      </c>
      <c r="M15" s="20" t="str">
        <f>IFERROR(__xludf.DUMMYFUNCTION("""COMPUTED_VALUE"""),"FREE")</f>
        <v>FREE</v>
      </c>
      <c r="N15" s="20">
        <f>IFERROR(__xludf.DUMMYFUNCTION("""COMPUTED_VALUE"""),3500000.0)</f>
        <v>3500000</v>
      </c>
      <c r="O15" s="20">
        <f>IFERROR(__xludf.DUMMYFUNCTION("""COMPUTED_VALUE"""),4500000.0)</f>
        <v>4500000</v>
      </c>
      <c r="P15" s="20">
        <f>IFERROR(__xludf.DUMMYFUNCTION("""COMPUTED_VALUE"""),6000000.0)</f>
        <v>6000000</v>
      </c>
      <c r="Q15" s="20" t="str">
        <f>IFERROR(__xludf.DUMMYFUNCTION("""COMPUTED_VALUE"""),"FREE")</f>
        <v>FREE</v>
      </c>
      <c r="R15" s="20">
        <f>IFERROR(__xludf.DUMMYFUNCTION("""COMPUTED_VALUE"""),2500000.0)</f>
        <v>2500000</v>
      </c>
      <c r="S15" s="20">
        <f>IFERROR(__xludf.DUMMYFUNCTION("""COMPUTED_VALUE"""),6000000.0)</f>
        <v>6000000</v>
      </c>
      <c r="T15" s="20">
        <f>IFERROR(__xludf.DUMMYFUNCTION("""COMPUTED_VALUE"""),4000000.0)</f>
        <v>4000000</v>
      </c>
      <c r="U15" s="21">
        <f>IFERROR(__xludf.DUMMYFUNCTION("""COMPUTED_VALUE"""),0.5)</f>
        <v>0.5</v>
      </c>
      <c r="V15" s="20">
        <f>IFERROR(__xludf.DUMMYFUNCTION("""COMPUTED_VALUE"""),1000000.0)</f>
        <v>1000000</v>
      </c>
      <c r="W15" s="20" t="str">
        <f>IFERROR(__xludf.DUMMYFUNCTION("""COMPUTED_VALUE"""),"FREE")</f>
        <v>FREE</v>
      </c>
      <c r="X15" s="20">
        <f>IFERROR(__xludf.DUMMYFUNCTION("""COMPUTED_VALUE"""),8000000.0)</f>
        <v>8000000</v>
      </c>
      <c r="Y15" s="17"/>
    </row>
    <row r="16">
      <c r="A16" s="17">
        <f>IFERROR(__xludf.DUMMYFUNCTION("""COMPUTED_VALUE"""),13.0)</f>
        <v>13</v>
      </c>
      <c r="B16" s="18" t="str">
        <f>IFERROR(__xludf.DUMMYFUNCTION("""COMPUTED_VALUE"""),"S.sraaa")</f>
        <v>S.sraaa</v>
      </c>
      <c r="C16" s="23">
        <f>IFERROR(__xludf.DUMMYFUNCTION("""COMPUTED_VALUE"""),153000.0)</f>
        <v>153000</v>
      </c>
      <c r="D16" s="17" t="str">
        <f>IFERROR(__xludf.DUMMYFUNCTION("""COMPUTED_VALUE"""),"Mid")</f>
        <v>Mid</v>
      </c>
      <c r="E16" s="18" t="str">
        <f>IFERROR(__xludf.DUMMYFUNCTION("""COMPUTED_VALUE"""),"Sssiraa")</f>
        <v>Sssiraa</v>
      </c>
      <c r="F16" s="23">
        <f>IFERROR(__xludf.DUMMYFUNCTION("""COMPUTED_VALUE"""),32900.0)</f>
        <v>32900</v>
      </c>
      <c r="G16" s="17" t="str">
        <f>IFERROR(__xludf.DUMMYFUNCTION("""COMPUTED_VALUE"""),"Micro")</f>
        <v>Micro</v>
      </c>
      <c r="H16" s="17" t="str">
        <f>IFERROR(__xludf.DUMMYFUNCTION("""COMPUTED_VALUE"""),"Bekasi")</f>
        <v>Bekasi</v>
      </c>
      <c r="I16" s="17" t="str">
        <f>IFERROR(__xludf.DUMMYFUNCTION("""COMPUTED_VALUE"""),"- Fashion Wanita
- Beauty")</f>
        <v>- Fashion Wanita
- Beauty</v>
      </c>
      <c r="J16" s="20">
        <f>IFERROR(__xludf.DUMMYFUNCTION("""COMPUTED_VALUE"""),300000.0)</f>
        <v>300000</v>
      </c>
      <c r="K16" s="20">
        <f>IFERROR(__xludf.DUMMYFUNCTION("""COMPUTED_VALUE"""),800000.0)</f>
        <v>800000</v>
      </c>
      <c r="L16" s="20">
        <f>IFERROR(__xludf.DUMMYFUNCTION("""COMPUTED_VALUE"""),1000000.0)</f>
        <v>1000000</v>
      </c>
      <c r="M16" s="20" t="str">
        <f>IFERROR(__xludf.DUMMYFUNCTION("""COMPUTED_VALUE"""),"FREE")</f>
        <v>FREE</v>
      </c>
      <c r="N16" s="20">
        <f>IFERROR(__xludf.DUMMYFUNCTION("""COMPUTED_VALUE"""),1000000.0)</f>
        <v>1000000</v>
      </c>
      <c r="O16" s="20">
        <f>IFERROR(__xludf.DUMMYFUNCTION("""COMPUTED_VALUE"""),1100000.0)</f>
        <v>1100000</v>
      </c>
      <c r="P16" s="20">
        <f>IFERROR(__xludf.DUMMYFUNCTION("""COMPUTED_VALUE"""),1500000.0)</f>
        <v>1500000</v>
      </c>
      <c r="Q16" s="20" t="str">
        <f>IFERROR(__xludf.DUMMYFUNCTION("""COMPUTED_VALUE"""),"FREE")</f>
        <v>FREE</v>
      </c>
      <c r="R16" s="20">
        <f>IFERROR(__xludf.DUMMYFUNCTION("""COMPUTED_VALUE"""),600000.0)</f>
        <v>600000</v>
      </c>
      <c r="S16" s="20">
        <f>IFERROR(__xludf.DUMMYFUNCTION("""COMPUTED_VALUE"""),1700000.0)</f>
        <v>1700000</v>
      </c>
      <c r="T16" s="17"/>
      <c r="U16" s="20">
        <f>IFERROR(__xludf.DUMMYFUNCTION("""COMPUTED_VALUE"""),1000000.0)</f>
        <v>1000000</v>
      </c>
      <c r="V16" s="20">
        <f>IFERROR(__xludf.DUMMYFUNCTION("""COMPUTED_VALUE"""),350000.0)</f>
        <v>350000</v>
      </c>
      <c r="W16" s="20" t="str">
        <f>IFERROR(__xludf.DUMMYFUNCTION("""COMPUTED_VALUE"""),"FREE")</f>
        <v>FREE</v>
      </c>
      <c r="X16" s="20">
        <f>IFERROR(__xludf.DUMMYFUNCTION("""COMPUTED_VALUE"""),4500000.0)</f>
        <v>4500000</v>
      </c>
      <c r="Y16" s="17"/>
    </row>
    <row r="17">
      <c r="A17" s="17">
        <f>IFERROR(__xludf.DUMMYFUNCTION("""COMPUTED_VALUE"""),14.0)</f>
        <v>14</v>
      </c>
      <c r="B17" s="18" t="str">
        <f>IFERROR(__xludf.DUMMYFUNCTION("""COMPUTED_VALUE"""),"sylvamulachelaa")</f>
        <v>sylvamulachelaa</v>
      </c>
      <c r="C17" s="23">
        <f>IFERROR(__xludf.DUMMYFUNCTION("""COMPUTED_VALUE"""),145000.0)</f>
        <v>145000</v>
      </c>
      <c r="D17" s="17" t="str">
        <f>IFERROR(__xludf.DUMMYFUNCTION("""COMPUTED_VALUE"""),"Mid")</f>
        <v>Mid</v>
      </c>
      <c r="E17" s="18" t="str">
        <f>IFERROR(__xludf.DUMMYFUNCTION("""COMPUTED_VALUE"""),"sylvamulachelaa")</f>
        <v>sylvamulachelaa</v>
      </c>
      <c r="F17" s="23">
        <f>IFERROR(__xludf.DUMMYFUNCTION("""COMPUTED_VALUE"""),9717.0)</f>
        <v>9717</v>
      </c>
      <c r="G17" s="17" t="str">
        <f>IFERROR(__xludf.DUMMYFUNCTION("""COMPUTED_VALUE"""),"Nano")</f>
        <v>Nano</v>
      </c>
      <c r="H17" s="17" t="str">
        <f>IFERROR(__xludf.DUMMYFUNCTION("""COMPUTED_VALUE"""),"Tangerang")</f>
        <v>Tangerang</v>
      </c>
      <c r="I17" s="17" t="str">
        <f>IFERROR(__xludf.DUMMYFUNCTION("""COMPUTED_VALUE"""),"- Fashion Wanita
- Lifestyle Female
- Place Review")</f>
        <v>- Fashion Wanita
- Lifestyle Female
- Place Review</v>
      </c>
      <c r="J17" s="20">
        <f>IFERROR(__xludf.DUMMYFUNCTION("""COMPUTED_VALUE"""),200000.0)</f>
        <v>200000</v>
      </c>
      <c r="K17" s="20">
        <f>IFERROR(__xludf.DUMMYFUNCTION("""COMPUTED_VALUE"""),300000.0)</f>
        <v>300000</v>
      </c>
      <c r="L17" s="20">
        <f>IFERROR(__xludf.DUMMYFUNCTION("""COMPUTED_VALUE"""),500000.0)</f>
        <v>500000</v>
      </c>
      <c r="M17" s="20" t="str">
        <f>IFERROR(__xludf.DUMMYFUNCTION("""COMPUTED_VALUE"""),"FREE")</f>
        <v>FREE</v>
      </c>
      <c r="N17" s="20">
        <f>IFERROR(__xludf.DUMMYFUNCTION("""COMPUTED_VALUE"""),750000.0)</f>
        <v>750000</v>
      </c>
      <c r="O17" s="20">
        <f>IFERROR(__xludf.DUMMYFUNCTION("""COMPUTED_VALUE"""),750000.0)</f>
        <v>750000</v>
      </c>
      <c r="P17" s="20">
        <f>IFERROR(__xludf.DUMMYFUNCTION("""COMPUTED_VALUE"""),950000.0)</f>
        <v>950000</v>
      </c>
      <c r="Q17" s="20" t="str">
        <f>IFERROR(__xludf.DUMMYFUNCTION("""COMPUTED_VALUE"""),"FREE")</f>
        <v>FREE</v>
      </c>
      <c r="R17" s="20">
        <f>IFERROR(__xludf.DUMMYFUNCTION("""COMPUTED_VALUE"""),400000.0)</f>
        <v>400000</v>
      </c>
      <c r="S17" s="20">
        <f>IFERROR(__xludf.DUMMYFUNCTION("""COMPUTED_VALUE"""),700000.0)</f>
        <v>700000</v>
      </c>
      <c r="T17" s="17"/>
      <c r="U17" s="20">
        <f>IFERROR(__xludf.DUMMYFUNCTION("""COMPUTED_VALUE"""),250000.0)</f>
        <v>250000</v>
      </c>
      <c r="V17" s="20" t="str">
        <f>IFERROR(__xludf.DUMMYFUNCTION("""COMPUTED_VALUE"""),"FREE")</f>
        <v>FREE</v>
      </c>
      <c r="W17" s="20" t="str">
        <f>IFERROR(__xludf.DUMMYFUNCTION("""COMPUTED_VALUE"""),"FREE")</f>
        <v>FREE</v>
      </c>
      <c r="X17" s="20">
        <f>IFERROR(__xludf.DUMMYFUNCTION("""COMPUTED_VALUE"""),1200000.0)</f>
        <v>1200000</v>
      </c>
      <c r="Y17" s="17"/>
    </row>
    <row r="18">
      <c r="A18" s="17">
        <f>IFERROR(__xludf.DUMMYFUNCTION("""COMPUTED_VALUE"""),15.0)</f>
        <v>15</v>
      </c>
      <c r="B18" s="18" t="str">
        <f>IFERROR(__xludf.DUMMYFUNCTION("""COMPUTED_VALUE"""),"ulyaslsss__")</f>
        <v>ulyaslsss__</v>
      </c>
      <c r="C18" s="23">
        <f>IFERROR(__xludf.DUMMYFUNCTION("""COMPUTED_VALUE"""),114000.0)</f>
        <v>114000</v>
      </c>
      <c r="D18" s="17" t="str">
        <f>IFERROR(__xludf.DUMMYFUNCTION("""COMPUTED_VALUE"""),"Mid")</f>
        <v>Mid</v>
      </c>
      <c r="E18" s="18" t="str">
        <f>IFERROR(__xludf.DUMMYFUNCTION("""COMPUTED_VALUE"""),"ulyasalsabilaa")</f>
        <v>ulyasalsabilaa</v>
      </c>
      <c r="F18" s="23">
        <f>IFERROR(__xludf.DUMMYFUNCTION("""COMPUTED_VALUE"""),14500.0)</f>
        <v>14500</v>
      </c>
      <c r="G18" s="17" t="str">
        <f>IFERROR(__xludf.DUMMYFUNCTION("""COMPUTED_VALUE"""),"Micro")</f>
        <v>Micro</v>
      </c>
      <c r="H18" s="17" t="str">
        <f>IFERROR(__xludf.DUMMYFUNCTION("""COMPUTED_VALUE"""),"Bandung")</f>
        <v>Bandung</v>
      </c>
      <c r="I18" s="17" t="str">
        <f>IFERROR(__xludf.DUMMYFUNCTION("""COMPUTED_VALUE"""),"- Fashion Wanita
- Lifestyle Female
- Beauty")</f>
        <v>- Fashion Wanita
- Lifestyle Female
- Beauty</v>
      </c>
      <c r="J18" s="20">
        <f>IFERROR(__xludf.DUMMYFUNCTION("""COMPUTED_VALUE"""),100000.0)</f>
        <v>100000</v>
      </c>
      <c r="K18" s="20">
        <f>IFERROR(__xludf.DUMMYFUNCTION("""COMPUTED_VALUE"""),200000.0)</f>
        <v>200000</v>
      </c>
      <c r="L18" s="20">
        <f>IFERROR(__xludf.DUMMYFUNCTION("""COMPUTED_VALUE"""),250000.0)</f>
        <v>250000</v>
      </c>
      <c r="M18" s="20">
        <f>IFERROR(__xludf.DUMMYFUNCTION("""COMPUTED_VALUE"""),100000.0)</f>
        <v>100000</v>
      </c>
      <c r="N18" s="20">
        <f>IFERROR(__xludf.DUMMYFUNCTION("""COMPUTED_VALUE"""),300000.0)</f>
        <v>300000</v>
      </c>
      <c r="O18" s="20">
        <f>IFERROR(__xludf.DUMMYFUNCTION("""COMPUTED_VALUE"""),500000.0)</f>
        <v>500000</v>
      </c>
      <c r="P18" s="20">
        <f>IFERROR(__xludf.DUMMYFUNCTION("""COMPUTED_VALUE"""),700000.0)</f>
        <v>700000</v>
      </c>
      <c r="Q18" s="20" t="str">
        <f>IFERROR(__xludf.DUMMYFUNCTION("""COMPUTED_VALUE"""),"FREE")</f>
        <v>FREE</v>
      </c>
      <c r="R18" s="20">
        <f>IFERROR(__xludf.DUMMYFUNCTION("""COMPUTED_VALUE"""),400000.0)</f>
        <v>400000</v>
      </c>
      <c r="S18" s="20">
        <f>IFERROR(__xludf.DUMMYFUNCTION("""COMPUTED_VALUE"""),700000.0)</f>
        <v>700000</v>
      </c>
      <c r="T18" s="20">
        <f>IFERROR(__xludf.DUMMYFUNCTION("""COMPUTED_VALUE"""),500000.0)</f>
        <v>500000</v>
      </c>
      <c r="U18" s="20">
        <f>IFERROR(__xludf.DUMMYFUNCTION("""COMPUTED_VALUE"""),200000.0)</f>
        <v>200000</v>
      </c>
      <c r="V18" s="20" t="str">
        <f>IFERROR(__xludf.DUMMYFUNCTION("""COMPUTED_VALUE"""),"FREE")</f>
        <v>FREE</v>
      </c>
      <c r="W18" s="20" t="str">
        <f>IFERROR(__xludf.DUMMYFUNCTION("""COMPUTED_VALUE"""),"FREE")</f>
        <v>FREE</v>
      </c>
      <c r="X18" s="17"/>
      <c r="Y18" s="17"/>
    </row>
    <row r="19">
      <c r="A19" s="17">
        <f>IFERROR(__xludf.DUMMYFUNCTION("""COMPUTED_VALUE"""),16.0)</f>
        <v>16</v>
      </c>
      <c r="B19" s="18" t="str">
        <f>IFERROR(__xludf.DUMMYFUNCTION("""COMPUTED_VALUE"""),"mutiarasgt")</f>
        <v>mutiarasgt</v>
      </c>
      <c r="C19" s="23">
        <f>IFERROR(__xludf.DUMMYFUNCTION("""COMPUTED_VALUE"""),107000.0)</f>
        <v>107000</v>
      </c>
      <c r="D19" s="17" t="str">
        <f>IFERROR(__xludf.DUMMYFUNCTION("""COMPUTED_VALUE"""),"Mid")</f>
        <v>Mid</v>
      </c>
      <c r="E19" s="18" t="str">
        <f>IFERROR(__xludf.DUMMYFUNCTION("""COMPUTED_VALUE"""),"mutiarsh")</f>
        <v>mutiarsh</v>
      </c>
      <c r="F19" s="23">
        <f>IFERROR(__xludf.DUMMYFUNCTION("""COMPUTED_VALUE"""),6735.0)</f>
        <v>6735</v>
      </c>
      <c r="G19" s="17" t="str">
        <f>IFERROR(__xludf.DUMMYFUNCTION("""COMPUTED_VALUE"""),"Nano")</f>
        <v>Nano</v>
      </c>
      <c r="H19" s="17" t="str">
        <f>IFERROR(__xludf.DUMMYFUNCTION("""COMPUTED_VALUE"""),"Bekasi")</f>
        <v>Bekasi</v>
      </c>
      <c r="I19" s="17" t="str">
        <f>IFERROR(__xludf.DUMMYFUNCTION("""COMPUTED_VALUE"""),"- Fashion Wanita
- Lifestyle Female
- Beauty")</f>
        <v>- Fashion Wanita
- Lifestyle Female
- Beauty</v>
      </c>
      <c r="J19" s="20">
        <f>IFERROR(__xludf.DUMMYFUNCTION("""COMPUTED_VALUE"""),200000.0)</f>
        <v>200000</v>
      </c>
      <c r="K19" s="20">
        <f>IFERROR(__xludf.DUMMYFUNCTION("""COMPUTED_VALUE"""),300000.0)</f>
        <v>300000</v>
      </c>
      <c r="L19" s="20">
        <f>IFERROR(__xludf.DUMMYFUNCTION("""COMPUTED_VALUE"""),300000.0)</f>
        <v>300000</v>
      </c>
      <c r="M19" s="20" t="str">
        <f>IFERROR(__xludf.DUMMYFUNCTION("""COMPUTED_VALUE"""),"FREE")</f>
        <v>FREE</v>
      </c>
      <c r="N19" s="20">
        <f>IFERROR(__xludf.DUMMYFUNCTION("""COMPUTED_VALUE"""),400000.0)</f>
        <v>400000</v>
      </c>
      <c r="O19" s="20">
        <f>IFERROR(__xludf.DUMMYFUNCTION("""COMPUTED_VALUE"""),450000.0)</f>
        <v>450000</v>
      </c>
      <c r="P19" s="20">
        <f>IFERROR(__xludf.DUMMYFUNCTION("""COMPUTED_VALUE"""),700000.0)</f>
        <v>700000</v>
      </c>
      <c r="Q19" s="20" t="str">
        <f>IFERROR(__xludf.DUMMYFUNCTION("""COMPUTED_VALUE"""),"FREE")</f>
        <v>FREE</v>
      </c>
      <c r="R19" s="20">
        <f>IFERROR(__xludf.DUMMYFUNCTION("""COMPUTED_VALUE"""),500000.0)</f>
        <v>500000</v>
      </c>
      <c r="S19" s="20">
        <f>IFERROR(__xludf.DUMMYFUNCTION("""COMPUTED_VALUE"""),900000.0)</f>
        <v>900000</v>
      </c>
      <c r="T19" s="17"/>
      <c r="U19" s="20" t="str">
        <f>IFERROR(__xludf.DUMMYFUNCTION("""COMPUTED_VALUE"""),"FREE")</f>
        <v>FREE</v>
      </c>
      <c r="V19" s="20" t="str">
        <f>IFERROR(__xludf.DUMMYFUNCTION("""COMPUTED_VALUE"""),"FREE")</f>
        <v>FREE</v>
      </c>
      <c r="W19" s="20" t="str">
        <f>IFERROR(__xludf.DUMMYFUNCTION("""COMPUTED_VALUE"""),"FREE")</f>
        <v>FREE</v>
      </c>
      <c r="X19" s="20">
        <f>IFERROR(__xludf.DUMMYFUNCTION("""COMPUTED_VALUE"""),2000000.0)</f>
        <v>2000000</v>
      </c>
      <c r="Y19" s="17"/>
    </row>
    <row r="20">
      <c r="A20" s="17">
        <f>IFERROR(__xludf.DUMMYFUNCTION("""COMPUTED_VALUE"""),17.0)</f>
        <v>17</v>
      </c>
      <c r="B20" s="17" t="str">
        <f>IFERROR(__xludf.DUMMYFUNCTION("""COMPUTED_VALUE"""),"TikTok Only")</f>
        <v>TikTok Only</v>
      </c>
      <c r="C20" s="17"/>
      <c r="D20" s="17"/>
      <c r="E20" s="18" t="str">
        <f>IFERROR(__xludf.DUMMYFUNCTION("""COMPUTED_VALUE"""),"almineta2")</f>
        <v>almineta2</v>
      </c>
      <c r="F20" s="19">
        <f>IFERROR(__xludf.DUMMYFUNCTION("""COMPUTED_VALUE"""),1600000.0)</f>
        <v>1600000</v>
      </c>
      <c r="G20" s="17" t="str">
        <f>IFERROR(__xludf.DUMMYFUNCTION("""COMPUTED_VALUE"""),"Mega")</f>
        <v>Mega</v>
      </c>
      <c r="H20" s="17" t="str">
        <f>IFERROR(__xludf.DUMMYFUNCTION("""COMPUTED_VALUE"""),"Bandung")</f>
        <v>Bandung</v>
      </c>
      <c r="I20" s="17" t="str">
        <f>IFERROR(__xludf.DUMMYFUNCTION("""COMPUTED_VALUE"""),"-Lifestyle Female
- Fashion Wanita
- Beauty")</f>
        <v>-Lifestyle Female
- Fashion Wanita
- Beauty</v>
      </c>
      <c r="J20" s="17"/>
      <c r="K20" s="17"/>
      <c r="L20" s="17"/>
      <c r="M20" s="17"/>
      <c r="N20" s="17"/>
      <c r="O20" s="17"/>
      <c r="P20" s="17"/>
      <c r="Q20" s="17"/>
      <c r="R20" s="20">
        <f>IFERROR(__xludf.DUMMYFUNCTION("""COMPUTED_VALUE"""),1.6E7)</f>
        <v>16000000</v>
      </c>
      <c r="S20" s="17" t="str">
        <f>IFERROR(__xludf.DUMMYFUNCTION("""COMPUTED_VALUE"""),"Rp8,500,000")</f>
        <v>Rp8,500,000</v>
      </c>
      <c r="T20" s="17"/>
      <c r="U20" s="17"/>
      <c r="V20" s="17"/>
      <c r="W20" s="17"/>
      <c r="X20" s="17"/>
      <c r="Y20" s="17"/>
    </row>
    <row r="21">
      <c r="A21" s="17">
        <f>IFERROR(__xludf.DUMMYFUNCTION("""COMPUTED_VALUE"""),18.0)</f>
        <v>18</v>
      </c>
      <c r="B21" s="18" t="str">
        <f>IFERROR(__xludf.DUMMYFUNCTION("""COMPUTED_VALUE"""),"putrialyn")</f>
        <v>putrialyn</v>
      </c>
      <c r="C21" s="23">
        <f>IFERROR(__xludf.DUMMYFUNCTION("""COMPUTED_VALUE"""),15300.0)</f>
        <v>15300</v>
      </c>
      <c r="D21" s="20" t="str">
        <f>IFERROR(__xludf.DUMMYFUNCTION("""COMPUTED_VALUE"""),"Micro")</f>
        <v>Micro</v>
      </c>
      <c r="E21" s="24" t="str">
        <f>IFERROR(__xludf.DUMMYFUNCTION("""COMPUTED_VALUE"""),"putrialynnn")</f>
        <v>putrialynnn</v>
      </c>
      <c r="F21" s="23">
        <f>IFERROR(__xludf.DUMMYFUNCTION("""COMPUTED_VALUE"""),1226.0)</f>
        <v>1226</v>
      </c>
      <c r="G21" s="20" t="str">
        <f>IFERROR(__xludf.DUMMYFUNCTION("""COMPUTED_VALUE"""),"Nano")</f>
        <v>Nano</v>
      </c>
      <c r="H21" s="17" t="str">
        <f>IFERROR(__xludf.DUMMYFUNCTION("""COMPUTED_VALUE"""),"Jakarta")</f>
        <v>Jakarta</v>
      </c>
      <c r="I21" s="17" t="str">
        <f>IFERROR(__xludf.DUMMYFUNCTION("""COMPUTED_VALUE"""),"- Lifestyle Female
- Sport
- Fashion Wanita")</f>
        <v>- Lifestyle Female
- Sport
- Fashion Wanita</v>
      </c>
      <c r="J21" s="17"/>
      <c r="K21" s="20">
        <f>IFERROR(__xludf.DUMMYFUNCTION("""COMPUTED_VALUE"""),350000.0)</f>
        <v>350000</v>
      </c>
      <c r="L21" s="20">
        <f>IFERROR(__xludf.DUMMYFUNCTION("""COMPUTED_VALUE"""),450000.0)</f>
        <v>450000</v>
      </c>
      <c r="M21" s="20">
        <f>IFERROR(__xludf.DUMMYFUNCTION("""COMPUTED_VALUE"""),50000.0)</f>
        <v>50000</v>
      </c>
      <c r="N21" s="20">
        <f>IFERROR(__xludf.DUMMYFUNCTION("""COMPUTED_VALUE"""),700000.0)</f>
        <v>700000</v>
      </c>
      <c r="O21" s="17"/>
      <c r="P21" s="20">
        <f>IFERROR(__xludf.DUMMYFUNCTION("""COMPUTED_VALUE"""),1000000.0)</f>
        <v>1000000</v>
      </c>
      <c r="Q21" s="17"/>
      <c r="R21" s="20">
        <f>IFERROR(__xludf.DUMMYFUNCTION("""COMPUTED_VALUE"""),400000.0)</f>
        <v>400000</v>
      </c>
      <c r="S21" s="20">
        <f>IFERROR(__xludf.DUMMYFUNCTION("""COMPUTED_VALUE"""),1300000.0)</f>
        <v>1300000</v>
      </c>
      <c r="T21" s="17"/>
      <c r="U21" s="17"/>
      <c r="V21" s="17"/>
      <c r="W21" s="17"/>
      <c r="X21" s="17"/>
      <c r="Y21" s="17"/>
    </row>
    <row r="22" hidden="1">
      <c r="A22" s="17">
        <f>IFERROR(__xludf.DUMMYFUNCTION("""COMPUTED_VALUE"""),19.0)</f>
        <v>19</v>
      </c>
      <c r="B22" s="18" t="str">
        <f>IFERROR(__xludf.DUMMYFUNCTION("""COMPUTED_VALUE"""),"stephaniegiscka")</f>
        <v>stephaniegiscka</v>
      </c>
      <c r="C22" s="23">
        <f>IFERROR(__xludf.DUMMYFUNCTION("""COMPUTED_VALUE"""),27200.0)</f>
        <v>27200</v>
      </c>
      <c r="D22" s="20" t="str">
        <f>IFERROR(__xludf.DUMMYFUNCTION("""COMPUTED_VALUE"""),"Micro")</f>
        <v>Micro</v>
      </c>
      <c r="E22" s="24" t="str">
        <f>IFERROR(__xludf.DUMMYFUNCTION("""COMPUTED_VALUE"""),"inigiscka")</f>
        <v>inigiscka</v>
      </c>
      <c r="F22" s="23">
        <f>IFERROR(__xludf.DUMMYFUNCTION("""COMPUTED_VALUE"""),50800.0)</f>
        <v>50800</v>
      </c>
      <c r="G22" s="20" t="str">
        <f>IFERROR(__xludf.DUMMYFUNCTION("""COMPUTED_VALUE"""),"Micro")</f>
        <v>Micro</v>
      </c>
      <c r="H22" s="17" t="str">
        <f>IFERROR(__xludf.DUMMYFUNCTION("""COMPUTED_VALUE"""),"Jakarta")</f>
        <v>Jakarta</v>
      </c>
      <c r="I22" s="17" t="str">
        <f>IFERROR(__xludf.DUMMYFUNCTION("""COMPUTED_VALUE"""),"- Fashion Wanita
- Beauty
- Lifestyle Female")</f>
        <v>- Fashion Wanita
- Beauty
- Lifestyle Female</v>
      </c>
      <c r="J22" s="17"/>
      <c r="K22" s="20">
        <f>IFERROR(__xludf.DUMMYFUNCTION("""COMPUTED_VALUE"""),350000.0)</f>
        <v>350000</v>
      </c>
      <c r="L22" s="20">
        <f>IFERROR(__xludf.DUMMYFUNCTION("""COMPUTED_VALUE"""),450000.0)</f>
        <v>450000</v>
      </c>
      <c r="M22" s="20">
        <f>IFERROR(__xludf.DUMMYFUNCTION("""COMPUTED_VALUE"""),50000.0)</f>
        <v>50000</v>
      </c>
      <c r="N22" s="20">
        <f>IFERROR(__xludf.DUMMYFUNCTION("""COMPUTED_VALUE"""),1000000.0)</f>
        <v>1000000</v>
      </c>
      <c r="O22" s="17"/>
      <c r="P22" s="20">
        <f>IFERROR(__xludf.DUMMYFUNCTION("""COMPUTED_VALUE"""),1000000.0)</f>
        <v>1000000</v>
      </c>
      <c r="Q22" s="17"/>
      <c r="R22" s="20">
        <f>IFERROR(__xludf.DUMMYFUNCTION("""COMPUTED_VALUE"""),1000000.0)</f>
        <v>1000000</v>
      </c>
      <c r="S22" s="20">
        <f>IFERROR(__xludf.DUMMYFUNCTION("""COMPUTED_VALUE"""),1700000.0)</f>
        <v>1700000</v>
      </c>
      <c r="T22" s="17"/>
      <c r="U22" s="20">
        <f>IFERROR(__xludf.DUMMYFUNCTION("""COMPUTED_VALUE"""),500000.0)</f>
        <v>500000</v>
      </c>
      <c r="V22" s="17"/>
      <c r="W22" s="17"/>
      <c r="X22" s="17"/>
      <c r="Y22" s="17"/>
    </row>
    <row r="23" hidden="1">
      <c r="A23" s="17">
        <f>IFERROR(__xludf.DUMMYFUNCTION("""COMPUTED_VALUE"""),20.0)</f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idden="1">
      <c r="A24" s="17">
        <f>IFERROR(__xludf.DUMMYFUNCTION("""COMPUTED_VALUE"""),21.0)</f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idden="1">
      <c r="A25" s="17">
        <f>IFERROR(__xludf.DUMMYFUNCTION("""COMPUTED_VALUE"""),22.0)</f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idden="1">
      <c r="A26" s="17">
        <f>IFERROR(__xludf.DUMMYFUNCTION("""COMPUTED_VALUE"""),24.0)</f>
        <v>24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idden="1">
      <c r="A27" s="17">
        <f>IFERROR(__xludf.DUMMYFUNCTION("""COMPUTED_VALUE"""),25.0)</f>
        <v>25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idden="1">
      <c r="A28" s="17">
        <f>IFERROR(__xludf.DUMMYFUNCTION("""COMPUTED_VALUE"""),26.0)</f>
        <v>26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idden="1">
      <c r="A29" s="17">
        <f>IFERROR(__xludf.DUMMYFUNCTION("""COMPUTED_VALUE"""),28.0)</f>
        <v>28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idden="1">
      <c r="A30" s="17">
        <f>IFERROR(__xludf.DUMMYFUNCTION("""COMPUTED_VALUE"""),29.0)</f>
        <v>29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idden="1">
      <c r="A31" s="17">
        <f>IFERROR(__xludf.DUMMYFUNCTION("""COMPUTED_VALUE"""),30.0)</f>
        <v>30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idden="1">
      <c r="A32" s="17">
        <f>IFERROR(__xludf.DUMMYFUNCTION("""COMPUTED_VALUE"""),31.0)</f>
        <v>31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idden="1">
      <c r="A33" s="17">
        <f>IFERROR(__xludf.DUMMYFUNCTION("""COMPUTED_VALUE"""),32.0)</f>
        <v>32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idden="1">
      <c r="A34" s="17">
        <f>IFERROR(__xludf.DUMMYFUNCTION("""COMPUTED_VALUE"""),33.0)</f>
        <v>33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idden="1">
      <c r="A35" s="17">
        <f>IFERROR(__xludf.DUMMYFUNCTION("""COMPUTED_VALUE"""),34.0)</f>
        <v>34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idden="1">
      <c r="A36" s="17">
        <f>IFERROR(__xludf.DUMMYFUNCTION("""COMPUTED_VALUE"""),35.0)</f>
        <v>35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idden="1">
      <c r="A37" s="17">
        <f>IFERROR(__xludf.DUMMYFUNCTION("""COMPUTED_VALUE"""),36.0)</f>
        <v>36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idden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idden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39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E20"/>
    <hyperlink r:id="rId34" ref="B21"/>
    <hyperlink r:id="rId35" ref="E21"/>
    <hyperlink r:id="rId36" ref="B22"/>
    <hyperlink r:id="rId37" ref="E22"/>
  </hyperlinks>
  <drawing r:id="rId38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2.5"/>
    <col customWidth="1" min="3" max="3" width="8.75"/>
    <col customWidth="1" min="4" max="4" width="5.63"/>
    <col customWidth="1" min="5" max="5" width="11.5"/>
    <col customWidth="1" min="6" max="6" width="8.75"/>
    <col customWidth="1" min="7" max="7" width="5.63"/>
    <col customWidth="1" min="8" max="8" width="10.13"/>
    <col customWidth="1" min="9" max="9" width="19.5"/>
  </cols>
  <sheetData>
    <row r="1">
      <c r="A1" s="28"/>
      <c r="B1" s="3"/>
      <c r="C1" s="3"/>
      <c r="D1" s="3"/>
      <c r="E1" s="3"/>
      <c r="F1" s="3"/>
      <c r="G1" s="3"/>
      <c r="H1" s="3"/>
      <c r="I1" s="4"/>
      <c r="J1" s="29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""Fashion Pria!A4:Y999"")"),1.0)</f>
        <v>1</v>
      </c>
      <c r="B4" s="18" t="str">
        <f>IFERROR(__xludf.DUMMYFUNCTION("""COMPUTED_VALUE"""),"fazmifebriana_")</f>
        <v>fazmifebriana_</v>
      </c>
      <c r="C4" s="23">
        <f>IFERROR(__xludf.DUMMYFUNCTION("""COMPUTED_VALUE"""),457000.0)</f>
        <v>457000</v>
      </c>
      <c r="D4" s="17" t="str">
        <f>IFERROR(__xludf.DUMMYFUNCTION("""COMPUTED_VALUE"""),"Mid")</f>
        <v>Mid</v>
      </c>
      <c r="E4" s="18" t="str">
        <f>IFERROR(__xludf.DUMMYFUNCTION("""COMPUTED_VALUE"""),"fazmif_")</f>
        <v>fazmif_</v>
      </c>
      <c r="F4" s="23">
        <f>IFERROR(__xludf.DUMMYFUNCTION("""COMPUTED_VALUE"""),779900.0)</f>
        <v>779900</v>
      </c>
      <c r="G4" s="17" t="str">
        <f>IFERROR(__xludf.DUMMYFUNCTION("""COMPUTED_VALUE"""),"Macro")</f>
        <v>Macro</v>
      </c>
      <c r="H4" s="17" t="str">
        <f>IFERROR(__xludf.DUMMYFUNCTION("""COMPUTED_VALUE"""),"Bogor")</f>
        <v>Bogor</v>
      </c>
      <c r="I4" s="17" t="str">
        <f>IFERROR(__xludf.DUMMYFUNCTION("""COMPUTED_VALUE"""),"- Lifestyle Male
- Fashion Pria")</f>
        <v>- Lifestyle Male
- Fashion Pria</v>
      </c>
      <c r="J4" s="20">
        <f>IFERROR(__xludf.DUMMYFUNCTION("""COMPUTED_VALUE"""),2500000.0)</f>
        <v>2500000</v>
      </c>
      <c r="K4" s="20">
        <f>IFERROR(__xludf.DUMMYFUNCTION("""COMPUTED_VALUE"""),3500000.0)</f>
        <v>3500000</v>
      </c>
      <c r="L4" s="17"/>
      <c r="M4" s="20" t="str">
        <f>IFERROR(__xludf.DUMMYFUNCTION("""COMPUTED_VALUE"""),"FREE")</f>
        <v>FREE</v>
      </c>
      <c r="N4" s="17"/>
      <c r="O4" s="20">
        <f>IFERROR(__xludf.DUMMYFUNCTION("""COMPUTED_VALUE"""),6000000.0)</f>
        <v>6000000</v>
      </c>
      <c r="P4" s="20">
        <f>IFERROR(__xludf.DUMMYFUNCTION("""COMPUTED_VALUE"""),7000000.0)</f>
        <v>7000000</v>
      </c>
      <c r="Q4" s="20" t="str">
        <f>IFERROR(__xludf.DUMMYFUNCTION("""COMPUTED_VALUE"""),"FREE")</f>
        <v>FREE</v>
      </c>
      <c r="R4" s="20">
        <f>IFERROR(__xludf.DUMMYFUNCTION("""COMPUTED_VALUE"""),8000000.0)</f>
        <v>8000000</v>
      </c>
      <c r="S4" s="20">
        <f>IFERROR(__xludf.DUMMYFUNCTION("""COMPUTED_VALUE"""),1.3E7)</f>
        <v>13000000</v>
      </c>
      <c r="T4" s="20">
        <f>IFERROR(__xludf.DUMMYFUNCTION("""COMPUTED_VALUE"""),1000000.0)</f>
        <v>1000000</v>
      </c>
      <c r="U4" s="20">
        <f>IFERROR(__xludf.DUMMYFUNCTION("""COMPUTED_VALUE"""),1000000.0)</f>
        <v>1000000</v>
      </c>
      <c r="V4" s="20" t="str">
        <f>IFERROR(__xludf.DUMMYFUNCTION("""COMPUTED_VALUE"""),"7D: FREE
30D: Rp500,000
60D: Rp750,000")</f>
        <v>7D: FREE
30D: Rp500,000
60D: Rp750,000</v>
      </c>
      <c r="W4" s="20">
        <f>IFERROR(__xludf.DUMMYFUNCTION("""COMPUTED_VALUE"""),500000.0)</f>
        <v>500000</v>
      </c>
      <c r="X4" s="20" t="str">
        <f>IFERROR(__xludf.DUMMYFUNCTION("""COMPUTED_VALUE"""),"Feeds: Rp8,000,000
Reels/TikTok: Rp9,000,000")</f>
        <v>Feeds: Rp8,000,000
Reels/TikTok: Rp9,000,000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IFERROR(__xludf.DUMMYFUNCTION("""COMPUTED_VALUE"""),"fauzanakhdan")</f>
        <v>fauzanakhdan</v>
      </c>
      <c r="C5" s="23">
        <f>IFERROR(__xludf.DUMMYFUNCTION("""COMPUTED_VALUE"""),465000.0)</f>
        <v>465000</v>
      </c>
      <c r="D5" s="17" t="str">
        <f>IFERROR(__xludf.DUMMYFUNCTION("""COMPUTED_VALUE"""),"Mid")</f>
        <v>Mid</v>
      </c>
      <c r="E5" s="18" t="str">
        <f>IFERROR(__xludf.DUMMYFUNCTION("""COMPUTED_VALUE"""),"fauzanakhdan")</f>
        <v>fauzanakhdan</v>
      </c>
      <c r="F5" s="23">
        <f>IFERROR(__xludf.DUMMYFUNCTION("""COMPUTED_VALUE"""),490200.0)</f>
        <v>490200</v>
      </c>
      <c r="G5" s="17" t="str">
        <f>IFERROR(__xludf.DUMMYFUNCTION("""COMPUTED_VALUE"""),"Mid")</f>
        <v>Mid</v>
      </c>
      <c r="H5" s="17" t="str">
        <f>IFERROR(__xludf.DUMMYFUNCTION("""COMPUTED_VALUE"""),"Bogor")</f>
        <v>Bogor</v>
      </c>
      <c r="I5" s="17" t="str">
        <f>IFERROR(__xludf.DUMMYFUNCTION("""COMPUTED_VALUE"""),"- Lifestyle Male
- Pasutri
- Family
- Fashion Pria")</f>
        <v>- Lifestyle Male
- Pasutri
- Family
- Fashion Pria</v>
      </c>
      <c r="J5" s="20">
        <f>IFERROR(__xludf.DUMMYFUNCTION("""COMPUTED_VALUE"""),2500000.0)</f>
        <v>2500000</v>
      </c>
      <c r="K5" s="20">
        <f>IFERROR(__xludf.DUMMYFUNCTION("""COMPUTED_VALUE"""),2500000.0)</f>
        <v>2500000</v>
      </c>
      <c r="L5" s="20">
        <f>IFERROR(__xludf.DUMMYFUNCTION("""COMPUTED_VALUE"""),7500000.0)</f>
        <v>7500000</v>
      </c>
      <c r="M5" s="20" t="str">
        <f>IFERROR(__xludf.DUMMYFUNCTION("""COMPUTED_VALUE"""),"FREE")</f>
        <v>FREE</v>
      </c>
      <c r="N5" s="20">
        <f>IFERROR(__xludf.DUMMYFUNCTION("""COMPUTED_VALUE"""),4000000.0)</f>
        <v>4000000</v>
      </c>
      <c r="O5" s="20">
        <f>IFERROR(__xludf.DUMMYFUNCTION("""COMPUTED_VALUE"""),7500000.0)</f>
        <v>7500000</v>
      </c>
      <c r="P5" s="20">
        <f>IFERROR(__xludf.DUMMYFUNCTION("""COMPUTED_VALUE"""),9000000.0)</f>
        <v>9000000</v>
      </c>
      <c r="Q5" s="20">
        <f>IFERROR(__xludf.DUMMYFUNCTION("""COMPUTED_VALUE"""),2000000.0)</f>
        <v>2000000</v>
      </c>
      <c r="R5" s="20">
        <f>IFERROR(__xludf.DUMMYFUNCTION("""COMPUTED_VALUE"""),8000000.0)</f>
        <v>8000000</v>
      </c>
      <c r="S5" s="20">
        <f>IFERROR(__xludf.DUMMYFUNCTION("""COMPUTED_VALUE"""),1.3E7)</f>
        <v>13000000</v>
      </c>
      <c r="T5" s="17"/>
      <c r="U5" s="20">
        <f>IFERROR(__xludf.DUMMYFUNCTION("""COMPUTED_VALUE"""),3000000.0)</f>
        <v>3000000</v>
      </c>
      <c r="V5" s="20">
        <f>IFERROR(__xludf.DUMMYFUNCTION("""COMPUTED_VALUE"""),1000000.0)</f>
        <v>1000000</v>
      </c>
      <c r="W5" s="20">
        <f>IFERROR(__xludf.DUMMYFUNCTION("""COMPUTED_VALUE"""),3000000.0)</f>
        <v>3000000</v>
      </c>
      <c r="X5" s="20">
        <f>IFERROR(__xludf.DUMMYFUNCTION("""COMPUTED_VALUE"""),4000000.0)</f>
        <v>4000000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IFERROR(__xludf.DUMMYFUNCTION("""COMPUTED_VALUE"""),"elnandautomo")</f>
        <v>elnandautomo</v>
      </c>
      <c r="C6" s="23">
        <f>IFERROR(__xludf.DUMMYFUNCTION("""COMPUTED_VALUE"""),286000.0)</f>
        <v>286000</v>
      </c>
      <c r="D6" s="17" t="str">
        <f>IFERROR(__xludf.DUMMYFUNCTION("""COMPUTED_VALUE"""),"Mid")</f>
        <v>Mid</v>
      </c>
      <c r="E6" s="18" t="str">
        <f>IFERROR(__xludf.DUMMYFUNCTION("""COMPUTED_VALUE"""),"elnandautomoo")</f>
        <v>elnandautomoo</v>
      </c>
      <c r="F6" s="23">
        <f>IFERROR(__xludf.DUMMYFUNCTION("""COMPUTED_VALUE"""),61300.0)</f>
        <v>61300</v>
      </c>
      <c r="G6" s="17" t="str">
        <f>IFERROR(__xludf.DUMMYFUNCTION("""COMPUTED_VALUE"""),"Micro")</f>
        <v>Micro</v>
      </c>
      <c r="H6" s="17" t="str">
        <f>IFERROR(__xludf.DUMMYFUNCTION("""COMPUTED_VALUE"""),"Jakarta")</f>
        <v>Jakarta</v>
      </c>
      <c r="I6" s="17" t="str">
        <f>IFERROR(__xludf.DUMMYFUNCTION("""COMPUTED_VALUE"""),"- Lifestyle Male
- Fashion Pria")</f>
        <v>- Lifestyle Male
- Fashion Pria</v>
      </c>
      <c r="J6" s="17"/>
      <c r="K6" s="20">
        <f>IFERROR(__xludf.DUMMYFUNCTION("""COMPUTED_VALUE"""),3000000.0)</f>
        <v>3000000</v>
      </c>
      <c r="L6" s="20">
        <f>IFERROR(__xludf.DUMMYFUNCTION("""COMPUTED_VALUE"""),6000000.0)</f>
        <v>6000000</v>
      </c>
      <c r="M6" s="20" t="str">
        <f>IFERROR(__xludf.DUMMYFUNCTION("""COMPUTED_VALUE"""),"FREE")</f>
        <v>FREE</v>
      </c>
      <c r="N6" s="20">
        <f>IFERROR(__xludf.DUMMYFUNCTION("""COMPUTED_VALUE"""),4000000.0)</f>
        <v>4000000</v>
      </c>
      <c r="O6" s="20">
        <f>IFERROR(__xludf.DUMMYFUNCTION("""COMPUTED_VALUE"""),7000000.0)</f>
        <v>7000000</v>
      </c>
      <c r="P6" s="20">
        <f>IFERROR(__xludf.DUMMYFUNCTION("""COMPUTED_VALUE"""),1.0E7)</f>
        <v>10000000</v>
      </c>
      <c r="Q6" s="21">
        <f>IFERROR(__xludf.DUMMYFUNCTION("""COMPUTED_VALUE"""),0.3)</f>
        <v>0.3</v>
      </c>
      <c r="R6" s="20">
        <f>IFERROR(__xludf.DUMMYFUNCTION("""COMPUTED_VALUE"""),3000000.0)</f>
        <v>3000000</v>
      </c>
      <c r="S6" s="20">
        <f>IFERROR(__xludf.DUMMYFUNCTION("""COMPUTED_VALUE"""),1.2E7)</f>
        <v>12000000</v>
      </c>
      <c r="T6" s="17"/>
      <c r="U6" s="21">
        <f>IFERROR(__xludf.DUMMYFUNCTION("""COMPUTED_VALUE"""),0.5)</f>
        <v>0.5</v>
      </c>
      <c r="V6" s="21">
        <f>IFERROR(__xludf.DUMMYFUNCTION("""COMPUTED_VALUE"""),0.2)</f>
        <v>0.2</v>
      </c>
      <c r="W6" s="20" t="str">
        <f>IFERROR(__xludf.DUMMYFUNCTION("""COMPUTED_VALUE"""),"FREE")</f>
        <v>FREE</v>
      </c>
      <c r="X6" s="20">
        <f>IFERROR(__xludf.DUMMYFUNCTION("""COMPUTED_VALUE"""),7000000.0)</f>
        <v>7000000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IFERROR(__xludf.DUMMYFUNCTION("""COMPUTED_VALUE"""),"redcah")</f>
        <v>redcah</v>
      </c>
      <c r="C7" s="23">
        <f>IFERROR(__xludf.DUMMYFUNCTION("""COMPUTED_VALUE"""),181000.0)</f>
        <v>181000</v>
      </c>
      <c r="D7" s="17" t="str">
        <f>IFERROR(__xludf.DUMMYFUNCTION("""COMPUTED_VALUE"""),"Mid")</f>
        <v>Mid</v>
      </c>
      <c r="E7" s="18" t="str">
        <f>IFERROR(__xludf.DUMMYFUNCTION("""COMPUTED_VALUE"""),"redcah")</f>
        <v>redcah</v>
      </c>
      <c r="F7" s="23">
        <f>IFERROR(__xludf.DUMMYFUNCTION("""COMPUTED_VALUE"""),569400.0)</f>
        <v>569400</v>
      </c>
      <c r="G7" s="17" t="str">
        <f>IFERROR(__xludf.DUMMYFUNCTION("""COMPUTED_VALUE"""),"Macro")</f>
        <v>Macro</v>
      </c>
      <c r="H7" s="17" t="str">
        <f>IFERROR(__xludf.DUMMYFUNCTION("""COMPUTED_VALUE"""),"Tangerang")</f>
        <v>Tangerang</v>
      </c>
      <c r="I7" s="17" t="str">
        <f>IFERROR(__xludf.DUMMYFUNCTION("""COMPUTED_VALUE"""),"- Lifestyle Male
- Pasutri
- Fashion Pria")</f>
        <v>- Lifestyle Male
- Pasutri
- Fashion Pria</v>
      </c>
      <c r="J7" s="20">
        <f>IFERROR(__xludf.DUMMYFUNCTION("""COMPUTED_VALUE"""),450000.0)</f>
        <v>450000</v>
      </c>
      <c r="K7" s="20">
        <f>IFERROR(__xludf.DUMMYFUNCTION("""COMPUTED_VALUE"""),500000.0)</f>
        <v>500000</v>
      </c>
      <c r="L7" s="20">
        <f>IFERROR(__xludf.DUMMYFUNCTION("""COMPUTED_VALUE"""),750000.0)</f>
        <v>750000</v>
      </c>
      <c r="M7" s="20" t="str">
        <f>IFERROR(__xludf.DUMMYFUNCTION("""COMPUTED_VALUE"""),"FREE")</f>
        <v>FREE</v>
      </c>
      <c r="N7" s="20">
        <f>IFERROR(__xludf.DUMMYFUNCTION("""COMPUTED_VALUE"""),2000000.0)</f>
        <v>2000000</v>
      </c>
      <c r="O7" s="20">
        <f>IFERROR(__xludf.DUMMYFUNCTION("""COMPUTED_VALUE"""),2500000.0)</f>
        <v>2500000</v>
      </c>
      <c r="P7" s="20">
        <f>IFERROR(__xludf.DUMMYFUNCTION("""COMPUTED_VALUE"""),3000000.0)</f>
        <v>3000000</v>
      </c>
      <c r="Q7" s="20" t="str">
        <f>IFERROR(__xludf.DUMMYFUNCTION("""COMPUTED_VALUE"""),"FREE")</f>
        <v>FREE</v>
      </c>
      <c r="R7" s="20">
        <f>IFERROR(__xludf.DUMMYFUNCTION("""COMPUTED_VALUE"""),6000000.0)</f>
        <v>6000000</v>
      </c>
      <c r="S7" s="20">
        <f>IFERROR(__xludf.DUMMYFUNCTION("""COMPUTED_VALUE"""),7000000.0)</f>
        <v>7000000</v>
      </c>
      <c r="T7" s="20">
        <f>IFERROR(__xludf.DUMMYFUNCTION("""COMPUTED_VALUE"""),3000000.0)</f>
        <v>3000000</v>
      </c>
      <c r="U7" s="20" t="str">
        <f>IFERROR(__xludf.DUMMYFUNCTION("""COMPUTED_VALUE"""),"FREE")</f>
        <v>FREE</v>
      </c>
      <c r="V7" s="20" t="str">
        <f>IFERROR(__xludf.DUMMYFUNCTION("""COMPUTED_VALUE"""),"FREE")</f>
        <v>FREE</v>
      </c>
      <c r="W7" s="20" t="str">
        <f>IFERROR(__xludf.DUMMYFUNCTION("""COMPUTED_VALUE"""),"FREE")</f>
        <v>FREE</v>
      </c>
      <c r="X7" s="20">
        <f>IFERROR(__xludf.DUMMYFUNCTION("""COMPUTED_VALUE"""),1000000.0)</f>
        <v>1000000</v>
      </c>
      <c r="Y7" s="17"/>
    </row>
    <row r="8" hidden="1">
      <c r="A8" s="17">
        <f>IFERROR(__xludf.DUMMYFUNCTION("""COMPUTED_VALUE"""),5.0)</f>
        <v>5</v>
      </c>
      <c r="B8" s="18" t="str">
        <f>IFERROR(__xludf.DUMMYFUNCTION("""COMPUTED_VALUE"""),"sandrofahdhipa")</f>
        <v>sandrofahdhipa</v>
      </c>
      <c r="C8" s="23">
        <f>IFERROR(__xludf.DUMMYFUNCTION("""COMPUTED_VALUE"""),104000.0)</f>
        <v>104000</v>
      </c>
      <c r="D8" s="20" t="str">
        <f>IFERROR(__xludf.DUMMYFUNCTION("""COMPUTED_VALUE"""),"Mid")</f>
        <v>Mid</v>
      </c>
      <c r="E8" s="24" t="str">
        <f>IFERROR(__xludf.DUMMYFUNCTION("""COMPUTED_VALUE"""),"dhip___")</f>
        <v>dhip___</v>
      </c>
      <c r="F8" s="23">
        <f>IFERROR(__xludf.DUMMYFUNCTION("""COMPUTED_VALUE"""),41300.0)</f>
        <v>41300</v>
      </c>
      <c r="G8" s="20" t="str">
        <f>IFERROR(__xludf.DUMMYFUNCTION("""COMPUTED_VALUE"""),"Micro")</f>
        <v>Micro</v>
      </c>
      <c r="H8" s="17" t="str">
        <f>IFERROR(__xludf.DUMMYFUNCTION("""COMPUTED_VALUE"""),"Bekasi")</f>
        <v>Bekasi</v>
      </c>
      <c r="I8" s="17" t="str">
        <f>IFERROR(__xludf.DUMMYFUNCTION("""COMPUTED_VALUE"""),"- Lifestyle Male
- Family
- Fashion Pria")</f>
        <v>- Lifestyle Male
- Family
- Fashion Pria</v>
      </c>
      <c r="J8" s="17"/>
      <c r="K8" s="20">
        <f>IFERROR(__xludf.DUMMYFUNCTION("""COMPUTED_VALUE"""),2500000.0)</f>
        <v>2500000</v>
      </c>
      <c r="L8" s="20">
        <f>IFERROR(__xludf.DUMMYFUNCTION("""COMPUTED_VALUE"""),5000000.0)</f>
        <v>5000000</v>
      </c>
      <c r="M8" s="20" t="str">
        <f>IFERROR(__xludf.DUMMYFUNCTION("""COMPUTED_VALUE"""),"FREE")</f>
        <v>FREE</v>
      </c>
      <c r="N8" s="20">
        <f>IFERROR(__xludf.DUMMYFUNCTION("""COMPUTED_VALUE"""),3500000.0)</f>
        <v>3500000</v>
      </c>
      <c r="O8" s="17"/>
      <c r="P8" s="20">
        <f>IFERROR(__xludf.DUMMYFUNCTION("""COMPUTED_VALUE"""),7500000.0)</f>
        <v>7500000</v>
      </c>
      <c r="Q8" s="17"/>
      <c r="R8" s="17"/>
      <c r="S8" s="17"/>
      <c r="T8" s="17"/>
      <c r="U8" s="17"/>
      <c r="V8" s="17"/>
      <c r="W8" s="17"/>
      <c r="X8" s="17"/>
      <c r="Y8" s="17"/>
    </row>
    <row r="9" hidden="1">
      <c r="A9" s="17">
        <f>IFERROR(__xludf.DUMMYFUNCTION("""COMPUTED_VALUE"""),6.0)</f>
        <v>6</v>
      </c>
      <c r="B9" s="18" t="str">
        <f>IFERROR(__xludf.DUMMYFUNCTION("""COMPUTED_VALUE"""),"mrleizhu")</f>
        <v>mrleizhu</v>
      </c>
      <c r="C9" s="23">
        <f>IFERROR(__xludf.DUMMYFUNCTION("""COMPUTED_VALUE"""),88100.0)</f>
        <v>88100</v>
      </c>
      <c r="D9" s="20" t="str">
        <f>IFERROR(__xludf.DUMMYFUNCTION("""COMPUTED_VALUE"""),"Micro")</f>
        <v>Micro</v>
      </c>
      <c r="E9" s="24" t="str">
        <f>IFERROR(__xludf.DUMMYFUNCTION("""COMPUTED_VALUE"""),"restudehin")</f>
        <v>restudehin</v>
      </c>
      <c r="F9" s="23">
        <f>IFERROR(__xludf.DUMMYFUNCTION("""COMPUTED_VALUE"""),411700.0)</f>
        <v>411700</v>
      </c>
      <c r="G9" s="20" t="str">
        <f>IFERROR(__xludf.DUMMYFUNCTION("""COMPUTED_VALUE"""),"Mid")</f>
        <v>Mid</v>
      </c>
      <c r="H9" s="17" t="str">
        <f>IFERROR(__xludf.DUMMYFUNCTION("""COMPUTED_VALUE"""),"Jakarta")</f>
        <v>Jakarta</v>
      </c>
      <c r="I9" s="17" t="str">
        <f>IFERROR(__xludf.DUMMYFUNCTION("""COMPUTED_VALUE"""),"- Lifestyle Male
- Fashion Pria")</f>
        <v>- Lifestyle Male
- Fashion Pria</v>
      </c>
      <c r="J9" s="17"/>
      <c r="K9" s="20">
        <f>IFERROR(__xludf.DUMMYFUNCTION("""COMPUTED_VALUE"""),1000000.0)</f>
        <v>1000000</v>
      </c>
      <c r="L9" s="20">
        <f>IFERROR(__xludf.DUMMYFUNCTION("""COMPUTED_VALUE"""),2000000.0)</f>
        <v>2000000</v>
      </c>
      <c r="M9" s="20">
        <f>IFERROR(__xludf.DUMMYFUNCTION("""COMPUTED_VALUE"""),500000.0)</f>
        <v>500000</v>
      </c>
      <c r="N9" s="20">
        <f>IFERROR(__xludf.DUMMYFUNCTION("""COMPUTED_VALUE"""),2000000.0)</f>
        <v>2000000</v>
      </c>
      <c r="O9" s="17"/>
      <c r="P9" s="20">
        <f>IFERROR(__xludf.DUMMYFUNCTION("""COMPUTED_VALUE"""),4000000.0)</f>
        <v>4000000</v>
      </c>
      <c r="Q9" s="17"/>
      <c r="R9" s="20">
        <f>IFERROR(__xludf.DUMMYFUNCTION("""COMPUTED_VALUE"""),5000000.0)</f>
        <v>5000000</v>
      </c>
      <c r="S9" s="20">
        <f>IFERROR(__xludf.DUMMYFUNCTION("""COMPUTED_VALUE"""),7000000.0)</f>
        <v>7000000</v>
      </c>
      <c r="T9" s="17"/>
      <c r="U9" s="17"/>
      <c r="V9" s="17"/>
      <c r="W9" s="17"/>
      <c r="X9" s="17"/>
      <c r="Y9" s="17"/>
    </row>
    <row r="10" hidden="1">
      <c r="A10" s="17">
        <f>IFERROR(__xludf.DUMMYFUNCTION("""COMPUTED_VALUE"""),7.0)</f>
        <v>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idden="1">
      <c r="A11" s="17">
        <f>IFERROR(__xludf.DUMMYFUNCTION("""COMPUTED_VALUE"""),8.0)</f>
        <v>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idden="1">
      <c r="A12" s="17">
        <f>IFERROR(__xludf.DUMMYFUNCTION("""COMPUTED_VALUE"""),9.0)</f>
        <v>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idden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hidden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idden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idden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hidden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hidden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idden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idden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idden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hidden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hidden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hidden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hidden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hidden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hidden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hidden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hidden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hidden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hidden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idden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hidden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hidden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idden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idden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idden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idden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idden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hidden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idden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idden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idden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idden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hidden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hidden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idden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hidden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idden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idden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hidden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hidden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hidden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hidden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hidden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hidden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hidden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hidden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hidden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hidden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hidden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hidden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hidden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hidden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hidden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hidden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hidden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hidden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hidden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hidden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hidden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hidden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hidden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hidden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hidden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hidden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hidden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hidden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hidden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hidden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hidden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hidden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hidden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hidden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hidden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hidden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hidden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hidden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hidden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hidden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hidden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hidden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hidden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hidden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hidden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hidden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hidden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hidden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hidden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hidden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hidden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hidden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hidden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hidden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hidden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hidden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hidden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hidden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hidden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hidden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hidden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hidden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hidden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hidden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hidden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hidden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hidden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hidden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hidden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hidden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hidden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hidden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hidden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hidden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hidden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hidden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hidden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hidden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hidden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hidden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hidden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hidden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hidden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hidden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hidden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hidden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hidden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hidden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hidden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hidden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hidden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hidden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hidden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hidden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hidden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hidden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hidden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hidden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hidden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hidden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hidden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hidden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hidden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hidden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hidden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hidden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hidden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hidden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hidden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hidden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hidden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hidden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hidden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hidden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hidden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hidden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hidden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hidden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hidden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hidden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hidden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hidden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hidden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hidden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hidden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hidden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hidden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hidden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hidden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hidden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hidden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hidden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hidden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hidden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hidden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hidden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hidden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hidden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hidden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hidden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hidden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hidden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hidden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hidden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hidden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hidden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hidden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hidden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hidden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hidden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hidden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hidden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hidden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hidden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hidden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hidden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hidden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hidden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hidden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hidden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hidden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 hidden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 hidden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 hidden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 hidden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 hidden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 hidden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 hidden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 hidden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 hidden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 hidden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 hidden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 hidden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 hidden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 hidden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 hidden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 hidden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 hidden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 hidden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 hidden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 hidden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 hidden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hidden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hidden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 hidden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 hidden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 hidden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 hidden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 hidden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 hidden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 hidden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 hidden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 hidden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 hidden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 hidden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 hidden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 hidden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 hidden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 hidden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 hidden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 hidden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 hidden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 hidden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 hidden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 hidden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 hidden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 hidden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 hidden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 hidden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 hidden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 hidden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 hidden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 hidden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 hidden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hidden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 hidden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 hidden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 hidden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 hidden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 hidden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 hidden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 hidden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 hidden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 hidden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 hidden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 hidden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 hidden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 hidden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 hidden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 hidden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 hidden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 hidden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 hidden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 hidden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 hidden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 hidden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 hidden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 hidden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 hidden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 hidden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 hidden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 hidden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 hidden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 hidden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 hidden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hidden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 hidden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 hidden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 hidden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 hidden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 hidden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 hidden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 hidden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 hidden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 hidden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 hidden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 hidden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 hidden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 hidden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 hidden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 hidden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 hidden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 hidden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 hidden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 hidden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 hidden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 hidden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 hidden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 hidden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 hidden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 hidden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 hidden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 hidden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 hidden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 hidden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 hidden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 hidden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 hidden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 hidden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hidden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 hidden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 hidden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 hidden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 hidden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 hidden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 hidden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 hidden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 hidden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 hidden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 hidden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 hidden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 hidden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 hidden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 hidden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 hidden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 hidden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 hidden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 hidden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 hidden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 hidden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 hidden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 hidden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 hidden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 hidden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 hidden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 hidden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 hidden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 hidden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 hidden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 hidden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 hidden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 hidden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 hidden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hidden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 hidden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 hidden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 hidden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 hidden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 hidden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 hidden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 hidden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 hidden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 hidden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 hidden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 hidden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 hidden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 hidden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 hidden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 hidden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 hidden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 hidden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 hidden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 hidden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 hidden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 hidden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 hidden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 hidden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 hidden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 hidden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hidden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 hidden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 hidden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 hidden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 hidden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 hidden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 hidden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 hidden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 hidden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 hidden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 hidden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 hidden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 hidden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 hidden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 hidden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 hidden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 hidden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 hidden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 hidden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 hidden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 hidden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 hidden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 hidden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 hidden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 hidden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 hidden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 hidden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 hidden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 hidden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hidden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 hidden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 hidden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 hidden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 hidden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 hidden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 hidden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 hidden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 hidden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 hidden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 hidden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 hidden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 hidden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 hidden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 hidden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 hidden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 hidden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 hidden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 hidden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 hidden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 hidden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 hidden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 hidden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 hidden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 hidden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 hidden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 hidden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 hidden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 hidden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 hidden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 hidden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 hidden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 hidden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 hidden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hidden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 hidden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 hidden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 hidden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 hidden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 hidden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 hidden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 hidden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 hidden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 hidden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 hidden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 hidden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 hidden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 hidden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 hidden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 hidden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 hidden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 hidden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 hidden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 hidden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 hidden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 hidden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 hidden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 hidden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 hidden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 hidden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 hidden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 hidden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 hidden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 hidden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 hidden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hidden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 hidden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 hidden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 hidden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 hidden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 hidden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 hidden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 hidden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 hidden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 hidden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 hidden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 hidden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 hidden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 hidden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 hidden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 hidden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 hidden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 hidden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 hidden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 hidden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 hidden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 hidden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 hidden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 hidden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 hidden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 hidden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 hidden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 hidden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 hidden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 hidden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13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</hyperlinks>
  <drawing r:id="rId1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4.75"/>
    <col customWidth="1" min="3" max="3" width="8.75"/>
    <col customWidth="1" min="4" max="4" width="5.63"/>
    <col customWidth="1" min="5" max="5" width="14.75"/>
    <col customWidth="1" min="6" max="6" width="8.75"/>
    <col customWidth="1" min="7" max="7" width="5.63"/>
    <col customWidth="1" min="8" max="8" width="8.88"/>
    <col customWidth="1" min="9" max="9" width="19.38"/>
  </cols>
  <sheetData>
    <row r="1">
      <c r="A1" s="28"/>
      <c r="B1" s="3"/>
      <c r="C1" s="3"/>
      <c r="D1" s="3"/>
      <c r="E1" s="3"/>
      <c r="F1" s="3"/>
      <c r="G1" s="3"/>
      <c r="H1" s="3"/>
      <c r="I1" s="4"/>
      <c r="J1" s="29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""Place Review!A4:Y999"")"),1.0)</f>
        <v>1</v>
      </c>
      <c r="B4" s="18" t="str">
        <f>IFERROR(__xludf.DUMMYFUNCTION("""COMPUTED_VALUE"""),"sylvamulachelaa")</f>
        <v>sylvamulachelaa</v>
      </c>
      <c r="C4" s="23">
        <f>IFERROR(__xludf.DUMMYFUNCTION("""COMPUTED_VALUE"""),145000.0)</f>
        <v>145000</v>
      </c>
      <c r="D4" s="17" t="str">
        <f>IFERROR(__xludf.DUMMYFUNCTION("""COMPUTED_VALUE"""),"Mid")</f>
        <v>Mid</v>
      </c>
      <c r="E4" s="18" t="str">
        <f>IFERROR(__xludf.DUMMYFUNCTION("""COMPUTED_VALUE"""),"sylvamulachelaa")</f>
        <v>sylvamulachelaa</v>
      </c>
      <c r="F4" s="23">
        <f>IFERROR(__xludf.DUMMYFUNCTION("""COMPUTED_VALUE"""),9717.0)</f>
        <v>9717</v>
      </c>
      <c r="G4" s="17" t="str">
        <f>IFERROR(__xludf.DUMMYFUNCTION("""COMPUTED_VALUE"""),"Nano")</f>
        <v>Nano</v>
      </c>
      <c r="H4" s="17" t="str">
        <f>IFERROR(__xludf.DUMMYFUNCTION("""COMPUTED_VALUE"""),"Tangerang")</f>
        <v>Tangerang</v>
      </c>
      <c r="I4" s="17" t="str">
        <f>IFERROR(__xludf.DUMMYFUNCTION("""COMPUTED_VALUE"""),"- Fashion Wanita
- Lifestyle Female
- Place Review")</f>
        <v>- Fashion Wanita
- Lifestyle Female
- Place Review</v>
      </c>
      <c r="J4" s="20">
        <f>IFERROR(__xludf.DUMMYFUNCTION("""COMPUTED_VALUE"""),200000.0)</f>
        <v>200000</v>
      </c>
      <c r="K4" s="20">
        <f>IFERROR(__xludf.DUMMYFUNCTION("""COMPUTED_VALUE"""),300000.0)</f>
        <v>300000</v>
      </c>
      <c r="L4" s="20">
        <f>IFERROR(__xludf.DUMMYFUNCTION("""COMPUTED_VALUE"""),500000.0)</f>
        <v>500000</v>
      </c>
      <c r="M4" s="20" t="str">
        <f>IFERROR(__xludf.DUMMYFUNCTION("""COMPUTED_VALUE"""),"FREE")</f>
        <v>FREE</v>
      </c>
      <c r="N4" s="20">
        <f>IFERROR(__xludf.DUMMYFUNCTION("""COMPUTED_VALUE"""),750000.0)</f>
        <v>750000</v>
      </c>
      <c r="O4" s="20">
        <f>IFERROR(__xludf.DUMMYFUNCTION("""COMPUTED_VALUE"""),750000.0)</f>
        <v>750000</v>
      </c>
      <c r="P4" s="20">
        <f>IFERROR(__xludf.DUMMYFUNCTION("""COMPUTED_VALUE"""),950000.0)</f>
        <v>950000</v>
      </c>
      <c r="Q4" s="20" t="str">
        <f>IFERROR(__xludf.DUMMYFUNCTION("""COMPUTED_VALUE"""),"FREE")</f>
        <v>FREE</v>
      </c>
      <c r="R4" s="20">
        <f>IFERROR(__xludf.DUMMYFUNCTION("""COMPUTED_VALUE"""),400000.0)</f>
        <v>400000</v>
      </c>
      <c r="S4" s="20">
        <f>IFERROR(__xludf.DUMMYFUNCTION("""COMPUTED_VALUE"""),700000.0)</f>
        <v>700000</v>
      </c>
      <c r="T4" s="17"/>
      <c r="U4" s="20">
        <f>IFERROR(__xludf.DUMMYFUNCTION("""COMPUTED_VALUE"""),250000.0)</f>
        <v>250000</v>
      </c>
      <c r="V4" s="20" t="str">
        <f>IFERROR(__xludf.DUMMYFUNCTION("""COMPUTED_VALUE"""),"FREE")</f>
        <v>FREE</v>
      </c>
      <c r="W4" s="20" t="str">
        <f>IFERROR(__xludf.DUMMYFUNCTION("""COMPUTED_VALUE"""),"FREE")</f>
        <v>FREE</v>
      </c>
      <c r="X4" s="20">
        <f>IFERROR(__xludf.DUMMYFUNCTION("""COMPUTED_VALUE"""),1200000.0)</f>
        <v>1200000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IFERROR(__xludf.DUMMYFUNCTION("""COMPUTED_VALUE"""),"@claratandean")</f>
        <v>@claratandean</v>
      </c>
      <c r="C5" s="23">
        <f>IFERROR(__xludf.DUMMYFUNCTION("""COMPUTED_VALUE"""),1875.0)</f>
        <v>1875</v>
      </c>
      <c r="D5" s="17" t="str">
        <f>IFERROR(__xludf.DUMMYFUNCTION("""COMPUTED_VALUE"""),"Nano")</f>
        <v>Nano</v>
      </c>
      <c r="E5" s="18" t="str">
        <f>IFERROR(__xludf.DUMMYFUNCTION("""COMPUTED_VALUE"""),"@claratandean")</f>
        <v>@claratandean</v>
      </c>
      <c r="F5" s="23">
        <f>IFERROR(__xludf.DUMMYFUNCTION("""COMPUTED_VALUE"""),19600.0)</f>
        <v>19600</v>
      </c>
      <c r="G5" s="17" t="str">
        <f>IFERROR(__xludf.DUMMYFUNCTION("""COMPUTED_VALUE"""),"Micro")</f>
        <v>Micro</v>
      </c>
      <c r="H5" s="17" t="str">
        <f>IFERROR(__xludf.DUMMYFUNCTION("""COMPUTED_VALUE"""),"Bekasi")</f>
        <v>Bekasi</v>
      </c>
      <c r="I5" s="17" t="str">
        <f>IFERROR(__xludf.DUMMYFUNCTION("""COMPUTED_VALUE"""),"Place Review")</f>
        <v>Place Review</v>
      </c>
      <c r="J5" s="17"/>
      <c r="K5" s="20">
        <f>IFERROR(__xludf.DUMMYFUNCTION("""COMPUTED_VALUE"""),150000.0)</f>
        <v>150000</v>
      </c>
      <c r="L5" s="20">
        <f>IFERROR(__xludf.DUMMYFUNCTION("""COMPUTED_VALUE"""),300000.0)</f>
        <v>300000</v>
      </c>
      <c r="M5" s="17"/>
      <c r="N5" s="20">
        <f>IFERROR(__xludf.DUMMYFUNCTION("""COMPUTED_VALUE"""),300000.0)</f>
        <v>300000</v>
      </c>
      <c r="O5" s="17"/>
      <c r="P5" s="20">
        <f>IFERROR(__xludf.DUMMYFUNCTION("""COMPUTED_VALUE"""),300000.0)</f>
        <v>300000</v>
      </c>
      <c r="Q5" s="17"/>
      <c r="R5" s="20">
        <f>IFERROR(__xludf.DUMMYFUNCTION("""COMPUTED_VALUE"""),600000.0)</f>
        <v>600000</v>
      </c>
      <c r="S5" s="20">
        <f>IFERROR(__xludf.DUMMYFUNCTION("""COMPUTED_VALUE"""),750000.0)</f>
        <v>750000</v>
      </c>
      <c r="T5" s="17"/>
      <c r="U5" s="17"/>
      <c r="V5" s="17"/>
      <c r="W5" s="17"/>
      <c r="X5" s="20">
        <f>IFERROR(__xludf.DUMMYFUNCTION("""COMPUTED_VALUE"""),750000.0)</f>
        <v>750000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IFERROR(__xludf.DUMMYFUNCTION("""COMPUTED_VALUE"""),"harbie16")</f>
        <v>harbie16</v>
      </c>
      <c r="C6" s="23">
        <f>IFERROR(__xludf.DUMMYFUNCTION("""COMPUTED_VALUE"""),288000.0)</f>
        <v>288000</v>
      </c>
      <c r="D6" s="17" t="str">
        <f>IFERROR(__xludf.DUMMYFUNCTION("""COMPUTED_VALUE"""),"Mid")</f>
        <v>Mid</v>
      </c>
      <c r="E6" s="18" t="str">
        <f>IFERROR(__xludf.DUMMYFUNCTION("""COMPUTED_VALUE"""),"harbie16")</f>
        <v>harbie16</v>
      </c>
      <c r="F6" s="23">
        <f>IFERROR(__xludf.DUMMYFUNCTION("""COMPUTED_VALUE"""),393000.0)</f>
        <v>393000</v>
      </c>
      <c r="G6" s="17" t="str">
        <f>IFERROR(__xludf.DUMMYFUNCTION("""COMPUTED_VALUE"""),"Mid")</f>
        <v>Mid</v>
      </c>
      <c r="H6" s="17" t="str">
        <f>IFERROR(__xludf.DUMMYFUNCTION("""COMPUTED_VALUE"""),"Jakarta")</f>
        <v>Jakarta</v>
      </c>
      <c r="I6" s="17" t="str">
        <f>IFERROR(__xludf.DUMMYFUNCTION("""COMPUTED_VALUE"""),"- Place Review
- Lifestyle Male")</f>
        <v>- Place Review
- Lifestyle Male</v>
      </c>
      <c r="J6" s="17"/>
      <c r="K6" s="20">
        <f>IFERROR(__xludf.DUMMYFUNCTION("""COMPUTED_VALUE"""),2900000.0)</f>
        <v>2900000</v>
      </c>
      <c r="L6" s="20">
        <f>IFERROR(__xludf.DUMMYFUNCTION("""COMPUTED_VALUE"""),3900000.0)</f>
        <v>3900000</v>
      </c>
      <c r="M6" s="20">
        <f>IFERROR(__xludf.DUMMYFUNCTION("""COMPUTED_VALUE"""),250000.0)</f>
        <v>250000</v>
      </c>
      <c r="N6" s="20">
        <f>IFERROR(__xludf.DUMMYFUNCTION("""COMPUTED_VALUE"""),3500000.0)</f>
        <v>3500000</v>
      </c>
      <c r="O6" s="20">
        <f>IFERROR(__xludf.DUMMYFUNCTION("""COMPUTED_VALUE"""),5000000.0)</f>
        <v>5000000</v>
      </c>
      <c r="P6" s="20">
        <f>IFERROR(__xludf.DUMMYFUNCTION("""COMPUTED_VALUE"""),7000000.0)</f>
        <v>7000000</v>
      </c>
      <c r="Q6" s="20">
        <f>IFERROR(__xludf.DUMMYFUNCTION("""COMPUTED_VALUE"""),250000.0)</f>
        <v>250000</v>
      </c>
      <c r="R6" s="20">
        <f>IFERROR(__xludf.DUMMYFUNCTION("""COMPUTED_VALUE"""),4000000.0)</f>
        <v>4000000</v>
      </c>
      <c r="S6" s="20">
        <f>IFERROR(__xludf.DUMMYFUNCTION("""COMPUTED_VALUE"""),7920000.0)</f>
        <v>7920000</v>
      </c>
      <c r="T6" s="20">
        <f>IFERROR(__xludf.DUMMYFUNCTION("""COMPUTED_VALUE"""),3500000.0)</f>
        <v>3500000</v>
      </c>
      <c r="U6" s="21">
        <f>IFERROR(__xludf.DUMMYFUNCTION("""COMPUTED_VALUE"""),0.2)</f>
        <v>0.2</v>
      </c>
      <c r="V6" s="20">
        <f>IFERROR(__xludf.DUMMYFUNCTION("""COMPUTED_VALUE"""),1000000.0)</f>
        <v>1000000</v>
      </c>
      <c r="W6" s="20">
        <f>IFERROR(__xludf.DUMMYFUNCTION("""COMPUTED_VALUE"""),500000.0)</f>
        <v>500000</v>
      </c>
      <c r="X6" s="20" t="str">
        <f>IFERROR(__xludf.DUMMYFUNCTION("""COMPUTED_VALUE"""),"Start from Rp500,000")</f>
        <v>Start from Rp500,000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IFERROR(__xludf.DUMMYFUNCTION("""COMPUTED_VALUE"""),"febignwn")</f>
        <v>febignwn</v>
      </c>
      <c r="C7" s="23">
        <f>IFERROR(__xludf.DUMMYFUNCTION("""COMPUTED_VALUE"""),60000.0)</f>
        <v>60000</v>
      </c>
      <c r="D7" s="17" t="str">
        <f>IFERROR(__xludf.DUMMYFUNCTION("""COMPUTED_VALUE"""),"Micro")</f>
        <v>Micro</v>
      </c>
      <c r="E7" s="18" t="str">
        <f>IFERROR(__xludf.DUMMYFUNCTION("""COMPUTED_VALUE"""),"febignwn")</f>
        <v>febignwn</v>
      </c>
      <c r="F7" s="23">
        <f>IFERROR(__xludf.DUMMYFUNCTION("""COMPUTED_VALUE"""),249000.0)</f>
        <v>249000</v>
      </c>
      <c r="G7" s="17" t="str">
        <f>IFERROR(__xludf.DUMMYFUNCTION("""COMPUTED_VALUE"""),"Mid")</f>
        <v>Mid</v>
      </c>
      <c r="H7" s="17" t="str">
        <f>IFERROR(__xludf.DUMMYFUNCTION("""COMPUTED_VALUE"""),"Jakarta")</f>
        <v>Jakarta</v>
      </c>
      <c r="I7" s="17" t="str">
        <f>IFERROR(__xludf.DUMMYFUNCTION("""COMPUTED_VALUE"""),"- FnB
- Place Review")</f>
        <v>- FnB
- Place Review</v>
      </c>
      <c r="J7" s="20">
        <f>IFERROR(__xludf.DUMMYFUNCTION("""COMPUTED_VALUE"""),850000.0)</f>
        <v>850000</v>
      </c>
      <c r="K7" s="20">
        <f>IFERROR(__xludf.DUMMYFUNCTION("""COMPUTED_VALUE"""),450000.0)</f>
        <v>450000</v>
      </c>
      <c r="L7" s="20">
        <f>IFERROR(__xludf.DUMMYFUNCTION("""COMPUTED_VALUE"""),800000.0)</f>
        <v>800000</v>
      </c>
      <c r="M7" s="20" t="str">
        <f>IFERROR(__xludf.DUMMYFUNCTION("""COMPUTED_VALUE"""),"FREE")</f>
        <v>FREE</v>
      </c>
      <c r="N7" s="20">
        <f>IFERROR(__xludf.DUMMYFUNCTION("""COMPUTED_VALUE"""),600000.0)</f>
        <v>600000</v>
      </c>
      <c r="O7" s="20">
        <f>IFERROR(__xludf.DUMMYFUNCTION("""COMPUTED_VALUE"""),900000.0)</f>
        <v>900000</v>
      </c>
      <c r="P7" s="20">
        <f>IFERROR(__xludf.DUMMYFUNCTION("""COMPUTED_VALUE"""),2300000.0)</f>
        <v>2300000</v>
      </c>
      <c r="Q7" s="20" t="str">
        <f>IFERROR(__xludf.DUMMYFUNCTION("""COMPUTED_VALUE"""),"FREE")</f>
        <v>FREE</v>
      </c>
      <c r="R7" s="17"/>
      <c r="S7" s="20">
        <f>IFERROR(__xludf.DUMMYFUNCTION("""COMPUTED_VALUE"""),2800000.0)</f>
        <v>2800000</v>
      </c>
      <c r="T7" s="17"/>
      <c r="U7" s="20">
        <f>IFERROR(__xludf.DUMMYFUNCTION("""COMPUTED_VALUE"""),500000.0)</f>
        <v>500000</v>
      </c>
      <c r="V7" s="17"/>
      <c r="W7" s="20" t="str">
        <f>IFERROR(__xludf.DUMMYFUNCTION("""COMPUTED_VALUE"""),"FREE")</f>
        <v>FREE</v>
      </c>
      <c r="X7" s="20">
        <f>IFERROR(__xludf.DUMMYFUNCTION("""COMPUTED_VALUE"""),500000.0)</f>
        <v>500000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IFERROR(__xludf.DUMMYFUNCTION("""COMPUTED_VALUE"""),"icalfariss")</f>
        <v>icalfariss</v>
      </c>
      <c r="C8" s="23">
        <f>IFERROR(__xludf.DUMMYFUNCTION("""COMPUTED_VALUE"""),14000.0)</f>
        <v>14000</v>
      </c>
      <c r="D8" s="17" t="str">
        <f>IFERROR(__xludf.DUMMYFUNCTION("""COMPUTED_VALUE"""),"Micro")</f>
        <v>Micro</v>
      </c>
      <c r="E8" s="18" t="str">
        <f>IFERROR(__xludf.DUMMYFUNCTION("""COMPUTED_VALUE"""),"icalfariss")</f>
        <v>icalfariss</v>
      </c>
      <c r="F8" s="23">
        <f>IFERROR(__xludf.DUMMYFUNCTION("""COMPUTED_VALUE"""),261500.0)</f>
        <v>261500</v>
      </c>
      <c r="G8" s="17" t="str">
        <f>IFERROR(__xludf.DUMMYFUNCTION("""COMPUTED_VALUE"""),"Mid")</f>
        <v>Mid</v>
      </c>
      <c r="H8" s="17" t="str">
        <f>IFERROR(__xludf.DUMMYFUNCTION("""COMPUTED_VALUE"""),"Jakarta")</f>
        <v>Jakarta</v>
      </c>
      <c r="I8" s="17" t="str">
        <f>IFERROR(__xludf.DUMMYFUNCTION("""COMPUTED_VALUE"""),"Place Review")</f>
        <v>Place Review</v>
      </c>
      <c r="J8" s="17"/>
      <c r="K8" s="17"/>
      <c r="L8" s="20">
        <f>IFERROR(__xludf.DUMMYFUNCTION("""COMPUTED_VALUE"""),500000.0)</f>
        <v>500000</v>
      </c>
      <c r="M8" s="17"/>
      <c r="N8" s="17"/>
      <c r="O8" s="17"/>
      <c r="P8" s="20">
        <f>IFERROR(__xludf.DUMMYFUNCTION("""COMPUTED_VALUE"""),1500000.0)</f>
        <v>1500000</v>
      </c>
      <c r="Q8" s="17"/>
      <c r="R8" s="20">
        <f>IFERROR(__xludf.DUMMYFUNCTION("""COMPUTED_VALUE"""),3500000.0)</f>
        <v>3500000</v>
      </c>
      <c r="S8" s="20">
        <f>IFERROR(__xludf.DUMMYFUNCTION("""COMPUTED_VALUE"""),4000000.0)</f>
        <v>4000000</v>
      </c>
      <c r="T8" s="17"/>
      <c r="U8" s="20">
        <f>IFERROR(__xludf.DUMMYFUNCTION("""COMPUTED_VALUE"""),3500000.0)</f>
        <v>3500000</v>
      </c>
      <c r="V8" s="17"/>
      <c r="W8" s="20">
        <f>IFERROR(__xludf.DUMMYFUNCTION("""COMPUTED_VALUE"""),500000.0)</f>
        <v>500000</v>
      </c>
      <c r="X8" s="20">
        <f>IFERROR(__xludf.DUMMYFUNCTION("""COMPUTED_VALUE"""),1000000.0)</f>
        <v>1000000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IFERROR(__xludf.DUMMYFUNCTION("""COMPUTED_VALUE"""),"octaviantifransisca")</f>
        <v>octaviantifransisca</v>
      </c>
      <c r="C9" s="23">
        <f>IFERROR(__xludf.DUMMYFUNCTION("""COMPUTED_VALUE"""),43000.0)</f>
        <v>43000</v>
      </c>
      <c r="D9" s="17" t="str">
        <f>IFERROR(__xludf.DUMMYFUNCTION("""COMPUTED_VALUE"""),"Micro")</f>
        <v>Micro</v>
      </c>
      <c r="E9" s="18" t="str">
        <f>IFERROR(__xludf.DUMMYFUNCTION("""COMPUTED_VALUE"""),"octaviantifransisca")</f>
        <v>octaviantifransisca</v>
      </c>
      <c r="F9" s="23">
        <f>IFERROR(__xludf.DUMMYFUNCTION("""COMPUTED_VALUE"""),147100.0)</f>
        <v>147100</v>
      </c>
      <c r="G9" s="17" t="str">
        <f>IFERROR(__xludf.DUMMYFUNCTION("""COMPUTED_VALUE"""),"Mid")</f>
        <v>Mid</v>
      </c>
      <c r="H9" s="17" t="str">
        <f>IFERROR(__xludf.DUMMYFUNCTION("""COMPUTED_VALUE"""),"BSD, Tangerang")</f>
        <v>BSD, Tangerang</v>
      </c>
      <c r="I9" s="17" t="str">
        <f>IFERROR(__xludf.DUMMYFUNCTION("""COMPUTED_VALUE"""),"Place Review")</f>
        <v>Place Review</v>
      </c>
      <c r="J9" s="17"/>
      <c r="K9" s="20">
        <f>IFERROR(__xludf.DUMMYFUNCTION("""COMPUTED_VALUE"""),350000.0)</f>
        <v>350000</v>
      </c>
      <c r="L9" s="17"/>
      <c r="M9" s="17"/>
      <c r="N9" s="17"/>
      <c r="O9" s="20">
        <f>IFERROR(__xludf.DUMMYFUNCTION("""COMPUTED_VALUE"""),1000000.0)</f>
        <v>1000000</v>
      </c>
      <c r="P9" s="20">
        <f>IFERROR(__xludf.DUMMYFUNCTION("""COMPUTED_VALUE"""),1500000.0)</f>
        <v>1500000</v>
      </c>
      <c r="Q9" s="17"/>
      <c r="R9" s="20">
        <f>IFERROR(__xludf.DUMMYFUNCTION("""COMPUTED_VALUE"""),3000000.0)</f>
        <v>3000000</v>
      </c>
      <c r="S9" s="20">
        <f>IFERROR(__xludf.DUMMYFUNCTION("""COMPUTED_VALUE"""),4000000.0)</f>
        <v>4000000</v>
      </c>
      <c r="T9" s="17"/>
      <c r="U9" s="17"/>
      <c r="V9" s="17"/>
      <c r="W9" s="17"/>
      <c r="X9" s="20">
        <f>IFERROR(__xludf.DUMMYFUNCTION("""COMPUTED_VALUE"""),1000000.0)</f>
        <v>1000000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IFERROR(__xludf.DUMMYFUNCTION("""COMPUTED_VALUE"""),"jalanbarengdarla")</f>
        <v>jalanbarengdarla</v>
      </c>
      <c r="C10" s="23">
        <f>IFERROR(__xludf.DUMMYFUNCTION("""COMPUTED_VALUE"""),52000.0)</f>
        <v>52000</v>
      </c>
      <c r="D10" s="17" t="str">
        <f>IFERROR(__xludf.DUMMYFUNCTION("""COMPUTED_VALUE"""),"Micro")</f>
        <v>Micro</v>
      </c>
      <c r="E10" s="278" t="str">
        <f>IFERROR(__xludf.DUMMYFUNCTION("""COMPUTED_VALUE"""),"jalanbarengdarla")</f>
        <v>jalanbarengdarla</v>
      </c>
      <c r="F10" s="23">
        <f>IFERROR(__xludf.DUMMYFUNCTION("""COMPUTED_VALUE"""),153600.0)</f>
        <v>153600</v>
      </c>
      <c r="G10" s="17" t="str">
        <f>IFERROR(__xludf.DUMMYFUNCTION("""COMPUTED_VALUE"""),"Mid")</f>
        <v>Mid</v>
      </c>
      <c r="H10" s="17" t="str">
        <f>IFERROR(__xludf.DUMMYFUNCTION("""COMPUTED_VALUE"""),"Bekasi")</f>
        <v>Bekasi</v>
      </c>
      <c r="I10" s="17" t="str">
        <f>IFERROR(__xludf.DUMMYFUNCTION("""COMPUTED_VALUE"""),"Place Review")</f>
        <v>Place Review</v>
      </c>
      <c r="J10" s="17"/>
      <c r="K10" s="17"/>
      <c r="L10" s="17"/>
      <c r="M10" s="17"/>
      <c r="N10" s="17"/>
      <c r="O10" s="17"/>
      <c r="P10" s="20" t="str">
        <f>IFERROR(__xludf.DUMMYFUNCTION("""COMPUTED_VALUE"""),"Reels + TikTok (Mirror) + Visit: Rp1,500,000
Free 1 IG Story, tag &amp; collab IG")</f>
        <v>Reels + TikTok (Mirror) + Visit: Rp1,500,000
Free 1 IG Story, tag &amp; collab IG</v>
      </c>
      <c r="Q10" s="17"/>
      <c r="R10" s="17"/>
      <c r="S10" s="17"/>
      <c r="T10" s="17"/>
      <c r="U10" s="20">
        <f>IFERROR(__xludf.DUMMYFUNCTION("""COMPUTED_VALUE"""),300000.0)</f>
        <v>300000</v>
      </c>
      <c r="V10" s="17"/>
      <c r="W10" s="17"/>
      <c r="X10" s="20" t="str">
        <f>IFERROR(__xludf.DUMMYFUNCTION("""COMPUTED_VALUE"""),"Free Bekasi &amp; Jaktim")</f>
        <v>Free Bekasi &amp; Jaktim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IFERROR(__xludf.DUMMYFUNCTION("""COMPUTED_VALUE"""),"anak.kuliner")</f>
        <v>anak.kuliner</v>
      </c>
      <c r="C11" s="23">
        <f>IFERROR(__xludf.DUMMYFUNCTION("""COMPUTED_VALUE"""),716000.0)</f>
        <v>716000</v>
      </c>
      <c r="D11" s="17" t="str">
        <f>IFERROR(__xludf.DUMMYFUNCTION("""COMPUTED_VALUE"""),"Macro")</f>
        <v>Macro</v>
      </c>
      <c r="E11" s="24" t="str">
        <f>IFERROR(__xludf.DUMMYFUNCTION("""COMPUTED_VALUE"""),"anakkuliner")</f>
        <v>anakkuliner</v>
      </c>
      <c r="F11" s="23">
        <f>IFERROR(__xludf.DUMMYFUNCTION("""COMPUTED_VALUE"""),518100.0)</f>
        <v>518100</v>
      </c>
      <c r="G11" s="17" t="str">
        <f>IFERROR(__xludf.DUMMYFUNCTION("""COMPUTED_VALUE"""),"Macro")</f>
        <v>Macro</v>
      </c>
      <c r="H11" s="17" t="str">
        <f>IFERROR(__xludf.DUMMYFUNCTION("""COMPUTED_VALUE"""),"Tangerang")</f>
        <v>Tangerang</v>
      </c>
      <c r="I11" s="17" t="str">
        <f>IFERROR(__xludf.DUMMYFUNCTION("""COMPUTED_VALUE"""),"- FnB
- Place Review")</f>
        <v>- FnB
- Place Review</v>
      </c>
      <c r="J11" s="17"/>
      <c r="K11" s="17"/>
      <c r="L11" s="17"/>
      <c r="M11" s="17"/>
      <c r="N11" s="17"/>
      <c r="O11" s="17"/>
      <c r="P11" s="20">
        <f>IFERROR(__xludf.DUMMYFUNCTION("""COMPUTED_VALUE"""),1.8E7)</f>
        <v>18000000</v>
      </c>
      <c r="Q11" s="17"/>
      <c r="R11" s="20">
        <f>IFERROR(__xludf.DUMMYFUNCTION("""COMPUTED_VALUE"""),1.8E7)</f>
        <v>18000000</v>
      </c>
      <c r="S11" s="20">
        <f>IFERROR(__xludf.DUMMYFUNCTION("""COMPUTED_VALUE"""),1000000.0)</f>
        <v>1000000</v>
      </c>
      <c r="T11" s="17"/>
      <c r="U11" s="17"/>
      <c r="V11" s="17"/>
      <c r="W11" s="17"/>
      <c r="X11" s="17"/>
      <c r="Y11" s="17"/>
    </row>
    <row r="12">
      <c r="A12" s="17">
        <f>IFERROR(__xludf.DUMMYFUNCTION("""COMPUTED_VALUE"""),9.0)</f>
        <v>9</v>
      </c>
      <c r="B12" s="18" t="str">
        <f>IFERROR(__xludf.DUMMYFUNCTION("""COMPUTED_VALUE"""),"jajanviralbekasi")</f>
        <v>jajanviralbekasi</v>
      </c>
      <c r="C12" s="19">
        <f>IFERROR(__xludf.DUMMYFUNCTION("""COMPUTED_VALUE"""),26900.0)</f>
        <v>26900</v>
      </c>
      <c r="D12" s="20" t="str">
        <f>IFERROR(__xludf.DUMMYFUNCTION("""COMPUTED_VALUE"""),"Micro")</f>
        <v>Micro</v>
      </c>
      <c r="E12" s="24" t="str">
        <f>IFERROR(__xludf.DUMMYFUNCTION("""COMPUTED_VALUE"""),"jajanviralbekasi")</f>
        <v>jajanviralbekasi</v>
      </c>
      <c r="F12" s="19">
        <f>IFERROR(__xludf.DUMMYFUNCTION("""COMPUTED_VALUE"""),32000.0)</f>
        <v>32000</v>
      </c>
      <c r="G12" s="20" t="str">
        <f>IFERROR(__xludf.DUMMYFUNCTION("""COMPUTED_VALUE"""),"Micro")</f>
        <v>Micro</v>
      </c>
      <c r="H12" s="17" t="str">
        <f>IFERROR(__xludf.DUMMYFUNCTION("""COMPUTED_VALUE"""),"Bekasi")</f>
        <v>Bekasi</v>
      </c>
      <c r="I12" s="17" t="str">
        <f>IFERROR(__xludf.DUMMYFUNCTION("""COMPUTED_VALUE"""),"- FnB
- Place Review")</f>
        <v>- FnB
- Place Review</v>
      </c>
      <c r="J12" s="17"/>
      <c r="K12" s="17"/>
      <c r="L12" s="17"/>
      <c r="M12" s="17"/>
      <c r="N12" s="17"/>
      <c r="O12" s="17"/>
      <c r="P12" s="20" t="str">
        <f>IFERROR(__xludf.DUMMYFUNCTION("""COMPUTED_VALUE"""),"Reels + TikTok (Mirror) + Visit: Rp900,000
FREE IG Story, tag &amp; collab IG 
Bundling: Rp2,200,000
1 Reels Instagram @jalanbarengdarla &amp; @jajanviralbekasi
1 TikTok Video (Mirror) @jalanbarengdarla &amp; @jajanviralbekasi
1x Visit")</f>
        <v>Reels + TikTok (Mirror) + Visit: Rp900,000
FREE IG Story, tag &amp; collab IG 
Bundling: Rp2,200,000
1 Reels Instagram @jalanbarengdarla &amp; @jajanviralbekasi
1 TikTok Video (Mirror) @jalanbarengdarla &amp; @jajanviralbekasi
1x Visit</v>
      </c>
      <c r="Q12" s="17"/>
      <c r="R12" s="17"/>
      <c r="S12" s="17"/>
      <c r="T12" s="17"/>
      <c r="U12" s="20">
        <f>IFERROR(__xludf.DUMMYFUNCTION("""COMPUTED_VALUE"""),300000.0)</f>
        <v>300000</v>
      </c>
      <c r="V12" s="17"/>
      <c r="W12" s="17"/>
      <c r="X12" s="20" t="str">
        <f>IFERROR(__xludf.DUMMYFUNCTION("""COMPUTED_VALUE"""),"Free Bekasi &amp; Jaktim")</f>
        <v>Free Bekasi &amp; Jaktim</v>
      </c>
      <c r="Y12" s="17"/>
    </row>
    <row r="13">
      <c r="A13" s="17">
        <f>IFERROR(__xludf.DUMMYFUNCTION("""COMPUTED_VALUE"""),10.0)</f>
        <v>10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>
        <f>IFERROR(__xludf.DUMMYFUNCTION("""COMPUTED_VALUE"""),11.0)</f>
        <v>11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>
        <f>IFERROR(__xludf.DUMMYFUNCTION("""COMPUTED_VALUE"""),12.0)</f>
        <v>12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>
        <f>IFERROR(__xludf.DUMMYFUNCTION("""COMPUTED_VALUE"""),13.0)</f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16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</hyperlinks>
  <drawing r:id="rId19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""Family!A4:Y999"")"),1.0)</f>
        <v>1</v>
      </c>
      <c r="B4" s="18" t="str">
        <f>IFERROR(__xludf.DUMMYFUNCTION("""COMPUTED_VALUE"""),"hesfinatia")</f>
        <v>hesfinatia</v>
      </c>
      <c r="C4" s="19">
        <f>IFERROR(__xludf.DUMMYFUNCTION("""COMPUTED_VALUE"""),1200000.0)</f>
        <v>1200000</v>
      </c>
      <c r="D4" s="17" t="str">
        <f>IFERROR(__xludf.DUMMYFUNCTION("""COMPUTED_VALUE"""),"Mega")</f>
        <v>Mega</v>
      </c>
      <c r="E4" s="18" t="str">
        <f>IFERROR(__xludf.DUMMYFUNCTION("""COMPUTED_VALUE"""),"hesfinatia")</f>
        <v>hesfinatia</v>
      </c>
      <c r="F4" s="19">
        <f>IFERROR(__xludf.DUMMYFUNCTION("""COMPUTED_VALUE"""),1.48E7)</f>
        <v>14800000</v>
      </c>
      <c r="G4" s="17" t="str">
        <f>IFERROR(__xludf.DUMMYFUNCTION("""COMPUTED_VALUE"""),"Mega")</f>
        <v>Mega</v>
      </c>
      <c r="H4" s="17" t="str">
        <f>IFERROR(__xludf.DUMMYFUNCTION("""COMPUTED_VALUE"""),"Bandung")</f>
        <v>Bandung</v>
      </c>
      <c r="I4" s="17" t="str">
        <f>IFERROR(__xludf.DUMMYFUNCTION("""COMPUTED_VALUE"""),"- Lifestyle Female
- Pasutri
- Family")</f>
        <v>- Lifestyle Female
- Pasutri
- Family</v>
      </c>
      <c r="J4" s="20">
        <f>IFERROR(__xludf.DUMMYFUNCTION("""COMPUTED_VALUE"""),1500000.0)</f>
        <v>1500000</v>
      </c>
      <c r="K4" s="17"/>
      <c r="L4" s="20">
        <f>IFERROR(__xludf.DUMMYFUNCTION("""COMPUTED_VALUE"""),4500000.0)</f>
        <v>4500000</v>
      </c>
      <c r="M4" s="20" t="str">
        <f>IFERROR(__xludf.DUMMYFUNCTION("""COMPUTED_VALUE"""),"FREE")</f>
        <v>FREE</v>
      </c>
      <c r="N4" s="17"/>
      <c r="O4" s="20">
        <f>IFERROR(__xludf.DUMMYFUNCTION("""COMPUTED_VALUE"""),1.0E7)</f>
        <v>10000000</v>
      </c>
      <c r="P4" s="20">
        <f>IFERROR(__xludf.DUMMYFUNCTION("""COMPUTED_VALUE"""),1.7E7)</f>
        <v>17000000</v>
      </c>
      <c r="Q4" s="17"/>
      <c r="R4" s="20">
        <f>IFERROR(__xludf.DUMMYFUNCTION("""COMPUTED_VALUE"""),2.5E7)</f>
        <v>25000000</v>
      </c>
      <c r="S4" s="20">
        <f>IFERROR(__xludf.DUMMYFUNCTION("""COMPUTED_VALUE"""),3.3E7)</f>
        <v>33000000</v>
      </c>
      <c r="T4" s="17"/>
      <c r="U4" s="21">
        <f>IFERROR(__xludf.DUMMYFUNCTION("""COMPUTED_VALUE"""),0.5)</f>
        <v>0.5</v>
      </c>
      <c r="V4" s="17"/>
      <c r="W4" s="17"/>
      <c r="X4" s="17"/>
      <c r="Y4" s="20">
        <f>IFERROR(__xludf.DUMMYFUNCTION("""COMPUTED_VALUE"""),1.4E7)</f>
        <v>14000000</v>
      </c>
    </row>
    <row r="5">
      <c r="A5" s="17">
        <f>IFERROR(__xludf.DUMMYFUNCTION("""COMPUTED_VALUE"""),2.0)</f>
        <v>2</v>
      </c>
      <c r="B5" s="18" t="str">
        <f>IFERROR(__xludf.DUMMYFUNCTION("""COMPUTED_VALUE"""),"gelialinn")</f>
        <v>gelialinn</v>
      </c>
      <c r="C5" s="19">
        <f>IFERROR(__xludf.DUMMYFUNCTION("""COMPUTED_VALUE"""),1000000.0)</f>
        <v>1000000</v>
      </c>
      <c r="D5" s="17" t="str">
        <f>IFERROR(__xludf.DUMMYFUNCTION("""COMPUTED_VALUE"""),"Macro")</f>
        <v>Macro</v>
      </c>
      <c r="E5" s="18" t="str">
        <f>IFERROR(__xludf.DUMMYFUNCTION("""COMPUTED_VALUE"""),"gelialinda")</f>
        <v>gelialinda</v>
      </c>
      <c r="F5" s="19">
        <f>IFERROR(__xludf.DUMMYFUNCTION("""COMPUTED_VALUE"""),4800000.0)</f>
        <v>4800000</v>
      </c>
      <c r="G5" s="17" t="str">
        <f>IFERROR(__xludf.DUMMYFUNCTION("""COMPUTED_VALUE"""),"Mega")</f>
        <v>Mega</v>
      </c>
      <c r="H5" s="17" t="str">
        <f>IFERROR(__xludf.DUMMYFUNCTION("""COMPUTED_VALUE"""),"Tasikmalaya")</f>
        <v>Tasikmalaya</v>
      </c>
      <c r="I5" s="17" t="str">
        <f>IFERROR(__xludf.DUMMYFUNCTION("""COMPUTED_VALUE"""),"- Lifestyle Female 
- Pasutri
- Family
- Mom &amp; Kids")</f>
        <v>- Lifestyle Female 
- Pasutri
- Family
- Mom &amp; Kids</v>
      </c>
      <c r="J5" s="20">
        <f>IFERROR(__xludf.DUMMYFUNCTION("""COMPUTED_VALUE"""),6000000.0)</f>
        <v>6000000</v>
      </c>
      <c r="K5" s="20">
        <f>IFERROR(__xludf.DUMMYFUNCTION("""COMPUTED_VALUE"""),6000000.0)</f>
        <v>6000000</v>
      </c>
      <c r="L5" s="20">
        <f>IFERROR(__xludf.DUMMYFUNCTION("""COMPUTED_VALUE"""),8000000.0)</f>
        <v>8000000</v>
      </c>
      <c r="M5" s="20">
        <f>IFERROR(__xludf.DUMMYFUNCTION("""COMPUTED_VALUE"""),500000.0)</f>
        <v>500000</v>
      </c>
      <c r="N5" s="20">
        <f>IFERROR(__xludf.DUMMYFUNCTION("""COMPUTED_VALUE"""),8000000.0)</f>
        <v>8000000</v>
      </c>
      <c r="O5" s="20">
        <f>IFERROR(__xludf.DUMMYFUNCTION("""COMPUTED_VALUE"""),8500000.0)</f>
        <v>8500000</v>
      </c>
      <c r="P5" s="20">
        <f>IFERROR(__xludf.DUMMYFUNCTION("""COMPUTED_VALUE"""),2.5E7)</f>
        <v>25000000</v>
      </c>
      <c r="Q5" s="20">
        <f>IFERROR(__xludf.DUMMYFUNCTION("""COMPUTED_VALUE"""),500000.0)</f>
        <v>500000</v>
      </c>
      <c r="R5" s="20">
        <f>IFERROR(__xludf.DUMMYFUNCTION("""COMPUTED_VALUE"""),3.0E7)</f>
        <v>30000000</v>
      </c>
      <c r="S5" s="20">
        <f>IFERROR(__xludf.DUMMYFUNCTION("""COMPUTED_VALUE"""),1.0E7)</f>
        <v>10000000</v>
      </c>
      <c r="T5" s="20">
        <f>IFERROR(__xludf.DUMMYFUNCTION("""COMPUTED_VALUE"""),7000000.0)</f>
        <v>7000000</v>
      </c>
      <c r="U5" s="21">
        <f>IFERROR(__xludf.DUMMYFUNCTION("""COMPUTED_VALUE"""),0.5)</f>
        <v>0.5</v>
      </c>
      <c r="V5" s="20">
        <f>IFERROR(__xludf.DUMMYFUNCTION("""COMPUTED_VALUE"""),2000000.0)</f>
        <v>2000000</v>
      </c>
      <c r="W5" s="20">
        <f>IFERROR(__xludf.DUMMYFUNCTION("""COMPUTED_VALUE"""),2000000.0)</f>
        <v>2000000</v>
      </c>
      <c r="X5" s="20">
        <f>IFERROR(__xludf.DUMMYFUNCTION("""COMPUTED_VALUE"""),1.0E7)</f>
        <v>10000000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IFERROR(__xludf.DUMMYFUNCTION("""COMPUTED_VALUE"""),"imasfahriaty_")</f>
        <v>imasfahriaty_</v>
      </c>
      <c r="C6" s="23">
        <f>IFERROR(__xludf.DUMMYFUNCTION("""COMPUTED_VALUE"""),879000.0)</f>
        <v>879000</v>
      </c>
      <c r="D6" s="17" t="str">
        <f>IFERROR(__xludf.DUMMYFUNCTION("""COMPUTED_VALUE"""),"Macro")</f>
        <v>Macro</v>
      </c>
      <c r="E6" s="18" t="str">
        <f>IFERROR(__xludf.DUMMYFUNCTION("""COMPUTED_VALUE"""),"imasfahriaty_")</f>
        <v>imasfahriaty_</v>
      </c>
      <c r="F6" s="19">
        <f>IFERROR(__xludf.DUMMYFUNCTION("""COMPUTED_VALUE"""),3800000.0)</f>
        <v>3800000</v>
      </c>
      <c r="G6" s="17" t="str">
        <f>IFERROR(__xludf.DUMMYFUNCTION("""COMPUTED_VALUE"""),"Mega")</f>
        <v>Mega</v>
      </c>
      <c r="H6" s="17" t="str">
        <f>IFERROR(__xludf.DUMMYFUNCTION("""COMPUTED_VALUE"""),"Tangerang")</f>
        <v>Tangerang</v>
      </c>
      <c r="I6" s="17" t="str">
        <f>IFERROR(__xludf.DUMMYFUNCTION("""COMPUTED_VALUE"""),"- Lifestyle Female 
- Pasutri
- Family
- Mom &amp; Kids")</f>
        <v>- Lifestyle Female 
- Pasutri
- Family
- Mom &amp; Kids</v>
      </c>
      <c r="J6" s="20">
        <f>IFERROR(__xludf.DUMMYFUNCTION("""COMPUTED_VALUE"""),2000000.0)</f>
        <v>2000000</v>
      </c>
      <c r="K6" s="20">
        <f>IFERROR(__xludf.DUMMYFUNCTION("""COMPUTED_VALUE"""),3500000.0)</f>
        <v>3500000</v>
      </c>
      <c r="L6" s="20">
        <f>IFERROR(__xludf.DUMMYFUNCTION("""COMPUTED_VALUE"""),5000000.0)</f>
        <v>5000000</v>
      </c>
      <c r="M6" s="20" t="str">
        <f>IFERROR(__xludf.DUMMYFUNCTION("""COMPUTED_VALUE"""),"FREE")</f>
        <v>FREE</v>
      </c>
      <c r="N6" s="20">
        <f>IFERROR(__xludf.DUMMYFUNCTION("""COMPUTED_VALUE"""),6000000.0)</f>
        <v>6000000</v>
      </c>
      <c r="O6" s="20">
        <f>IFERROR(__xludf.DUMMYFUNCTION("""COMPUTED_VALUE"""),1.0E7)</f>
        <v>10000000</v>
      </c>
      <c r="P6" s="20">
        <f>IFERROR(__xludf.DUMMYFUNCTION("""COMPUTED_VALUE"""),1.5E7)</f>
        <v>15000000</v>
      </c>
      <c r="Q6" s="20">
        <f>IFERROR(__xludf.DUMMYFUNCTION("""COMPUTED_VALUE"""),1000000.0)</f>
        <v>1000000</v>
      </c>
      <c r="R6" s="20">
        <f>IFERROR(__xludf.DUMMYFUNCTION("""COMPUTED_VALUE"""),1.6E7)</f>
        <v>16000000</v>
      </c>
      <c r="S6" s="20">
        <f>IFERROR(__xludf.DUMMYFUNCTION("""COMPUTED_VALUE"""),2.0E7)</f>
        <v>20000000</v>
      </c>
      <c r="T6" s="20" t="str">
        <f>IFERROR(__xludf.DUMMYFUNCTION("""COMPUTED_VALUE"""),"-")</f>
        <v>-</v>
      </c>
      <c r="U6" s="20" t="str">
        <f>IFERROR(__xludf.DUMMYFUNCTION("""COMPUTED_VALUE"""),"100% ratecard")</f>
        <v>100% ratecard</v>
      </c>
      <c r="V6" s="20" t="str">
        <f>IFERROR(__xludf.DUMMYFUNCTION("""COMPUTED_VALUE"""),"FREE")</f>
        <v>FREE</v>
      </c>
      <c r="W6" s="20">
        <f>IFERROR(__xludf.DUMMYFUNCTION("""COMPUTED_VALUE"""),1000000.0)</f>
        <v>1000000</v>
      </c>
      <c r="X6" s="20" t="str">
        <f>IFERROR(__xludf.DUMMYFUNCTION("""COMPUTED_VALUE"""),"Rp1,000,000 (Jabodetabek) Rp2,000,000 (Luar Jabodetabek)")</f>
        <v>Rp1,000,000 (Jabodetabek) Rp2,000,000 (Luar Jabodetabek)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IFERROR(__xludf.DUMMYFUNCTION("""COMPUTED_VALUE"""),"kekevaangelista")</f>
        <v>kekevaangelista</v>
      </c>
      <c r="C7" s="23">
        <f>IFERROR(__xludf.DUMMYFUNCTION("""COMPUTED_VALUE"""),708000.0)</f>
        <v>708000</v>
      </c>
      <c r="D7" s="17" t="str">
        <f>IFERROR(__xludf.DUMMYFUNCTION("""COMPUTED_VALUE"""),"Macro")</f>
        <v>Macro</v>
      </c>
      <c r="E7" s="18" t="str">
        <f>IFERROR(__xludf.DUMMYFUNCTION("""COMPUTED_VALUE"""),"kekevaangelista")</f>
        <v>kekevaangelista</v>
      </c>
      <c r="F7" s="19">
        <f>IFERROR(__xludf.DUMMYFUNCTION("""COMPUTED_VALUE"""),1000000.0)</f>
        <v>1000000</v>
      </c>
      <c r="G7" s="17" t="str">
        <f>IFERROR(__xludf.DUMMYFUNCTION("""COMPUTED_VALUE"""),"Macro")</f>
        <v>Macro</v>
      </c>
      <c r="H7" s="17" t="str">
        <f>IFERROR(__xludf.DUMMYFUNCTION("""COMPUTED_VALUE"""),"Bogor")</f>
        <v>Bogor</v>
      </c>
      <c r="I7" s="17" t="str">
        <f>IFERROR(__xludf.DUMMYFUNCTION("""COMPUTED_VALUE"""),"- Lifestyle Female 
- Pasutri
- Family
- Mom &amp; Kids")</f>
        <v>- Lifestyle Female 
- Pasutri
- Family
- Mom &amp; Kids</v>
      </c>
      <c r="J7" s="20">
        <f>IFERROR(__xludf.DUMMYFUNCTION("""COMPUTED_VALUE"""),2500000.0)</f>
        <v>2500000</v>
      </c>
      <c r="K7" s="20">
        <f>IFERROR(__xludf.DUMMYFUNCTION("""COMPUTED_VALUE"""),2500000.0)</f>
        <v>2500000</v>
      </c>
      <c r="L7" s="20">
        <f>IFERROR(__xludf.DUMMYFUNCTION("""COMPUTED_VALUE"""),7500000.0)</f>
        <v>7500000</v>
      </c>
      <c r="M7" s="20" t="str">
        <f>IFERROR(__xludf.DUMMYFUNCTION("""COMPUTED_VALUE"""),"FREE")</f>
        <v>FREE</v>
      </c>
      <c r="N7" s="20">
        <f>IFERROR(__xludf.DUMMYFUNCTION("""COMPUTED_VALUE"""),4000000.0)</f>
        <v>4000000</v>
      </c>
      <c r="O7" s="20">
        <f>IFERROR(__xludf.DUMMYFUNCTION("""COMPUTED_VALUE"""),7500000.0)</f>
        <v>7500000</v>
      </c>
      <c r="P7" s="20">
        <f>IFERROR(__xludf.DUMMYFUNCTION("""COMPUTED_VALUE"""),1.1E7)</f>
        <v>11000000</v>
      </c>
      <c r="Q7" s="20">
        <f>IFERROR(__xludf.DUMMYFUNCTION("""COMPUTED_VALUE"""),2000000.0)</f>
        <v>2000000</v>
      </c>
      <c r="R7" s="20">
        <f>IFERROR(__xludf.DUMMYFUNCTION("""COMPUTED_VALUE"""),1.2E7)</f>
        <v>12000000</v>
      </c>
      <c r="S7" s="20">
        <f>IFERROR(__xludf.DUMMYFUNCTION("""COMPUTED_VALUE"""),1.9E7)</f>
        <v>19000000</v>
      </c>
      <c r="T7" s="17"/>
      <c r="U7" s="20">
        <f>IFERROR(__xludf.DUMMYFUNCTION("""COMPUTED_VALUE"""),3000000.0)</f>
        <v>3000000</v>
      </c>
      <c r="V7" s="20">
        <f>IFERROR(__xludf.DUMMYFUNCTION("""COMPUTED_VALUE"""),1000000.0)</f>
        <v>1000000</v>
      </c>
      <c r="W7" s="17"/>
      <c r="X7" s="20">
        <f>IFERROR(__xludf.DUMMYFUNCTION("""COMPUTED_VALUE"""),4000000.0)</f>
        <v>4000000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IFERROR(__xludf.DUMMYFUNCTION("""COMPUTED_VALUE"""),"putrinahari")</f>
        <v>putrinahari</v>
      </c>
      <c r="C8" s="23">
        <f>IFERROR(__xludf.DUMMYFUNCTION("""COMPUTED_VALUE"""),589000.0)</f>
        <v>589000</v>
      </c>
      <c r="D8" s="17" t="str">
        <f>IFERROR(__xludf.DUMMYFUNCTION("""COMPUTED_VALUE"""),"Macro")</f>
        <v>Macro</v>
      </c>
      <c r="E8" s="18" t="str">
        <f>IFERROR(__xludf.DUMMYFUNCTION("""COMPUTED_VALUE"""),"putrinaharira")</f>
        <v>putrinaharira</v>
      </c>
      <c r="F8" s="23">
        <f>IFERROR(__xludf.DUMMYFUNCTION("""COMPUTED_VALUE"""),201700.0)</f>
        <v>201700</v>
      </c>
      <c r="G8" s="17" t="str">
        <f>IFERROR(__xludf.DUMMYFUNCTION("""COMPUTED_VALUE"""),"Mid")</f>
        <v>Mid</v>
      </c>
      <c r="H8" s="17" t="str">
        <f>IFERROR(__xludf.DUMMYFUNCTION("""COMPUTED_VALUE"""),"Tangerang")</f>
        <v>Tangerang</v>
      </c>
      <c r="I8" s="17" t="str">
        <f>IFERROR(__xludf.DUMMYFUNCTION("""COMPUTED_VALUE"""),"- Lifestyle Female 
- Pasutri
- Family
- Mom &amp; Kids")</f>
        <v>- Lifestyle Female 
- Pasutri
- Family
- Mom &amp; Kids</v>
      </c>
      <c r="J8" s="20">
        <f>IFERROR(__xludf.DUMMYFUNCTION("""COMPUTED_VALUE"""),750000.0)</f>
        <v>750000</v>
      </c>
      <c r="K8" s="20">
        <f>IFERROR(__xludf.DUMMYFUNCTION("""COMPUTED_VALUE"""),1500000.0)</f>
        <v>1500000</v>
      </c>
      <c r="L8" s="20">
        <f>IFERROR(__xludf.DUMMYFUNCTION("""COMPUTED_VALUE"""),2000000.0)</f>
        <v>2000000</v>
      </c>
      <c r="M8" s="20" t="str">
        <f>IFERROR(__xludf.DUMMYFUNCTION("""COMPUTED_VALUE"""),"FREE")</f>
        <v>FREE</v>
      </c>
      <c r="N8" s="20">
        <f>IFERROR(__xludf.DUMMYFUNCTION("""COMPUTED_VALUE"""),4000000.0)</f>
        <v>4000000</v>
      </c>
      <c r="O8" s="20">
        <f>IFERROR(__xludf.DUMMYFUNCTION("""COMPUTED_VALUE"""),4000000.0)</f>
        <v>4000000</v>
      </c>
      <c r="P8" s="20">
        <f>IFERROR(__xludf.DUMMYFUNCTION("""COMPUTED_VALUE"""),6000000.0)</f>
        <v>6000000</v>
      </c>
      <c r="Q8" s="20" t="str">
        <f>IFERROR(__xludf.DUMMYFUNCTION("""COMPUTED_VALUE"""),"FREE")</f>
        <v>FREE</v>
      </c>
      <c r="R8" s="20">
        <f>IFERROR(__xludf.DUMMYFUNCTION("""COMPUTED_VALUE"""),1.0E7)</f>
        <v>10000000</v>
      </c>
      <c r="S8" s="20" t="str">
        <f>IFERROR(__xludf.DUMMYFUNCTION("""COMPUTED_VALUE"""),"FREE")</f>
        <v>FREE</v>
      </c>
      <c r="T8" s="20">
        <f>IFERROR(__xludf.DUMMYFUNCTION("""COMPUTED_VALUE"""),3000000.0)</f>
        <v>3000000</v>
      </c>
      <c r="U8" s="20" t="str">
        <f>IFERROR(__xludf.DUMMYFUNCTION("""COMPUTED_VALUE"""),"FREE")</f>
        <v>FREE</v>
      </c>
      <c r="V8" s="20" t="str">
        <f>IFERROR(__xludf.DUMMYFUNCTION("""COMPUTED_VALUE"""),"FREE")</f>
        <v>FREE</v>
      </c>
      <c r="W8" s="20" t="str">
        <f>IFERROR(__xludf.DUMMYFUNCTION("""COMPUTED_VALUE"""),"FREE")</f>
        <v>FREE</v>
      </c>
      <c r="X8" s="20">
        <f>IFERROR(__xludf.DUMMYFUNCTION("""COMPUTED_VALUE"""),1500000.0)</f>
        <v>1500000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IFERROR(__xludf.DUMMYFUNCTION("""COMPUTED_VALUE"""),"trishaazia")</f>
        <v>trishaazia</v>
      </c>
      <c r="C9" s="23">
        <f>IFERROR(__xludf.DUMMYFUNCTION("""COMPUTED_VALUE"""),571000.0)</f>
        <v>571000</v>
      </c>
      <c r="D9" s="17" t="str">
        <f>IFERROR(__xludf.DUMMYFUNCTION("""COMPUTED_VALUE"""),"Macro")</f>
        <v>Macro</v>
      </c>
      <c r="E9" s="18" t="str">
        <f>IFERROR(__xludf.DUMMYFUNCTION("""COMPUTED_VALUE"""),"trishaaazia")</f>
        <v>trishaaazia</v>
      </c>
      <c r="F9" s="19">
        <f>IFERROR(__xludf.DUMMYFUNCTION("""COMPUTED_VALUE"""),9500000.0)</f>
        <v>9500000</v>
      </c>
      <c r="G9" s="17" t="str">
        <f>IFERROR(__xludf.DUMMYFUNCTION("""COMPUTED_VALUE"""),"Mega")</f>
        <v>Mega</v>
      </c>
      <c r="H9" s="17" t="str">
        <f>IFERROR(__xludf.DUMMYFUNCTION("""COMPUTED_VALUE"""),"Depok")</f>
        <v>Depok</v>
      </c>
      <c r="I9" s="17" t="str">
        <f>IFERROR(__xludf.DUMMYFUNCTION("""COMPUTED_VALUE"""),"- Lifestyle Female 
- Pasutri
- Family
- Mom &amp; Kids")</f>
        <v>- Lifestyle Female 
- Pasutri
- Family
- Mom &amp; Kids</v>
      </c>
      <c r="J9" s="20">
        <f>IFERROR(__xludf.DUMMYFUNCTION("""COMPUTED_VALUE"""),500000.0)</f>
        <v>500000</v>
      </c>
      <c r="K9" s="20">
        <f>IFERROR(__xludf.DUMMYFUNCTION("""COMPUTED_VALUE"""),1000000.0)</f>
        <v>1000000</v>
      </c>
      <c r="L9" s="20">
        <f>IFERROR(__xludf.DUMMYFUNCTION("""COMPUTED_VALUE"""),1500000.0)</f>
        <v>1500000</v>
      </c>
      <c r="M9" s="20" t="str">
        <f>IFERROR(__xludf.DUMMYFUNCTION("""COMPUTED_VALUE"""),"FREE")</f>
        <v>FREE</v>
      </c>
      <c r="N9" s="20">
        <f>IFERROR(__xludf.DUMMYFUNCTION("""COMPUTED_VALUE"""),5000000.0)</f>
        <v>5000000</v>
      </c>
      <c r="O9" s="20">
        <f>IFERROR(__xludf.DUMMYFUNCTION("""COMPUTED_VALUE"""),5500000.0)</f>
        <v>5500000</v>
      </c>
      <c r="P9" s="20">
        <f>IFERROR(__xludf.DUMMYFUNCTION("""COMPUTED_VALUE"""),8000000.0)</f>
        <v>8000000</v>
      </c>
      <c r="Q9" s="20" t="str">
        <f>IFERROR(__xludf.DUMMYFUNCTION("""COMPUTED_VALUE"""),"FREE")</f>
        <v>FREE</v>
      </c>
      <c r="R9" s="20">
        <f>IFERROR(__xludf.DUMMYFUNCTION("""COMPUTED_VALUE"""),1.5E7)</f>
        <v>15000000</v>
      </c>
      <c r="S9" s="20">
        <f>IFERROR(__xludf.DUMMYFUNCTION("""COMPUTED_VALUE"""),1.8E7)</f>
        <v>18000000</v>
      </c>
      <c r="T9" s="20">
        <f>IFERROR(__xludf.DUMMYFUNCTION("""COMPUTED_VALUE"""),5000000.0)</f>
        <v>5000000</v>
      </c>
      <c r="U9" s="20" t="str">
        <f>IFERROR(__xludf.DUMMYFUNCTION("""COMPUTED_VALUE"""),"FREE")</f>
        <v>FREE</v>
      </c>
      <c r="V9" s="20">
        <f>IFERROR(__xludf.DUMMYFUNCTION("""COMPUTED_VALUE"""),1000000.0)</f>
        <v>1000000</v>
      </c>
      <c r="W9" s="20" t="str">
        <f>IFERROR(__xludf.DUMMYFUNCTION("""COMPUTED_VALUE"""),"FREE")</f>
        <v>FREE</v>
      </c>
      <c r="X9" s="20">
        <f>IFERROR(__xludf.DUMMYFUNCTION("""COMPUTED_VALUE"""),1000000.0)</f>
        <v>1000000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IFERROR(__xludf.DUMMYFUNCTION("""COMPUTED_VALUE"""),"Ka.reys")</f>
        <v>Ka.reys</v>
      </c>
      <c r="C10" s="23">
        <f>IFERROR(__xludf.DUMMYFUNCTION("""COMPUTED_VALUE"""),527000.0)</f>
        <v>527000</v>
      </c>
      <c r="D10" s="17" t="str">
        <f>IFERROR(__xludf.DUMMYFUNCTION("""COMPUTED_VALUE"""),"Macro")</f>
        <v>Macro</v>
      </c>
      <c r="E10" s="18" t="str">
        <f>IFERROR(__xludf.DUMMYFUNCTION("""COMPUTED_VALUE"""),"kayesssss")</f>
        <v>kayesssss</v>
      </c>
      <c r="F10" s="19">
        <f>IFERROR(__xludf.DUMMYFUNCTION("""COMPUTED_VALUE"""),3200000.0)</f>
        <v>3200000</v>
      </c>
      <c r="G10" s="17" t="str">
        <f>IFERROR(__xludf.DUMMYFUNCTION("""COMPUTED_VALUE"""),"Mega")</f>
        <v>Mega</v>
      </c>
      <c r="H10" s="17" t="str">
        <f>IFERROR(__xludf.DUMMYFUNCTION("""COMPUTED_VALUE"""),"Bekasi")</f>
        <v>Bekasi</v>
      </c>
      <c r="I10" s="17" t="str">
        <f>IFERROR(__xludf.DUMMYFUNCTION("""COMPUTED_VALUE"""),"- Lifestyle Female 
- Pasutri
- Family
- Mom &amp; Kids")</f>
        <v>- Lifestyle Female 
- Pasutri
- Family
- Mom &amp; Kids</v>
      </c>
      <c r="J10" s="20">
        <f>IFERROR(__xludf.DUMMYFUNCTION("""COMPUTED_VALUE"""),500000.0)</f>
        <v>500000</v>
      </c>
      <c r="K10" s="20">
        <f>IFERROR(__xludf.DUMMYFUNCTION("""COMPUTED_VALUE"""),1300000.0)</f>
        <v>1300000</v>
      </c>
      <c r="L10" s="17"/>
      <c r="M10" s="20" t="str">
        <f>IFERROR(__xludf.DUMMYFUNCTION("""COMPUTED_VALUE"""),"FREE")</f>
        <v>FREE</v>
      </c>
      <c r="N10" s="20">
        <f>IFERROR(__xludf.DUMMYFUNCTION("""COMPUTED_VALUE"""),2700000.0)</f>
        <v>2700000</v>
      </c>
      <c r="O10" s="17"/>
      <c r="P10" s="20">
        <f>IFERROR(__xludf.DUMMYFUNCTION("""COMPUTED_VALUE"""),3700000.0)</f>
        <v>3700000</v>
      </c>
      <c r="Q10" s="20" t="str">
        <f>IFERROR(__xludf.DUMMYFUNCTION("""COMPUTED_VALUE"""),"FREE")</f>
        <v>FREE</v>
      </c>
      <c r="R10" s="20">
        <f>IFERROR(__xludf.DUMMYFUNCTION("""COMPUTED_VALUE"""),5500000.0)</f>
        <v>5500000</v>
      </c>
      <c r="S10" s="20">
        <f>IFERROR(__xludf.DUMMYFUNCTION("""COMPUTED_VALUE"""),7000000.0)</f>
        <v>7000000</v>
      </c>
      <c r="T10" s="17"/>
      <c r="U10" s="20">
        <f>IFERROR(__xludf.DUMMYFUNCTION("""COMPUTED_VALUE"""),2000000.0)</f>
        <v>2000000</v>
      </c>
      <c r="V10" s="17"/>
      <c r="W10" s="20" t="str">
        <f>IFERROR(__xludf.DUMMYFUNCTION("""COMPUTED_VALUE"""),"FREE")</f>
        <v>FREE</v>
      </c>
      <c r="X10" s="20">
        <f>IFERROR(__xludf.DUMMYFUNCTION("""COMPUTED_VALUE"""),1500000.0)</f>
        <v>1500000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IFERROR(__xludf.DUMMYFUNCTION("""COMPUTED_VALUE"""),"aisyafputri")</f>
        <v>aisyafputri</v>
      </c>
      <c r="C11" s="23">
        <f>IFERROR(__xludf.DUMMYFUNCTION("""COMPUTED_VALUE"""),456000.0)</f>
        <v>456000</v>
      </c>
      <c r="D11" s="17" t="str">
        <f>IFERROR(__xludf.DUMMYFUNCTION("""COMPUTED_VALUE"""),"Mid")</f>
        <v>Mid</v>
      </c>
      <c r="E11" s="18" t="str">
        <f>IFERROR(__xludf.DUMMYFUNCTION("""COMPUTED_VALUE"""),"aisyafputri")</f>
        <v>aisyafputri</v>
      </c>
      <c r="F11" s="19">
        <f>IFERROR(__xludf.DUMMYFUNCTION("""COMPUTED_VALUE"""),986500.0)</f>
        <v>986500</v>
      </c>
      <c r="G11" s="17" t="str">
        <f>IFERROR(__xludf.DUMMYFUNCTION("""COMPUTED_VALUE"""),"Macro")</f>
        <v>Macro</v>
      </c>
      <c r="H11" s="17" t="str">
        <f>IFERROR(__xludf.DUMMYFUNCTION("""COMPUTED_VALUE"""),"Bogor")</f>
        <v>Bogor</v>
      </c>
      <c r="I11" s="17" t="str">
        <f>IFERROR(__xludf.DUMMYFUNCTION("""COMPUTED_VALUE"""),"- Lifestyle Female 
- Pasutri
- Family
- Mom &amp; Kids")</f>
        <v>- Lifestyle Female 
- Pasutri
- Family
- Mom &amp; Kids</v>
      </c>
      <c r="J11" s="20">
        <f>IFERROR(__xludf.DUMMYFUNCTION("""COMPUTED_VALUE"""),500000.0)</f>
        <v>500000</v>
      </c>
      <c r="K11" s="20">
        <f>IFERROR(__xludf.DUMMYFUNCTION("""COMPUTED_VALUE"""),3000000.0)</f>
        <v>3000000</v>
      </c>
      <c r="L11" s="20">
        <f>IFERROR(__xludf.DUMMYFUNCTION("""COMPUTED_VALUE"""),5000000.0)</f>
        <v>5000000</v>
      </c>
      <c r="M11" s="20" t="str">
        <f>IFERROR(__xludf.DUMMYFUNCTION("""COMPUTED_VALUE"""),"FREE")</f>
        <v>FREE</v>
      </c>
      <c r="N11" s="20">
        <f>IFERROR(__xludf.DUMMYFUNCTION("""COMPUTED_VALUE"""),4500000.0)</f>
        <v>4500000</v>
      </c>
      <c r="O11" s="20">
        <f>IFERROR(__xludf.DUMMYFUNCTION("""COMPUTED_VALUE"""),5000000.0)</f>
        <v>5000000</v>
      </c>
      <c r="P11" s="20">
        <f>IFERROR(__xludf.DUMMYFUNCTION("""COMPUTED_VALUE"""),7500000.0)</f>
        <v>7500000</v>
      </c>
      <c r="Q11" s="20" t="str">
        <f>IFERROR(__xludf.DUMMYFUNCTION("""COMPUTED_VALUE"""),"FREE")</f>
        <v>FREE</v>
      </c>
      <c r="R11" s="20">
        <f>IFERROR(__xludf.DUMMYFUNCTION("""COMPUTED_VALUE"""),7000000.0)</f>
        <v>7000000</v>
      </c>
      <c r="S11" s="20">
        <f>IFERROR(__xludf.DUMMYFUNCTION("""COMPUTED_VALUE"""),3000000.0)</f>
        <v>3000000</v>
      </c>
      <c r="T11" s="17"/>
      <c r="U11" s="20">
        <f>IFERROR(__xludf.DUMMYFUNCTION("""COMPUTED_VALUE"""),3000000.0)</f>
        <v>3000000</v>
      </c>
      <c r="V11" s="20">
        <f>IFERROR(__xludf.DUMMYFUNCTION("""COMPUTED_VALUE"""),1500000.0)</f>
        <v>1500000</v>
      </c>
      <c r="W11" s="20">
        <f>IFERROR(__xludf.DUMMYFUNCTION("""COMPUTED_VALUE"""),500000.0)</f>
        <v>500000</v>
      </c>
      <c r="X11" s="20">
        <f>IFERROR(__xludf.DUMMYFUNCTION("""COMPUTED_VALUE"""),1500000.0)</f>
        <v>1500000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IFERROR(__xludf.DUMMYFUNCTION("""COMPUTED_VALUE"""),"fauzanakhdan")</f>
        <v>fauzanakhdan</v>
      </c>
      <c r="C12" s="23">
        <f>IFERROR(__xludf.DUMMYFUNCTION("""COMPUTED_VALUE"""),465000.0)</f>
        <v>465000</v>
      </c>
      <c r="D12" s="17" t="str">
        <f>IFERROR(__xludf.DUMMYFUNCTION("""COMPUTED_VALUE"""),"Mid")</f>
        <v>Mid</v>
      </c>
      <c r="E12" s="18" t="str">
        <f>IFERROR(__xludf.DUMMYFUNCTION("""COMPUTED_VALUE"""),"fauzanakhdan")</f>
        <v>fauzanakhdan</v>
      </c>
      <c r="F12" s="23">
        <f>IFERROR(__xludf.DUMMYFUNCTION("""COMPUTED_VALUE"""),490200.0)</f>
        <v>490200</v>
      </c>
      <c r="G12" s="17" t="str">
        <f>IFERROR(__xludf.DUMMYFUNCTION("""COMPUTED_VALUE"""),"Mid")</f>
        <v>Mid</v>
      </c>
      <c r="H12" s="17" t="str">
        <f>IFERROR(__xludf.DUMMYFUNCTION("""COMPUTED_VALUE"""),"Bogor")</f>
        <v>Bogor</v>
      </c>
      <c r="I12" s="17" t="str">
        <f>IFERROR(__xludf.DUMMYFUNCTION("""COMPUTED_VALUE"""),"- Lifestyle Male
- Pasutri
- Family
- Fashion Pria")</f>
        <v>- Lifestyle Male
- Pasutri
- Family
- Fashion Pria</v>
      </c>
      <c r="J12" s="20">
        <f>IFERROR(__xludf.DUMMYFUNCTION("""COMPUTED_VALUE"""),2500000.0)</f>
        <v>2500000</v>
      </c>
      <c r="K12" s="20">
        <f>IFERROR(__xludf.DUMMYFUNCTION("""COMPUTED_VALUE"""),2500000.0)</f>
        <v>2500000</v>
      </c>
      <c r="L12" s="20">
        <f>IFERROR(__xludf.DUMMYFUNCTION("""COMPUTED_VALUE"""),7500000.0)</f>
        <v>7500000</v>
      </c>
      <c r="M12" s="20" t="str">
        <f>IFERROR(__xludf.DUMMYFUNCTION("""COMPUTED_VALUE"""),"FREE")</f>
        <v>FREE</v>
      </c>
      <c r="N12" s="20">
        <f>IFERROR(__xludf.DUMMYFUNCTION("""COMPUTED_VALUE"""),4000000.0)</f>
        <v>4000000</v>
      </c>
      <c r="O12" s="20">
        <f>IFERROR(__xludf.DUMMYFUNCTION("""COMPUTED_VALUE"""),7500000.0)</f>
        <v>7500000</v>
      </c>
      <c r="P12" s="20">
        <f>IFERROR(__xludf.DUMMYFUNCTION("""COMPUTED_VALUE"""),9000000.0)</f>
        <v>9000000</v>
      </c>
      <c r="Q12" s="20">
        <f>IFERROR(__xludf.DUMMYFUNCTION("""COMPUTED_VALUE"""),2000000.0)</f>
        <v>2000000</v>
      </c>
      <c r="R12" s="20">
        <f>IFERROR(__xludf.DUMMYFUNCTION("""COMPUTED_VALUE"""),8000000.0)</f>
        <v>8000000</v>
      </c>
      <c r="S12" s="20">
        <f>IFERROR(__xludf.DUMMYFUNCTION("""COMPUTED_VALUE"""),1.3E7)</f>
        <v>13000000</v>
      </c>
      <c r="T12" s="17"/>
      <c r="U12" s="20">
        <f>IFERROR(__xludf.DUMMYFUNCTION("""COMPUTED_VALUE"""),3000000.0)</f>
        <v>3000000</v>
      </c>
      <c r="V12" s="20">
        <f>IFERROR(__xludf.DUMMYFUNCTION("""COMPUTED_VALUE"""),1000000.0)</f>
        <v>1000000</v>
      </c>
      <c r="W12" s="20">
        <f>IFERROR(__xludf.DUMMYFUNCTION("""COMPUTED_VALUE"""),3000000.0)</f>
        <v>3000000</v>
      </c>
      <c r="X12" s="20">
        <f>IFERROR(__xludf.DUMMYFUNCTION("""COMPUTED_VALUE"""),4000000.0)</f>
        <v>4000000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IFERROR(__xludf.DUMMYFUNCTION("""COMPUTED_VALUE"""),"bellzky16")</f>
        <v>bellzky16</v>
      </c>
      <c r="C13" s="23">
        <f>IFERROR(__xludf.DUMMYFUNCTION("""COMPUTED_VALUE"""),315000.0)</f>
        <v>315000</v>
      </c>
      <c r="D13" s="17" t="str">
        <f>IFERROR(__xludf.DUMMYFUNCTION("""COMPUTED_VALUE"""),"Mid")</f>
        <v>Mid</v>
      </c>
      <c r="E13" s="24" t="str">
        <f>IFERROR(__xludf.DUMMYFUNCTION("""COMPUTED_VALUE"""),"bellzky16")</f>
        <v>bellzky16</v>
      </c>
      <c r="F13" s="19">
        <f>IFERROR(__xludf.DUMMYFUNCTION("""COMPUTED_VALUE"""),4000000.0)</f>
        <v>4000000</v>
      </c>
      <c r="G13" s="17" t="str">
        <f>IFERROR(__xludf.DUMMYFUNCTION("""COMPUTED_VALUE"""),"Mega")</f>
        <v>Mega</v>
      </c>
      <c r="H13" s="20" t="str">
        <f>IFERROR(__xludf.DUMMYFUNCTION("""COMPUTED_VALUE"""),"Tangerang")</f>
        <v>Tangerang</v>
      </c>
      <c r="I13" s="17" t="str">
        <f>IFERROR(__xludf.DUMMYFUNCTION("""COMPUTED_VALUE"""),"- Lifestyle Female 
- Pasutri
- Family
- Mom &amp; Kids")</f>
        <v>- Lifestyle Female 
- Pasutri
- Family
- Mom &amp; Kids</v>
      </c>
      <c r="J13" s="20">
        <f>IFERROR(__xludf.DUMMYFUNCTION("""COMPUTED_VALUE"""),1000000.0)</f>
        <v>1000000</v>
      </c>
      <c r="K13" s="20">
        <f>IFERROR(__xludf.DUMMYFUNCTION("""COMPUTED_VALUE"""),2000000.0)</f>
        <v>2000000</v>
      </c>
      <c r="L13" s="20">
        <f>IFERROR(__xludf.DUMMYFUNCTION("""COMPUTED_VALUE"""),6000000.0)</f>
        <v>6000000</v>
      </c>
      <c r="M13" s="17"/>
      <c r="N13" s="20">
        <f>IFERROR(__xludf.DUMMYFUNCTION("""COMPUTED_VALUE"""),5000000.0)</f>
        <v>5000000</v>
      </c>
      <c r="O13" s="20">
        <f>IFERROR(__xludf.DUMMYFUNCTION("""COMPUTED_VALUE"""),7000000.0)</f>
        <v>7000000</v>
      </c>
      <c r="P13" s="20">
        <f>IFERROR(__xludf.DUMMYFUNCTION("""COMPUTED_VALUE"""),8000000.0)</f>
        <v>8000000</v>
      </c>
      <c r="Q13" s="17"/>
      <c r="R13" s="20">
        <f>IFERROR(__xludf.DUMMYFUNCTION("""COMPUTED_VALUE"""),1.5E7)</f>
        <v>15000000</v>
      </c>
      <c r="S13" s="20">
        <f>IFERROR(__xludf.DUMMYFUNCTION("""COMPUTED_VALUE"""),2.1E7)</f>
        <v>21000000</v>
      </c>
      <c r="T13" s="20">
        <f>IFERROR(__xludf.DUMMYFUNCTION("""COMPUTED_VALUE"""),7000000.0)</f>
        <v>7000000</v>
      </c>
      <c r="U13" s="17"/>
      <c r="V13" s="17"/>
      <c r="W13" s="20">
        <f>IFERROR(__xludf.DUMMYFUNCTION("""COMPUTED_VALUE"""),3000000.0)</f>
        <v>3000000</v>
      </c>
      <c r="X13" s="20">
        <f>IFERROR(__xludf.DUMMYFUNCTION("""COMPUTED_VALUE"""),5000000.0)</f>
        <v>5000000</v>
      </c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IFERROR(__xludf.DUMMYFUNCTION("""COMPUTED_VALUE"""),"jelitawidiaw")</f>
        <v>jelitawidiaw</v>
      </c>
      <c r="C14" s="23">
        <f>IFERROR(__xludf.DUMMYFUNCTION("""COMPUTED_VALUE"""),297000.0)</f>
        <v>297000</v>
      </c>
      <c r="D14" s="17" t="str">
        <f>IFERROR(__xludf.DUMMYFUNCTION("""COMPUTED_VALUE"""),"Mid")</f>
        <v>Mid</v>
      </c>
      <c r="E14" s="18" t="str">
        <f>IFERROR(__xludf.DUMMYFUNCTION("""COMPUTED_VALUE"""),"jelitawidiaw")</f>
        <v>jelitawidiaw</v>
      </c>
      <c r="F14" s="19">
        <f>IFERROR(__xludf.DUMMYFUNCTION("""COMPUTED_VALUE"""),4800000.0)</f>
        <v>4800000</v>
      </c>
      <c r="G14" s="17" t="str">
        <f>IFERROR(__xludf.DUMMYFUNCTION("""COMPUTED_VALUE"""),"Mega")</f>
        <v>Mega</v>
      </c>
      <c r="H14" s="17" t="str">
        <f>IFERROR(__xludf.DUMMYFUNCTION("""COMPUTED_VALUE"""),"Tangerang")</f>
        <v>Tangerang</v>
      </c>
      <c r="I14" s="17" t="str">
        <f>IFERROR(__xludf.DUMMYFUNCTION("""COMPUTED_VALUE"""),"- Lifestyle Female 
- Pasutri
- Family
- Mom &amp; Kids")</f>
        <v>- Lifestyle Female 
- Pasutri
- Family
- Mom &amp; Kids</v>
      </c>
      <c r="J14" s="20">
        <f>IFERROR(__xludf.DUMMYFUNCTION("""COMPUTED_VALUE"""),500000.0)</f>
        <v>500000</v>
      </c>
      <c r="K14" s="20">
        <f>IFERROR(__xludf.DUMMYFUNCTION("""COMPUTED_VALUE"""),2000000.0)</f>
        <v>2000000</v>
      </c>
      <c r="L14" s="20">
        <f>IFERROR(__xludf.DUMMYFUNCTION("""COMPUTED_VALUE"""),3000000.0)</f>
        <v>3000000</v>
      </c>
      <c r="M14" s="20">
        <f>IFERROR(__xludf.DUMMYFUNCTION("""COMPUTED_VALUE"""),500000.0)</f>
        <v>500000</v>
      </c>
      <c r="N14" s="20">
        <f>IFERROR(__xludf.DUMMYFUNCTION("""COMPUTED_VALUE"""),2500000.0)</f>
        <v>2500000</v>
      </c>
      <c r="O14" s="17"/>
      <c r="P14" s="20">
        <f>IFERROR(__xludf.DUMMYFUNCTION("""COMPUTED_VALUE"""),7000000.0)</f>
        <v>7000000</v>
      </c>
      <c r="Q14" s="20" t="str">
        <f>IFERROR(__xludf.DUMMYFUNCTION("""COMPUTED_VALUE"""),"FREE")</f>
        <v>FREE</v>
      </c>
      <c r="R14" s="20">
        <f>IFERROR(__xludf.DUMMYFUNCTION("""COMPUTED_VALUE"""),1.7E7)</f>
        <v>17000000</v>
      </c>
      <c r="S14" s="20">
        <f>IFERROR(__xludf.DUMMYFUNCTION("""COMPUTED_VALUE"""),2.0E7)</f>
        <v>20000000</v>
      </c>
      <c r="T14" s="20">
        <f>IFERROR(__xludf.DUMMYFUNCTION("""COMPUTED_VALUE"""),1.4E7)</f>
        <v>14000000</v>
      </c>
      <c r="U14" s="20">
        <f>IFERROR(__xludf.DUMMYFUNCTION("""COMPUTED_VALUE"""),7500000.0)</f>
        <v>7500000</v>
      </c>
      <c r="V14" s="20" t="str">
        <f>IFERROR(__xludf.DUMMYFUNCTION("""COMPUTED_VALUE"""),"FREE 7D")</f>
        <v>FREE 7D</v>
      </c>
      <c r="W14" s="20" t="str">
        <f>IFERROR(__xludf.DUMMYFUNCTION("""COMPUTED_VALUE"""),"FREE")</f>
        <v>FREE</v>
      </c>
      <c r="X14" s="20">
        <f>IFERROR(__xludf.DUMMYFUNCTION("""COMPUTED_VALUE"""),1000000.0)</f>
        <v>1000000</v>
      </c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IFERROR(__xludf.DUMMYFUNCTION("""COMPUTED_VALUE"""),"nennyzoe")</f>
        <v>nennyzoe</v>
      </c>
      <c r="C15" s="23">
        <f>IFERROR(__xludf.DUMMYFUNCTION("""COMPUTED_VALUE"""),270000.0)</f>
        <v>270000</v>
      </c>
      <c r="D15" s="17" t="str">
        <f>IFERROR(__xludf.DUMMYFUNCTION("""COMPUTED_VALUE"""),"Mid")</f>
        <v>Mid</v>
      </c>
      <c r="E15" s="18" t="str">
        <f>IFERROR(__xludf.DUMMYFUNCTION("""COMPUTED_VALUE"""),"nennyzoe")</f>
        <v>nennyzoe</v>
      </c>
      <c r="F15" s="19">
        <f>IFERROR(__xludf.DUMMYFUNCTION("""COMPUTED_VALUE"""),1100000.0)</f>
        <v>1100000</v>
      </c>
      <c r="G15" s="17" t="str">
        <f>IFERROR(__xludf.DUMMYFUNCTION("""COMPUTED_VALUE"""),"Mega")</f>
        <v>Mega</v>
      </c>
      <c r="H15" s="17" t="str">
        <f>IFERROR(__xludf.DUMMYFUNCTION("""COMPUTED_VALUE"""),"Bandung")</f>
        <v>Bandung</v>
      </c>
      <c r="I15" s="17" t="str">
        <f>IFERROR(__xludf.DUMMYFUNCTION("""COMPUTED_VALUE"""),"- Fashion Wanita
- Lifestyle Female
- Beauty
- Family")</f>
        <v>- Fashion Wanita
- Lifestyle Female
- Beauty
- Family</v>
      </c>
      <c r="J15" s="20">
        <f>IFERROR(__xludf.DUMMYFUNCTION("""COMPUTED_VALUE"""),400000.0)</f>
        <v>400000</v>
      </c>
      <c r="K15" s="20">
        <f>IFERROR(__xludf.DUMMYFUNCTION("""COMPUTED_VALUE"""),2000000.0)</f>
        <v>2000000</v>
      </c>
      <c r="L15" s="20">
        <f>IFERROR(__xludf.DUMMYFUNCTION("""COMPUTED_VALUE"""),5000000.0)</f>
        <v>5000000</v>
      </c>
      <c r="M15" s="20" t="str">
        <f>IFERROR(__xludf.DUMMYFUNCTION("""COMPUTED_VALUE"""),"FREE")</f>
        <v>FREE</v>
      </c>
      <c r="N15" s="20">
        <f>IFERROR(__xludf.DUMMYFUNCTION("""COMPUTED_VALUE"""),3500000.0)</f>
        <v>3500000</v>
      </c>
      <c r="O15" s="20">
        <f>IFERROR(__xludf.DUMMYFUNCTION("""COMPUTED_VALUE"""),4000000.0)</f>
        <v>4000000</v>
      </c>
      <c r="P15" s="20">
        <f>IFERROR(__xludf.DUMMYFUNCTION("""COMPUTED_VALUE"""),7500000.0)</f>
        <v>7500000</v>
      </c>
      <c r="Q15" s="20" t="str">
        <f>IFERROR(__xludf.DUMMYFUNCTION("""COMPUTED_VALUE"""),"FREE")</f>
        <v>FREE</v>
      </c>
      <c r="R15" s="20">
        <f>IFERROR(__xludf.DUMMYFUNCTION("""COMPUTED_VALUE"""),1.0E7)</f>
        <v>10000000</v>
      </c>
      <c r="S15" s="20">
        <f>IFERROR(__xludf.DUMMYFUNCTION("""COMPUTED_VALUE"""),1.5E7)</f>
        <v>15000000</v>
      </c>
      <c r="T15" s="20">
        <f>IFERROR(__xludf.DUMMYFUNCTION("""COMPUTED_VALUE"""),8000000.0)</f>
        <v>8000000</v>
      </c>
      <c r="U15" s="20">
        <f>IFERROR(__xludf.DUMMYFUNCTION("""COMPUTED_VALUE"""),1.5E7)</f>
        <v>15000000</v>
      </c>
      <c r="V15" s="21">
        <f>IFERROR(__xludf.DUMMYFUNCTION("""COMPUTED_VALUE"""),0.5)</f>
        <v>0.5</v>
      </c>
      <c r="W15" s="20">
        <f>IFERROR(__xludf.DUMMYFUNCTION("""COMPUTED_VALUE"""),1000000.0)</f>
        <v>1000000</v>
      </c>
      <c r="X15" s="20">
        <f>IFERROR(__xludf.DUMMYFUNCTION("""COMPUTED_VALUE"""),2000000.0)</f>
        <v>2000000</v>
      </c>
      <c r="Y15" s="17"/>
    </row>
    <row r="16">
      <c r="A16" s="17">
        <f>IFERROR(__xludf.DUMMYFUNCTION("""COMPUTED_VALUE"""),13.0)</f>
        <v>13</v>
      </c>
      <c r="B16" s="18" t="str">
        <f>IFERROR(__xludf.DUMMYFUNCTION("""COMPUTED_VALUE"""),"ojankeke")</f>
        <v>ojankeke</v>
      </c>
      <c r="C16" s="23">
        <f>IFERROR(__xludf.DUMMYFUNCTION("""COMPUTED_VALUE"""),256000.0)</f>
        <v>256000</v>
      </c>
      <c r="D16" s="17" t="str">
        <f>IFERROR(__xludf.DUMMYFUNCTION("""COMPUTED_VALUE"""),"Mid")</f>
        <v>Mid</v>
      </c>
      <c r="E16" s="18" t="str">
        <f>IFERROR(__xludf.DUMMYFUNCTION("""COMPUTED_VALUE"""),"ojankeke")</f>
        <v>ojankeke</v>
      </c>
      <c r="F16" s="19">
        <f>IFERROR(__xludf.DUMMYFUNCTION("""COMPUTED_VALUE"""),5400000.0)</f>
        <v>5400000</v>
      </c>
      <c r="G16" s="17" t="str">
        <f>IFERROR(__xludf.DUMMYFUNCTION("""COMPUTED_VALUE"""),"Mega")</f>
        <v>Mega</v>
      </c>
      <c r="H16" s="17" t="str">
        <f>IFERROR(__xludf.DUMMYFUNCTION("""COMPUTED_VALUE"""),"Bogor")</f>
        <v>Bogor</v>
      </c>
      <c r="I16" s="17" t="str">
        <f>IFERROR(__xludf.DUMMYFUNCTION("""COMPUTED_VALUE"""),"- Family
- Pasutri")</f>
        <v>- Family
- Pasutri</v>
      </c>
      <c r="J16" s="17"/>
      <c r="K16" s="20">
        <f>IFERROR(__xludf.DUMMYFUNCTION("""COMPUTED_VALUE"""),2500000.0)</f>
        <v>2500000</v>
      </c>
      <c r="L16" s="20">
        <f>IFERROR(__xludf.DUMMYFUNCTION("""COMPUTED_VALUE"""),7500000.0)</f>
        <v>7500000</v>
      </c>
      <c r="M16" s="20" t="str">
        <f>IFERROR(__xludf.DUMMYFUNCTION("""COMPUTED_VALUE"""),"FREE")</f>
        <v>FREE</v>
      </c>
      <c r="N16" s="20">
        <f>IFERROR(__xludf.DUMMYFUNCTION("""COMPUTED_VALUE"""),4000000.0)</f>
        <v>4000000</v>
      </c>
      <c r="O16" s="17"/>
      <c r="P16" s="20">
        <f>IFERROR(__xludf.DUMMYFUNCTION("""COMPUTED_VALUE"""),9000000.0)</f>
        <v>9000000</v>
      </c>
      <c r="Q16" s="20">
        <f>IFERROR(__xludf.DUMMYFUNCTION("""COMPUTED_VALUE"""),2000000.0)</f>
        <v>2000000</v>
      </c>
      <c r="R16" s="20">
        <f>IFERROR(__xludf.DUMMYFUNCTION("""COMPUTED_VALUE"""),1.4E7)</f>
        <v>14000000</v>
      </c>
      <c r="S16" s="20">
        <f>IFERROR(__xludf.DUMMYFUNCTION("""COMPUTED_VALUE"""),2.0E7)</f>
        <v>20000000</v>
      </c>
      <c r="T16" s="17"/>
      <c r="U16" s="17"/>
      <c r="V16" s="17"/>
      <c r="W16" s="20" t="str">
        <f>IFERROR(__xludf.DUMMYFUNCTION("""COMPUTED_VALUE"""),"FREE")</f>
        <v>FREE</v>
      </c>
      <c r="X16" s="20">
        <f>IFERROR(__xludf.DUMMYFUNCTION("""COMPUTED_VALUE"""),4000000.0)</f>
        <v>4000000</v>
      </c>
      <c r="Y16" s="17"/>
    </row>
    <row r="17">
      <c r="A17" s="27"/>
      <c r="B17" s="33" t="str">
        <f>IFERROR(__xludf.DUMMYFUNCTION("""COMPUTED_VALUE"""),"juandadaly")</f>
        <v>juandadaly</v>
      </c>
      <c r="C17" s="34">
        <f>IFERROR(__xludf.DUMMYFUNCTION("""COMPUTED_VALUE"""),228000.0)</f>
        <v>228000</v>
      </c>
      <c r="D17" s="27" t="str">
        <f>IFERROR(__xludf.DUMMYFUNCTION("""COMPUTED_VALUE"""),"Mid")</f>
        <v>Mid</v>
      </c>
      <c r="E17" s="33" t="str">
        <f>IFERROR(__xludf.DUMMYFUNCTION("""COMPUTED_VALUE"""),"juandadaly")</f>
        <v>juandadaly</v>
      </c>
      <c r="F17" s="281">
        <f>IFERROR(__xludf.DUMMYFUNCTION("""COMPUTED_VALUE"""),1700000.0)</f>
        <v>1700000</v>
      </c>
      <c r="G17" s="27" t="str">
        <f>IFERROR(__xludf.DUMMYFUNCTION("""COMPUTED_VALUE"""),"Mega")</f>
        <v>Mega</v>
      </c>
      <c r="H17" s="27" t="str">
        <f>IFERROR(__xludf.DUMMYFUNCTION("""COMPUTED_VALUE"""),"Bogor ")</f>
        <v>Bogor </v>
      </c>
      <c r="I17" s="27" t="str">
        <f>IFERROR(__xludf.DUMMYFUNCTION("""COMPUTED_VALUE"""),"- Lifestyle Male, 
- Health &amp; Sport
- Family")</f>
        <v>- Lifestyle Male, 
- Health &amp; Sport
- Family</v>
      </c>
      <c r="J17" s="27"/>
      <c r="K17" s="35">
        <f>IFERROR(__xludf.DUMMYFUNCTION("""COMPUTED_VALUE"""),1000000.0)</f>
        <v>1000000</v>
      </c>
      <c r="L17" s="35">
        <f>IFERROR(__xludf.DUMMYFUNCTION("""COMPUTED_VALUE"""),1500000.0)</f>
        <v>1500000</v>
      </c>
      <c r="M17" s="35" t="str">
        <f>IFERROR(__xludf.DUMMYFUNCTION("""COMPUTED_VALUE"""),"FREE")</f>
        <v>FREE</v>
      </c>
      <c r="N17" s="35">
        <f>IFERROR(__xludf.DUMMYFUNCTION("""COMPUTED_VALUE"""),2500000.0)</f>
        <v>2500000</v>
      </c>
      <c r="O17" s="35">
        <f>IFERROR(__xludf.DUMMYFUNCTION("""COMPUTED_VALUE"""),3000000.0)</f>
        <v>3000000</v>
      </c>
      <c r="P17" s="35">
        <f>IFERROR(__xludf.DUMMYFUNCTION("""COMPUTED_VALUE"""),4000000.0)</f>
        <v>4000000</v>
      </c>
      <c r="Q17" s="35" t="str">
        <f>IFERROR(__xludf.DUMMYFUNCTION("""COMPUTED_VALUE"""),"FREE")</f>
        <v>FREE</v>
      </c>
      <c r="R17" s="35">
        <f>IFERROR(__xludf.DUMMYFUNCTION("""COMPUTED_VALUE"""),4500000.0)</f>
        <v>4500000</v>
      </c>
      <c r="S17" s="35">
        <f>IFERROR(__xludf.DUMMYFUNCTION("""COMPUTED_VALUE"""),5500000.0)</f>
        <v>5500000</v>
      </c>
      <c r="T17" s="27"/>
      <c r="U17" s="35">
        <f>IFERROR(__xludf.DUMMYFUNCTION("""COMPUTED_VALUE"""),2000000.0)</f>
        <v>2000000</v>
      </c>
      <c r="V17" s="35">
        <f>IFERROR(__xludf.DUMMYFUNCTION("""COMPUTED_VALUE"""),500000.0)</f>
        <v>500000</v>
      </c>
      <c r="W17" s="35">
        <f>IFERROR(__xludf.DUMMYFUNCTION("""COMPUTED_VALUE"""),500000.0)</f>
        <v>500000</v>
      </c>
      <c r="X17" s="27" t="str">
        <f>IFERROR(__xludf.DUMMYFUNCTION("""COMPUTED_VALUE"""),"Rp1.000.000 (Jabodetabek)")</f>
        <v>Rp1.000.000 (Jabodetabek)</v>
      </c>
      <c r="Y17" s="27"/>
    </row>
    <row r="18">
      <c r="A18" s="27"/>
      <c r="B18" s="33" t="str">
        <f>IFERROR(__xludf.DUMMYFUNCTION("""COMPUTED_VALUE"""),"luthfy.h20")</f>
        <v>luthfy.h20</v>
      </c>
      <c r="C18" s="34">
        <f>IFERROR(__xludf.DUMMYFUNCTION("""COMPUTED_VALUE"""),148000.0)</f>
        <v>148000</v>
      </c>
      <c r="D18" s="27" t="str">
        <f>IFERROR(__xludf.DUMMYFUNCTION("""COMPUTED_VALUE"""),"Mid")</f>
        <v>Mid</v>
      </c>
      <c r="E18" s="33" t="str">
        <f>IFERROR(__xludf.DUMMYFUNCTION("""COMPUTED_VALUE"""),"luthfy.h20")</f>
        <v>luthfy.h20</v>
      </c>
      <c r="F18" s="281">
        <f>IFERROR(__xludf.DUMMYFUNCTION("""COMPUTED_VALUE"""),1500000.0)</f>
        <v>1500000</v>
      </c>
      <c r="G18" s="27" t="str">
        <f>IFERROR(__xludf.DUMMYFUNCTION("""COMPUTED_VALUE"""),"Mega")</f>
        <v>Mega</v>
      </c>
      <c r="H18" s="27" t="str">
        <f>IFERROR(__xludf.DUMMYFUNCTION("""COMPUTED_VALUE"""),"Tasikmalaya")</f>
        <v>Tasikmalaya</v>
      </c>
      <c r="I18" s="27" t="str">
        <f>IFERROR(__xludf.DUMMYFUNCTION("""COMPUTED_VALUE"""),"- Lifestyle Male 
- Family
- Pasutri")</f>
        <v>- Lifestyle Male 
- Family
- Pasutri</v>
      </c>
      <c r="J18" s="27"/>
      <c r="K18" s="35">
        <f>IFERROR(__xludf.DUMMYFUNCTION("""COMPUTED_VALUE"""),2000000.0)</f>
        <v>2000000</v>
      </c>
      <c r="L18" s="35">
        <f>IFERROR(__xludf.DUMMYFUNCTION("""COMPUTED_VALUE"""),2500000.0)</f>
        <v>2500000</v>
      </c>
      <c r="M18" s="35">
        <f>IFERROR(__xludf.DUMMYFUNCTION("""COMPUTED_VALUE"""),500000.0)</f>
        <v>500000</v>
      </c>
      <c r="N18" s="35">
        <f>IFERROR(__xludf.DUMMYFUNCTION("""COMPUTED_VALUE"""),4500000.0)</f>
        <v>4500000</v>
      </c>
      <c r="O18" s="35">
        <f>IFERROR(__xludf.DUMMYFUNCTION("""COMPUTED_VALUE"""),4500000.0)</f>
        <v>4500000</v>
      </c>
      <c r="P18" s="35">
        <f>IFERROR(__xludf.DUMMYFUNCTION("""COMPUTED_VALUE"""),8000000.0)</f>
        <v>8000000</v>
      </c>
      <c r="Q18" s="35" t="str">
        <f>IFERROR(__xludf.DUMMYFUNCTION("""COMPUTED_VALUE"""),"FREE")</f>
        <v>FREE</v>
      </c>
      <c r="R18" s="35">
        <f>IFERROR(__xludf.DUMMYFUNCTION("""COMPUTED_VALUE"""),1.1E7)</f>
        <v>11000000</v>
      </c>
      <c r="S18" s="35">
        <f>IFERROR(__xludf.DUMMYFUNCTION("""COMPUTED_VALUE"""),1.3E7)</f>
        <v>13000000</v>
      </c>
      <c r="T18" s="27"/>
      <c r="U18" s="35" t="str">
        <f>IFERROR(__xludf.DUMMYFUNCTION("""COMPUTED_VALUE"""),"FREE")</f>
        <v>FREE</v>
      </c>
      <c r="V18" s="35" t="str">
        <f>IFERROR(__xludf.DUMMYFUNCTION("""COMPUTED_VALUE"""),"FREE")</f>
        <v>FREE</v>
      </c>
      <c r="W18" s="35" t="str">
        <f>IFERROR(__xludf.DUMMYFUNCTION("""COMPUTED_VALUE"""),"FREE")</f>
        <v>FREE</v>
      </c>
      <c r="X18" s="27"/>
      <c r="Y18" s="27"/>
    </row>
    <row r="19">
      <c r="A19" s="27"/>
      <c r="B19" s="33" t="str">
        <f>IFERROR(__xludf.DUMMYFUNCTION("""COMPUTED_VALUE"""),"rizkywahyudinata_")</f>
        <v>rizkywahyudinata_</v>
      </c>
      <c r="C19" s="34">
        <f>IFERROR(__xludf.DUMMYFUNCTION("""COMPUTED_VALUE"""),142000.0)</f>
        <v>142000</v>
      </c>
      <c r="D19" s="27" t="str">
        <f>IFERROR(__xludf.DUMMYFUNCTION("""COMPUTED_VALUE"""),"Mid")</f>
        <v>Mid</v>
      </c>
      <c r="E19" s="33" t="str">
        <f>IFERROR(__xludf.DUMMYFUNCTION("""COMPUTED_VALUE"""),"amoskiduy0512")</f>
        <v>amoskiduy0512</v>
      </c>
      <c r="F19" s="34">
        <f>IFERROR(__xludf.DUMMYFUNCTION("""COMPUTED_VALUE"""),714500.0)</f>
        <v>714500</v>
      </c>
      <c r="G19" s="27" t="str">
        <f>IFERROR(__xludf.DUMMYFUNCTION("""COMPUTED_VALUE"""),"Macro")</f>
        <v>Macro</v>
      </c>
      <c r="H19" s="27" t="str">
        <f>IFERROR(__xludf.DUMMYFUNCTION("""COMPUTED_VALUE"""),"Tangerang")</f>
        <v>Tangerang</v>
      </c>
      <c r="I19" s="27" t="str">
        <f>IFERROR(__xludf.DUMMYFUNCTION("""COMPUTED_VALUE"""),"- Lifestyle Male 
- Family
- Pasutri")</f>
        <v>- Lifestyle Male 
- Family
- Pasutri</v>
      </c>
      <c r="J19" s="27"/>
      <c r="K19" s="35">
        <f>IFERROR(__xludf.DUMMYFUNCTION("""COMPUTED_VALUE"""),2000000.0)</f>
        <v>2000000</v>
      </c>
      <c r="L19" s="35">
        <f>IFERROR(__xludf.DUMMYFUNCTION("""COMPUTED_VALUE"""),3000000.0)</f>
        <v>3000000</v>
      </c>
      <c r="M19" s="35" t="str">
        <f>IFERROR(__xludf.DUMMYFUNCTION("""COMPUTED_VALUE"""),"FREE")</f>
        <v>FREE</v>
      </c>
      <c r="N19" s="35">
        <f>IFERROR(__xludf.DUMMYFUNCTION("""COMPUTED_VALUE"""),2000000.0)</f>
        <v>2000000</v>
      </c>
      <c r="O19" s="27"/>
      <c r="P19" s="35">
        <f>IFERROR(__xludf.DUMMYFUNCTION("""COMPUTED_VALUE"""),5000000.0)</f>
        <v>5000000</v>
      </c>
      <c r="Q19" s="35">
        <f>IFERROR(__xludf.DUMMYFUNCTION("""COMPUTED_VALUE"""),1000000.0)</f>
        <v>1000000</v>
      </c>
      <c r="R19" s="35">
        <f>IFERROR(__xludf.DUMMYFUNCTION("""COMPUTED_VALUE"""),5000000.0)</f>
        <v>5000000</v>
      </c>
      <c r="S19" s="35">
        <f>IFERROR(__xludf.DUMMYFUNCTION("""COMPUTED_VALUE"""),6000000.0)</f>
        <v>6000000</v>
      </c>
      <c r="T19" s="27"/>
      <c r="U19" s="27"/>
      <c r="V19" s="35">
        <f>IFERROR(__xludf.DUMMYFUNCTION("""COMPUTED_VALUE"""),1000000.0)</f>
        <v>1000000</v>
      </c>
      <c r="W19" s="35" t="str">
        <f>IFERROR(__xludf.DUMMYFUNCTION("""COMPUTED_VALUE"""),"FREE")</f>
        <v>FREE</v>
      </c>
      <c r="X19" s="35">
        <f>IFERROR(__xludf.DUMMYFUNCTION("""COMPUTED_VALUE"""),1000000.0)</f>
        <v>1000000</v>
      </c>
      <c r="Y19" s="27"/>
    </row>
    <row r="20">
      <c r="A20" s="27"/>
      <c r="B20" s="33" t="str">
        <f>IFERROR(__xludf.DUMMYFUNCTION("""COMPUTED_VALUE"""),"hasbyalf")</f>
        <v>hasbyalf</v>
      </c>
      <c r="C20" s="34">
        <f>IFERROR(__xludf.DUMMYFUNCTION("""COMPUTED_VALUE"""),121000.0)</f>
        <v>121000</v>
      </c>
      <c r="D20" s="27" t="str">
        <f>IFERROR(__xludf.DUMMYFUNCTION("""COMPUTED_VALUE"""),"Mid")</f>
        <v>Mid</v>
      </c>
      <c r="E20" s="33" t="str">
        <f>IFERROR(__xludf.DUMMYFUNCTION("""COMPUTED_VALUE"""),"hasbyalf")</f>
        <v>hasbyalf</v>
      </c>
      <c r="F20" s="281">
        <f>IFERROR(__xludf.DUMMYFUNCTION("""COMPUTED_VALUE"""),1900000.0)</f>
        <v>1900000</v>
      </c>
      <c r="G20" s="27" t="str">
        <f>IFERROR(__xludf.DUMMYFUNCTION("""COMPUTED_VALUE"""),"Mega")</f>
        <v>Mega</v>
      </c>
      <c r="H20" s="27" t="str">
        <f>IFERROR(__xludf.DUMMYFUNCTION("""COMPUTED_VALUE"""),"Bandung")</f>
        <v>Bandung</v>
      </c>
      <c r="I20" s="27" t="str">
        <f>IFERROR(__xludf.DUMMYFUNCTION("""COMPUTED_VALUE"""),"- Lifestyle Male 
- Family
- Pasutri")</f>
        <v>- Lifestyle Male 
- Family
- Pasutri</v>
      </c>
      <c r="J20" s="27"/>
      <c r="K20" s="35">
        <f>IFERROR(__xludf.DUMMYFUNCTION("""COMPUTED_VALUE"""),500000.0)</f>
        <v>500000</v>
      </c>
      <c r="L20" s="35" t="str">
        <f>IFERROR(__xludf.DUMMYFUNCTION("""COMPUTED_VALUE"""),"Rp800,000 (Free Tap Link)")</f>
        <v>Rp800,000 (Free Tap Link)</v>
      </c>
      <c r="M20" s="27"/>
      <c r="N20" s="35">
        <f>IFERROR(__xludf.DUMMYFUNCTION("""COMPUTED_VALUE"""),700000.0)</f>
        <v>700000</v>
      </c>
      <c r="O20" s="27"/>
      <c r="P20" s="35">
        <f>IFERROR(__xludf.DUMMYFUNCTION("""COMPUTED_VALUE"""),4000000.0)</f>
        <v>4000000</v>
      </c>
      <c r="Q20" s="27"/>
      <c r="R20" s="35">
        <f>IFERROR(__xludf.DUMMYFUNCTION("""COMPUTED_VALUE"""),6500000.0)</f>
        <v>6500000</v>
      </c>
      <c r="S20" s="27"/>
      <c r="T20" s="27"/>
      <c r="U20" s="27"/>
      <c r="V20" s="27"/>
      <c r="W20" s="27"/>
      <c r="X20" s="27"/>
      <c r="Y20" s="27"/>
    </row>
    <row r="21">
      <c r="A21" s="27"/>
      <c r="B21" s="33" t="str">
        <f>IFERROR(__xludf.DUMMYFUNCTION("""COMPUTED_VALUE"""),"@abellyc")</f>
        <v>@abellyc</v>
      </c>
      <c r="C21" s="281">
        <f>IFERROR(__xludf.DUMMYFUNCTION("""COMPUTED_VALUE"""),1100000.0)</f>
        <v>1100000</v>
      </c>
      <c r="D21" s="27" t="str">
        <f>IFERROR(__xludf.DUMMYFUNCTION("""COMPUTED_VALUE"""),"Mega")</f>
        <v>Mega</v>
      </c>
      <c r="E21" s="33" t="str">
        <f>IFERROR(__xludf.DUMMYFUNCTION("""COMPUTED_VALUE"""),"@abel_cantika")</f>
        <v>@abel_cantika</v>
      </c>
      <c r="F21" s="34">
        <f>IFERROR(__xludf.DUMMYFUNCTION("""COMPUTED_VALUE"""),237800.0)</f>
        <v>237800</v>
      </c>
      <c r="G21" s="27" t="str">
        <f>IFERROR(__xludf.DUMMYFUNCTION("""COMPUTED_VALUE"""),"Mid")</f>
        <v>Mid</v>
      </c>
      <c r="H21" s="27" t="str">
        <f>IFERROR(__xludf.DUMMYFUNCTION("""COMPUTED_VALUE"""),"Jakarta Timur")</f>
        <v>Jakarta Timur</v>
      </c>
      <c r="I21" s="27" t="str">
        <f>IFERROR(__xludf.DUMMYFUNCTION("""COMPUTED_VALUE"""),"- Beauty 
- Lifestyle Female
- Family")</f>
        <v>- Beauty 
- Lifestyle Female
- Family</v>
      </c>
      <c r="J21" s="27"/>
      <c r="K21" s="35">
        <f>IFERROR(__xludf.DUMMYFUNCTION("""COMPUTED_VALUE"""),1.1E7)</f>
        <v>11000000</v>
      </c>
      <c r="L21" s="35">
        <f>IFERROR(__xludf.DUMMYFUNCTION("""COMPUTED_VALUE"""),4.0E7)</f>
        <v>40000000</v>
      </c>
      <c r="M21" s="35">
        <f>IFERROR(__xludf.DUMMYFUNCTION("""COMPUTED_VALUE"""),700000.0)</f>
        <v>700000</v>
      </c>
      <c r="N21" s="35">
        <f>IFERROR(__xludf.DUMMYFUNCTION("""COMPUTED_VALUE"""),3.0E7)</f>
        <v>30000000</v>
      </c>
      <c r="O21" s="35">
        <f>IFERROR(__xludf.DUMMYFUNCTION("""COMPUTED_VALUE"""),3.3E7)</f>
        <v>33000000</v>
      </c>
      <c r="P21" s="35">
        <f>IFERROR(__xludf.DUMMYFUNCTION("""COMPUTED_VALUE"""),7.5E7)</f>
        <v>75000000</v>
      </c>
      <c r="Q21" s="27"/>
      <c r="R21" s="35">
        <f>IFERROR(__xludf.DUMMYFUNCTION("""COMPUTED_VALUE"""),6.0E7)</f>
        <v>60000000</v>
      </c>
      <c r="S21" s="35">
        <f>IFERROR(__xludf.DUMMYFUNCTION("""COMPUTED_VALUE"""),1.1E8)</f>
        <v>110000000</v>
      </c>
      <c r="T21" s="35">
        <f>IFERROR(__xludf.DUMMYFUNCTION("""COMPUTED_VALUE"""),2.5E7)</f>
        <v>25000000</v>
      </c>
      <c r="U21" s="35" t="str">
        <f>IFERROR(__xludf.DUMMYFUNCTION("""COMPUTED_VALUE"""),"Rp 30,000,000 - Rp70,000,000")</f>
        <v>Rp 30,000,000 - Rp70,000,000</v>
      </c>
      <c r="V21" s="35">
        <f>IFERROR(__xludf.DUMMYFUNCTION("""COMPUTED_VALUE"""),5000000.0)</f>
        <v>5000000</v>
      </c>
      <c r="W21" s="27" t="str">
        <f>IFERROR(__xludf.DUMMYFUNCTION("""COMPUTED_VALUE"""),"+Rp1,500,000")</f>
        <v>+Rp1,500,000</v>
      </c>
      <c r="X21" s="35">
        <f>IFERROR(__xludf.DUMMYFUNCTION("""COMPUTED_VALUE"""),2.7E7)</f>
        <v>27000000</v>
      </c>
      <c r="Y21" s="27"/>
    </row>
    <row r="22">
      <c r="A22" s="27"/>
      <c r="B22" s="33" t="str">
        <f>IFERROR(__xludf.DUMMYFUNCTION("""COMPUTED_VALUE"""),"@rachelvennya")</f>
        <v>@rachelvennya</v>
      </c>
      <c r="C22" s="281">
        <f>IFERROR(__xludf.DUMMYFUNCTION("""COMPUTED_VALUE"""),8300000.0)</f>
        <v>8300000</v>
      </c>
      <c r="D22" s="27" t="str">
        <f>IFERROR(__xludf.DUMMYFUNCTION("""COMPUTED_VALUE"""),"Mega")</f>
        <v>Mega</v>
      </c>
      <c r="E22" s="33" t="str">
        <f>IFERROR(__xludf.DUMMYFUNCTION("""COMPUTED_VALUE"""),"@rachelvennya")</f>
        <v>@rachelvennya</v>
      </c>
      <c r="F22" s="281">
        <f>IFERROR(__xludf.DUMMYFUNCTION("""COMPUTED_VALUE"""),3300000.0)</f>
        <v>3300000</v>
      </c>
      <c r="G22" s="27" t="str">
        <f>IFERROR(__xludf.DUMMYFUNCTION("""COMPUTED_VALUE"""),"Mega")</f>
        <v>Mega</v>
      </c>
      <c r="H22" s="27" t="str">
        <f>IFERROR(__xludf.DUMMYFUNCTION("""COMPUTED_VALUE"""),"Jakarta Selatan")</f>
        <v>Jakarta Selatan</v>
      </c>
      <c r="I22" s="27" t="str">
        <f>IFERROR(__xludf.DUMMYFUNCTION("""COMPUTED_VALUE"""),"-  Lifestyle Female
- Family
- Mom &amp; Kids")</f>
        <v>-  Lifestyle Female
- Family
- Mom &amp; Kids</v>
      </c>
      <c r="J22" s="27"/>
      <c r="K22" s="35">
        <f>IFERROR(__xludf.DUMMYFUNCTION("""COMPUTED_VALUE"""),1.5E7)</f>
        <v>15000000</v>
      </c>
      <c r="L22" s="35">
        <f>IFERROR(__xludf.DUMMYFUNCTION("""COMPUTED_VALUE"""),3.5E7)</f>
        <v>35000000</v>
      </c>
      <c r="M22" s="27"/>
      <c r="N22" s="35">
        <f>IFERROR(__xludf.DUMMYFUNCTION("""COMPUTED_VALUE"""),5.0E7)</f>
        <v>50000000</v>
      </c>
      <c r="O22" s="35">
        <f>IFERROR(__xludf.DUMMYFUNCTION("""COMPUTED_VALUE"""),7.0E7)</f>
        <v>70000000</v>
      </c>
      <c r="P22" s="35">
        <f>IFERROR(__xludf.DUMMYFUNCTION("""COMPUTED_VALUE"""),1.0E8)</f>
        <v>100000000</v>
      </c>
      <c r="Q22" s="27"/>
      <c r="R22" s="35">
        <f>IFERROR(__xludf.DUMMYFUNCTION("""COMPUTED_VALUE"""),1.0E8)</f>
        <v>100000000</v>
      </c>
      <c r="S22" s="27"/>
      <c r="T22" s="35">
        <f>IFERROR(__xludf.DUMMYFUNCTION("""COMPUTED_VALUE"""),1.0E8)</f>
        <v>100000000</v>
      </c>
      <c r="U22" s="27"/>
      <c r="V22" s="27"/>
      <c r="W22" s="27"/>
      <c r="X22" s="27"/>
      <c r="Y22" s="27"/>
    </row>
    <row r="23">
      <c r="A23" s="27"/>
      <c r="B23" s="33" t="str">
        <f>IFERROR(__xludf.DUMMYFUNCTION("""COMPUTED_VALUE"""),"shadirafirdausii")</f>
        <v>shadirafirdausii</v>
      </c>
      <c r="C23" s="282">
        <f>IFERROR(__xludf.DUMMYFUNCTION("""COMPUTED_VALUE"""),1800000.0)</f>
        <v>1800000</v>
      </c>
      <c r="D23" s="27" t="str">
        <f>IFERROR(__xludf.DUMMYFUNCTION("""COMPUTED_VALUE"""),"Mega")</f>
        <v>Mega</v>
      </c>
      <c r="E23" s="33" t="str">
        <f>IFERROR(__xludf.DUMMYFUNCTION("""COMPUTED_VALUE"""),"shaturday")</f>
        <v>shaturday</v>
      </c>
      <c r="F23" s="283">
        <f>IFERROR(__xludf.DUMMYFUNCTION("""COMPUTED_VALUE"""),7300000.0)</f>
        <v>7300000</v>
      </c>
      <c r="G23" s="27" t="str">
        <f>IFERROR(__xludf.DUMMYFUNCTION("""COMPUTED_VALUE"""),"Mega")</f>
        <v>Mega</v>
      </c>
      <c r="H23" s="27" t="str">
        <f>IFERROR(__xludf.DUMMYFUNCTION("""COMPUTED_VALUE"""),"Jakarta")</f>
        <v>Jakarta</v>
      </c>
      <c r="I23" s="27" t="str">
        <f>IFERROR(__xludf.DUMMYFUNCTION("""COMPUTED_VALUE"""),"-  Lifestyle Female
- Family
- Mom &amp; Kids")</f>
        <v>-  Lifestyle Female
- Family
- Mom &amp; Kids</v>
      </c>
      <c r="J23" s="27"/>
      <c r="K23" s="35">
        <f>IFERROR(__xludf.DUMMYFUNCTION("""COMPUTED_VALUE"""),1.5E7)</f>
        <v>15000000</v>
      </c>
      <c r="L23" s="35">
        <f>IFERROR(__xludf.DUMMYFUNCTION("""COMPUTED_VALUE"""),2.5E7)</f>
        <v>25000000</v>
      </c>
      <c r="M23" s="35" t="str">
        <f>IFERROR(__xludf.DUMMYFUNCTION("""COMPUTED_VALUE"""),"FREE")</f>
        <v>FREE</v>
      </c>
      <c r="N23" s="35">
        <f>IFERROR(__xludf.DUMMYFUNCTION("""COMPUTED_VALUE"""),2.5E7)</f>
        <v>25000000</v>
      </c>
      <c r="O23" s="27"/>
      <c r="P23" s="35">
        <f>IFERROR(__xludf.DUMMYFUNCTION("""COMPUTED_VALUE"""),5.0E7)</f>
        <v>50000000</v>
      </c>
      <c r="Q23" s="37">
        <f>IFERROR(__xludf.DUMMYFUNCTION("""COMPUTED_VALUE"""),0.5)</f>
        <v>0.5</v>
      </c>
      <c r="R23" s="35">
        <f>IFERROR(__xludf.DUMMYFUNCTION("""COMPUTED_VALUE"""),4.5E7)</f>
        <v>45000000</v>
      </c>
      <c r="S23" s="35">
        <f>IFERROR(__xludf.DUMMYFUNCTION("""COMPUTED_VALUE"""),6.0E7)</f>
        <v>60000000</v>
      </c>
      <c r="T23" s="27"/>
      <c r="U23" s="37">
        <f>IFERROR(__xludf.DUMMYFUNCTION("""COMPUTED_VALUE"""),1.0)</f>
        <v>1</v>
      </c>
      <c r="V23" s="37">
        <f>IFERROR(__xludf.DUMMYFUNCTION("""COMPUTED_VALUE"""),0.3)</f>
        <v>0.3</v>
      </c>
      <c r="W23" s="35">
        <f>IFERROR(__xludf.DUMMYFUNCTION("""COMPUTED_VALUE"""),5000000.0)</f>
        <v>5000000</v>
      </c>
      <c r="X23" s="35">
        <f>IFERROR(__xludf.DUMMYFUNCTION("""COMPUTED_VALUE"""),1.5E7)</f>
        <v>15000000</v>
      </c>
      <c r="Y23" s="27"/>
    </row>
    <row r="24">
      <c r="A24" s="27"/>
      <c r="B24" s="33" t="str">
        <f>IFERROR(__xludf.DUMMYFUNCTION("""COMPUTED_VALUE"""),"dewizuhriati")</f>
        <v>dewizuhriati</v>
      </c>
      <c r="C24" s="282">
        <f>IFERROR(__xludf.DUMMYFUNCTION("""COMPUTED_VALUE"""),1400000.0)</f>
        <v>1400000</v>
      </c>
      <c r="D24" s="27" t="str">
        <f>IFERROR(__xludf.DUMMYFUNCTION("""COMPUTED_VALUE"""),"Mega")</f>
        <v>Mega</v>
      </c>
      <c r="E24" s="33" t="str">
        <f>IFERROR(__xludf.DUMMYFUNCTION("""COMPUTED_VALUE"""),"dewizuhriati")</f>
        <v>dewizuhriati</v>
      </c>
      <c r="F24" s="283">
        <f>IFERROR(__xludf.DUMMYFUNCTION("""COMPUTED_VALUE"""),2800000.0)</f>
        <v>2800000</v>
      </c>
      <c r="G24" s="27" t="str">
        <f>IFERROR(__xludf.DUMMYFUNCTION("""COMPUTED_VALUE"""),"Mega")</f>
        <v>Mega</v>
      </c>
      <c r="H24" s="27" t="str">
        <f>IFERROR(__xludf.DUMMYFUNCTION("""COMPUTED_VALUE"""),"Jakarta")</f>
        <v>Jakarta</v>
      </c>
      <c r="I24" s="27" t="str">
        <f>IFERROR(__xludf.DUMMYFUNCTION("""COMPUTED_VALUE"""),"-  Lifestyle Female
- Family
- Mom &amp; Kids")</f>
        <v>-  Lifestyle Female
- Family
- Mom &amp; Kids</v>
      </c>
      <c r="J24" s="27"/>
      <c r="K24" s="35">
        <f>IFERROR(__xludf.DUMMYFUNCTION("""COMPUTED_VALUE"""),5000000.0)</f>
        <v>5000000</v>
      </c>
      <c r="L24" s="27"/>
      <c r="M24" s="35" t="str">
        <f>IFERROR(__xludf.DUMMYFUNCTION("""COMPUTED_VALUE"""),"FREE")</f>
        <v>FREE</v>
      </c>
      <c r="N24" s="35">
        <f>IFERROR(__xludf.DUMMYFUNCTION("""COMPUTED_VALUE"""),4.0E7)</f>
        <v>40000000</v>
      </c>
      <c r="O24" s="27"/>
      <c r="P24" s="35">
        <f>IFERROR(__xludf.DUMMYFUNCTION("""COMPUTED_VALUE"""),5.5E7)</f>
        <v>55000000</v>
      </c>
      <c r="Q24" s="35">
        <f>IFERROR(__xludf.DUMMYFUNCTION("""COMPUTED_VALUE"""),5000000.0)</f>
        <v>5000000</v>
      </c>
      <c r="R24" s="27"/>
      <c r="S24" s="27"/>
      <c r="T24" s="27"/>
      <c r="U24" s="27"/>
      <c r="V24" s="27"/>
      <c r="W24" s="35" t="str">
        <f>IFERROR(__xludf.DUMMYFUNCTION("""COMPUTED_VALUE"""),"FREE")</f>
        <v>FREE</v>
      </c>
      <c r="X24" s="27"/>
      <c r="Y24" s="27"/>
    </row>
    <row r="25">
      <c r="A25" s="27"/>
      <c r="B25" s="33" t="str">
        <f>IFERROR(__xludf.DUMMYFUNCTION("""COMPUTED_VALUE"""),"opah_faisal")</f>
        <v>opah_faisal</v>
      </c>
      <c r="C25" s="282">
        <f>IFERROR(__xludf.DUMMYFUNCTION("""COMPUTED_VALUE"""),1000000.0)</f>
        <v>1000000</v>
      </c>
      <c r="D25" s="27" t="str">
        <f>IFERROR(__xludf.DUMMYFUNCTION("""COMPUTED_VALUE"""),"Macro")</f>
        <v>Macro</v>
      </c>
      <c r="E25" s="33" t="str">
        <f>IFERROR(__xludf.DUMMYFUNCTION("""COMPUTED_VALUE"""),"opahgalareal")</f>
        <v>opahgalareal</v>
      </c>
      <c r="F25" s="34">
        <f>IFERROR(__xludf.DUMMYFUNCTION("""COMPUTED_VALUE"""),145000.0)</f>
        <v>145000</v>
      </c>
      <c r="G25" s="27" t="str">
        <f>IFERROR(__xludf.DUMMYFUNCTION("""COMPUTED_VALUE"""),"Mid")</f>
        <v>Mid</v>
      </c>
      <c r="H25" s="27" t="str">
        <f>IFERROR(__xludf.DUMMYFUNCTION("""COMPUTED_VALUE"""),"Jakarta")</f>
        <v>Jakarta</v>
      </c>
      <c r="I25" s="27" t="str">
        <f>IFERROR(__xludf.DUMMYFUNCTION("""COMPUTED_VALUE"""),"- Lifestyle Male
- Family")</f>
        <v>- Lifestyle Male
- Family</v>
      </c>
      <c r="J25" s="27"/>
      <c r="K25" s="35">
        <f>IFERROR(__xludf.DUMMYFUNCTION("""COMPUTED_VALUE"""),4000000.0)</f>
        <v>4000000</v>
      </c>
      <c r="L25" s="27"/>
      <c r="M25" s="27"/>
      <c r="N25" s="35">
        <f>IFERROR(__xludf.DUMMYFUNCTION("""COMPUTED_VALUE"""),3.0E7)</f>
        <v>30000000</v>
      </c>
      <c r="O25" s="27"/>
      <c r="P25" s="35">
        <f>IFERROR(__xludf.DUMMYFUNCTION("""COMPUTED_VALUE"""),4.0E7)</f>
        <v>40000000</v>
      </c>
      <c r="Q25" s="35">
        <f>IFERROR(__xludf.DUMMYFUNCTION("""COMPUTED_VALUE"""),5000000.0)</f>
        <v>5000000</v>
      </c>
      <c r="R25" s="27"/>
      <c r="S25" s="27"/>
      <c r="T25" s="27"/>
      <c r="U25" s="27"/>
      <c r="V25" s="27"/>
      <c r="W25" s="35" t="str">
        <f>IFERROR(__xludf.DUMMYFUNCTION("""COMPUTED_VALUE"""),"FREE")</f>
        <v>FREE</v>
      </c>
      <c r="X25" s="27"/>
      <c r="Y25" s="27"/>
    </row>
    <row r="26">
      <c r="A26" s="27"/>
      <c r="B26" s="33" t="str">
        <f>IFERROR(__xludf.DUMMYFUNCTION("""COMPUTED_VALUE"""),"ferra_agustina")</f>
        <v>ferra_agustina</v>
      </c>
      <c r="C26" s="34">
        <f>IFERROR(__xludf.DUMMYFUNCTION("""COMPUTED_VALUE"""),175000.0)</f>
        <v>175000</v>
      </c>
      <c r="D26" s="27" t="str">
        <f>IFERROR(__xludf.DUMMYFUNCTION("""COMPUTED_VALUE"""),"Mid")</f>
        <v>Mid</v>
      </c>
      <c r="E26" s="33" t="str">
        <f>IFERROR(__xludf.DUMMYFUNCTION("""COMPUTED_VALUE"""),"ferraagustina2")</f>
        <v>ferraagustina2</v>
      </c>
      <c r="F26" s="283">
        <f>IFERROR(__xludf.DUMMYFUNCTION("""COMPUTED_VALUE"""),2500000.0)</f>
        <v>2500000</v>
      </c>
      <c r="G26" s="27" t="str">
        <f>IFERROR(__xludf.DUMMYFUNCTION("""COMPUTED_VALUE"""),"Mega")</f>
        <v>Mega</v>
      </c>
      <c r="H26" s="27" t="str">
        <f>IFERROR(__xludf.DUMMYFUNCTION("""COMPUTED_VALUE"""),"Jakarta")</f>
        <v>Jakarta</v>
      </c>
      <c r="I26" s="27" t="str">
        <f>IFERROR(__xludf.DUMMYFUNCTION("""COMPUTED_VALUE"""),"- Lifestyle Female
- Family
- Mom &amp; Kids")</f>
        <v>- Lifestyle Female
- Family
- Mom &amp; Kids</v>
      </c>
      <c r="J26" s="35">
        <f>IFERROR(__xludf.DUMMYFUNCTION("""COMPUTED_VALUE"""),500000.0)</f>
        <v>500000</v>
      </c>
      <c r="K26" s="35">
        <f>IFERROR(__xludf.DUMMYFUNCTION("""COMPUTED_VALUE"""),1000000.0)</f>
        <v>1000000</v>
      </c>
      <c r="L26" s="35">
        <f>IFERROR(__xludf.DUMMYFUNCTION("""COMPUTED_VALUE"""),2500000.0)</f>
        <v>2500000</v>
      </c>
      <c r="M26" s="35">
        <f>IFERROR(__xludf.DUMMYFUNCTION("""COMPUTED_VALUE"""),500000.0)</f>
        <v>500000</v>
      </c>
      <c r="N26" s="35">
        <f>IFERROR(__xludf.DUMMYFUNCTION("""COMPUTED_VALUE"""),7000000.0)</f>
        <v>7000000</v>
      </c>
      <c r="O26" s="35">
        <f>IFERROR(__xludf.DUMMYFUNCTION("""COMPUTED_VALUE"""),8000000.0)</f>
        <v>8000000</v>
      </c>
      <c r="P26" s="35">
        <f>IFERROR(__xludf.DUMMYFUNCTION("""COMPUTED_VALUE"""),1.0E7)</f>
        <v>10000000</v>
      </c>
      <c r="Q26" s="35">
        <f>IFERROR(__xludf.DUMMYFUNCTION("""COMPUTED_VALUE"""),1500000.0)</f>
        <v>1500000</v>
      </c>
      <c r="R26" s="35">
        <f>IFERROR(__xludf.DUMMYFUNCTION("""COMPUTED_VALUE"""),2.5E7)</f>
        <v>25000000</v>
      </c>
      <c r="S26" s="35">
        <f>IFERROR(__xludf.DUMMYFUNCTION("""COMPUTED_VALUE"""),3.0E7)</f>
        <v>30000000</v>
      </c>
      <c r="T26" s="27"/>
      <c r="U26" s="35">
        <f>IFERROR(__xludf.DUMMYFUNCTION("""COMPUTED_VALUE"""),1.25E7)</f>
        <v>12500000</v>
      </c>
      <c r="V26" s="35">
        <f>IFERROR(__xludf.DUMMYFUNCTION("""COMPUTED_VALUE"""),2000000.0)</f>
        <v>2000000</v>
      </c>
      <c r="W26" s="35">
        <f>IFERROR(__xludf.DUMMYFUNCTION("""COMPUTED_VALUE"""),1500000.0)</f>
        <v>1500000</v>
      </c>
      <c r="X26" s="35">
        <f>IFERROR(__xludf.DUMMYFUNCTION("""COMPUTED_VALUE"""),1.0000009E7)</f>
        <v>10000009</v>
      </c>
      <c r="Y26" s="27"/>
    </row>
    <row r="27">
      <c r="A27" s="27"/>
      <c r="B27" s="33" t="str">
        <f>IFERROR(__xludf.DUMMYFUNCTION("""COMPUTED_VALUE"""),"carlenedoraa")</f>
        <v>carlenedoraa</v>
      </c>
      <c r="C27" s="34">
        <f>IFERROR(__xludf.DUMMYFUNCTION("""COMPUTED_VALUE"""),100000.0)</f>
        <v>100000</v>
      </c>
      <c r="D27" s="27" t="str">
        <f>IFERROR(__xludf.DUMMYFUNCTION("""COMPUTED_VALUE"""),"Micro")</f>
        <v>Micro</v>
      </c>
      <c r="E27" s="33" t="str">
        <f>IFERROR(__xludf.DUMMYFUNCTION("""COMPUTED_VALUE"""),"carlenedoraa")</f>
        <v>carlenedoraa</v>
      </c>
      <c r="F27" s="34">
        <f>IFERROR(__xludf.DUMMYFUNCTION("""COMPUTED_VALUE"""),409000.0)</f>
        <v>409000</v>
      </c>
      <c r="G27" s="27" t="str">
        <f>IFERROR(__xludf.DUMMYFUNCTION("""COMPUTED_VALUE"""),"Mid")</f>
        <v>Mid</v>
      </c>
      <c r="H27" s="27" t="str">
        <f>IFERROR(__xludf.DUMMYFUNCTION("""COMPUTED_VALUE"""),"Batang")</f>
        <v>Batang</v>
      </c>
      <c r="I27" s="27" t="str">
        <f>IFERROR(__xludf.DUMMYFUNCTION("""COMPUTED_VALUE"""),"- Homeliving
- Family
- Mom &amp; Kids")</f>
        <v>- Homeliving
- Family
- Mom &amp; Kids</v>
      </c>
      <c r="J27" s="27"/>
      <c r="K27" s="35">
        <f>IFERROR(__xludf.DUMMYFUNCTION("""COMPUTED_VALUE"""),1000000.0)</f>
        <v>1000000</v>
      </c>
      <c r="L27" s="27"/>
      <c r="M27" s="27"/>
      <c r="N27" s="35">
        <f>IFERROR(__xludf.DUMMYFUNCTION("""COMPUTED_VALUE"""),3000000.0)</f>
        <v>3000000</v>
      </c>
      <c r="O27" s="27"/>
      <c r="P27" s="35">
        <f>IFERROR(__xludf.DUMMYFUNCTION("""COMPUTED_VALUE"""),2000000.0)</f>
        <v>2000000</v>
      </c>
      <c r="Q27" s="27"/>
      <c r="R27" s="35">
        <f>IFERROR(__xludf.DUMMYFUNCTION("""COMPUTED_VALUE"""),3000000.0)</f>
        <v>3000000</v>
      </c>
      <c r="S27" s="35">
        <f>IFERROR(__xludf.DUMMYFUNCTION("""COMPUTED_VALUE"""),5000000.0)</f>
        <v>5000000</v>
      </c>
      <c r="T27" s="27"/>
      <c r="U27" s="27"/>
      <c r="V27" s="27"/>
      <c r="W27" s="27"/>
      <c r="X27" s="27"/>
      <c r="Y27" s="27"/>
    </row>
    <row r="28">
      <c r="A28" s="27"/>
      <c r="B28" s="33" t="str">
        <f>IFERROR(__xludf.DUMMYFUNCTION("""COMPUTED_VALUE"""),"caesadhanisa")</f>
        <v>caesadhanisa</v>
      </c>
      <c r="C28" s="34">
        <f>IFERROR(__xludf.DUMMYFUNCTION("""COMPUTED_VALUE"""),34900.0)</f>
        <v>34900</v>
      </c>
      <c r="D28" s="27" t="str">
        <f>IFERROR(__xludf.DUMMYFUNCTION("""COMPUTED_VALUE"""),"Micro")</f>
        <v>Micro</v>
      </c>
      <c r="E28" s="33" t="str">
        <f>IFERROR(__xludf.DUMMYFUNCTION("""COMPUTED_VALUE"""),"caesadhanisa")</f>
        <v>caesadhanisa</v>
      </c>
      <c r="F28" s="34">
        <f>IFERROR(__xludf.DUMMYFUNCTION("""COMPUTED_VALUE"""),141000.0)</f>
        <v>141000</v>
      </c>
      <c r="G28" s="27" t="str">
        <f>IFERROR(__xludf.DUMMYFUNCTION("""COMPUTED_VALUE"""),"Mid")</f>
        <v>Mid</v>
      </c>
      <c r="H28" s="27" t="str">
        <f>IFERROR(__xludf.DUMMYFUNCTION("""COMPUTED_VALUE"""),"Jakarta")</f>
        <v>Jakarta</v>
      </c>
      <c r="I28" s="27" t="str">
        <f>IFERROR(__xludf.DUMMYFUNCTION("""COMPUTED_VALUE"""),"- Place review,
- Family
- Mom and kids")</f>
        <v>- Place review,
- Family
- Mom and kids</v>
      </c>
      <c r="J28" s="27"/>
      <c r="K28" s="35">
        <f>IFERROR(__xludf.DUMMYFUNCTION("""COMPUTED_VALUE"""),2000000.0)</f>
        <v>2000000</v>
      </c>
      <c r="L28" s="35">
        <f>IFERROR(__xludf.DUMMYFUNCTION("""COMPUTED_VALUE"""),3500000.0)</f>
        <v>3500000</v>
      </c>
      <c r="M28" s="35">
        <f>IFERROR(__xludf.DUMMYFUNCTION("""COMPUTED_VALUE"""),500000.0)</f>
        <v>500000</v>
      </c>
      <c r="N28" s="35">
        <f>IFERROR(__xludf.DUMMYFUNCTION("""COMPUTED_VALUE"""),2500000.0)</f>
        <v>2500000</v>
      </c>
      <c r="O28" s="27"/>
      <c r="P28" s="35">
        <f>IFERROR(__xludf.DUMMYFUNCTION("""COMPUTED_VALUE"""),4000000.0)</f>
        <v>4000000</v>
      </c>
      <c r="Q28" s="35" t="str">
        <f>IFERROR(__xludf.DUMMYFUNCTION("""COMPUTED_VALUE"""),"FREE")</f>
        <v>FREE</v>
      </c>
      <c r="R28" s="35">
        <f>IFERROR(__xludf.DUMMYFUNCTION("""COMPUTED_VALUE"""),6000000.0)</f>
        <v>6000000</v>
      </c>
      <c r="S28" s="27"/>
      <c r="T28" s="27"/>
      <c r="U28" s="35">
        <f>IFERROR(__xludf.DUMMYFUNCTION("""COMPUTED_VALUE"""),5000000.0)</f>
        <v>5000000</v>
      </c>
      <c r="V28" s="35" t="str">
        <f>IFERROR(__xludf.DUMMYFUNCTION("""COMPUTED_VALUE"""),"FREE")</f>
        <v>FREE</v>
      </c>
      <c r="W28" s="35" t="str">
        <f>IFERROR(__xludf.DUMMYFUNCTION("""COMPUTED_VALUE"""),"FREE")</f>
        <v>FREE</v>
      </c>
      <c r="X28" s="35">
        <f>IFERROR(__xludf.DUMMYFUNCTION("""COMPUTED_VALUE"""),2000000.0)</f>
        <v>2000000</v>
      </c>
      <c r="Y28" s="27"/>
    </row>
    <row r="29">
      <c r="A29" s="27"/>
      <c r="B29" s="33" t="str">
        <f>IFERROR(__xludf.DUMMYFUNCTION("""COMPUTED_VALUE"""),"galyasgeulis")</f>
        <v>galyasgeulis</v>
      </c>
      <c r="C29" s="282">
        <f>IFERROR(__xludf.DUMMYFUNCTION("""COMPUTED_VALUE"""),1300000.0)</f>
        <v>1300000</v>
      </c>
      <c r="D29" s="27" t="str">
        <f>IFERROR(__xludf.DUMMYFUNCTION("""COMPUTED_VALUE"""),"Mega")</f>
        <v>Mega</v>
      </c>
      <c r="E29" s="33" t="str">
        <f>IFERROR(__xludf.DUMMYFUNCTION("""COMPUTED_VALUE"""),"galyasgeulis")</f>
        <v>galyasgeulis</v>
      </c>
      <c r="F29" s="283">
        <f>IFERROR(__xludf.DUMMYFUNCTION("""COMPUTED_VALUE"""),3300000.0)</f>
        <v>3300000</v>
      </c>
      <c r="G29" s="27" t="str">
        <f>IFERROR(__xludf.DUMMYFUNCTION("""COMPUTED_VALUE"""),"Mega")</f>
        <v>Mega</v>
      </c>
      <c r="H29" s="27" t="str">
        <f>IFERROR(__xludf.DUMMYFUNCTION("""COMPUTED_VALUE"""),"Karawang")</f>
        <v>Karawang</v>
      </c>
      <c r="I29" s="27" t="str">
        <f>IFERROR(__xludf.DUMMYFUNCTION("""COMPUTED_VALUE"""),"- Lifestyle Female
- Family
- Mom &amp; Kids")</f>
        <v>- Lifestyle Female
- Family
- Mom &amp; Kids</v>
      </c>
      <c r="J29" s="35">
        <f>IFERROR(__xludf.DUMMYFUNCTION("""COMPUTED_VALUE"""),3000000.0)</f>
        <v>3000000</v>
      </c>
      <c r="K29" s="35">
        <f>IFERROR(__xludf.DUMMYFUNCTION("""COMPUTED_VALUE"""),6000000.0)</f>
        <v>6000000</v>
      </c>
      <c r="L29" s="27"/>
      <c r="M29" s="35" t="str">
        <f>IFERROR(__xludf.DUMMYFUNCTION("""COMPUTED_VALUE"""),"FREE")</f>
        <v>FREE</v>
      </c>
      <c r="N29" s="35">
        <f>IFERROR(__xludf.DUMMYFUNCTION("""COMPUTED_VALUE"""),7000000.0)</f>
        <v>7000000</v>
      </c>
      <c r="O29" s="27"/>
      <c r="P29" s="35">
        <f>IFERROR(__xludf.DUMMYFUNCTION("""COMPUTED_VALUE"""),1.0E7)</f>
        <v>10000000</v>
      </c>
      <c r="Q29" s="35">
        <f>IFERROR(__xludf.DUMMYFUNCTION("""COMPUTED_VALUE"""),2500000.0)</f>
        <v>2500000</v>
      </c>
      <c r="R29" s="35">
        <f>IFERROR(__xludf.DUMMYFUNCTION("""COMPUTED_VALUE"""),1.5E7)</f>
        <v>15000000</v>
      </c>
      <c r="S29" s="35">
        <f>IFERROR(__xludf.DUMMYFUNCTION("""COMPUTED_VALUE"""),2.0E7)</f>
        <v>20000000</v>
      </c>
      <c r="T29" s="35">
        <f>IFERROR(__xludf.DUMMYFUNCTION("""COMPUTED_VALUE"""),2.0E7)</f>
        <v>20000000</v>
      </c>
      <c r="U29" s="35">
        <f>IFERROR(__xludf.DUMMYFUNCTION("""COMPUTED_VALUE"""),3.0E7)</f>
        <v>30000000</v>
      </c>
      <c r="V29" s="35" t="str">
        <f>IFERROR(__xludf.DUMMYFUNCTION("""COMPUTED_VALUE"""),"FREE")</f>
        <v>FREE</v>
      </c>
      <c r="W29" s="35">
        <f>IFERROR(__xludf.DUMMYFUNCTION("""COMPUTED_VALUE"""),2500000.0)</f>
        <v>2500000</v>
      </c>
      <c r="X29" s="35">
        <f>IFERROR(__xludf.DUMMYFUNCTION("""COMPUTED_VALUE"""),2500000.0)</f>
        <v>2500000</v>
      </c>
      <c r="Y29" s="27"/>
    </row>
    <row r="30">
      <c r="A30" s="27"/>
      <c r="B30" s="33" t="str">
        <f>IFERROR(__xludf.DUMMYFUNCTION("""COMPUTED_VALUE"""),"shazhaniaa")</f>
        <v>shazhaniaa</v>
      </c>
      <c r="C30" s="281">
        <f>IFERROR(__xludf.DUMMYFUNCTION("""COMPUTED_VALUE"""),1000000.0)</f>
        <v>1000000</v>
      </c>
      <c r="D30" s="27" t="str">
        <f>IFERROR(__xludf.DUMMYFUNCTION("""COMPUTED_VALUE"""),"Macro")</f>
        <v>Macro</v>
      </c>
      <c r="E30" s="33" t="str">
        <f>IFERROR(__xludf.DUMMYFUNCTION("""COMPUTED_VALUE"""),"_shaz")</f>
        <v>_shaz</v>
      </c>
      <c r="F30" s="281">
        <f>IFERROR(__xludf.DUMMYFUNCTION("""COMPUTED_VALUE"""),1000000.0)</f>
        <v>1000000</v>
      </c>
      <c r="G30" s="27" t="str">
        <f>IFERROR(__xludf.DUMMYFUNCTION("""COMPUTED_VALUE"""),"Macro")</f>
        <v>Macro</v>
      </c>
      <c r="H30" s="27" t="str">
        <f>IFERROR(__xludf.DUMMYFUNCTION("""COMPUTED_VALUE"""),"Jakarta")</f>
        <v>Jakarta</v>
      </c>
      <c r="I30" s="27" t="str">
        <f>IFERROR(__xludf.DUMMYFUNCTION("""COMPUTED_VALUE"""),"- Lifestyle Female
- Beauty
- Pasutri
- Family")</f>
        <v>- Lifestyle Female
- Beauty
- Pasutri
- Family</v>
      </c>
      <c r="J30" s="27"/>
      <c r="K30" s="35">
        <f>IFERROR(__xludf.DUMMYFUNCTION("""COMPUTED_VALUE"""),1.0E7)</f>
        <v>10000000</v>
      </c>
      <c r="L30" s="35">
        <f>IFERROR(__xludf.DUMMYFUNCTION("""COMPUTED_VALUE"""),2.1E7)</f>
        <v>21000000</v>
      </c>
      <c r="M30" s="35" t="str">
        <f>IFERROR(__xludf.DUMMYFUNCTION("""COMPUTED_VALUE"""),"FREE")</f>
        <v>FREE</v>
      </c>
      <c r="N30" s="35">
        <f>IFERROR(__xludf.DUMMYFUNCTION("""COMPUTED_VALUE"""),2.7E7)</f>
        <v>27000000</v>
      </c>
      <c r="O30" s="35">
        <f>IFERROR(__xludf.DUMMYFUNCTION("""COMPUTED_VALUE"""),5000000.0)</f>
        <v>5000000</v>
      </c>
      <c r="P30" s="35" t="str">
        <f>IFERROR(__xludf.DUMMYFUNCTION("""COMPUTED_VALUE"""),"Rp36,000,000
Rp38,000,000 (professional cam)")</f>
        <v>Rp36,000,000
Rp38,000,000 (professional cam)</v>
      </c>
      <c r="Q30" s="35">
        <f>IFERROR(__xludf.DUMMYFUNCTION("""COMPUTED_VALUE"""),8000000.0)</f>
        <v>8000000</v>
      </c>
      <c r="R30" s="35">
        <f>IFERROR(__xludf.DUMMYFUNCTION("""COMPUTED_VALUE"""),3.0E7)</f>
        <v>30000000</v>
      </c>
      <c r="S30" s="35">
        <f>IFERROR(__xludf.DUMMYFUNCTION("""COMPUTED_VALUE"""),5.0E7)</f>
        <v>50000000</v>
      </c>
      <c r="T30" s="35">
        <f>IFERROR(__xludf.DUMMYFUNCTION("""COMPUTED_VALUE"""),3.0E7)</f>
        <v>30000000</v>
      </c>
      <c r="U30" s="37">
        <f>IFERROR(__xludf.DUMMYFUNCTION("""COMPUTED_VALUE"""),0.5)</f>
        <v>0.5</v>
      </c>
      <c r="V30" s="37">
        <f>IFERROR(__xludf.DUMMYFUNCTION("""COMPUTED_VALUE"""),0.35)</f>
        <v>0.35</v>
      </c>
      <c r="W30" s="27"/>
      <c r="X30" s="35" t="str">
        <f>IFERROR(__xludf.DUMMYFUNCTION("""COMPUTED_VALUE"""),"Rp10,000,000 (Jakarta)
Rp12,000,000 (outside Jakarta)
2 hours max")</f>
        <v>Rp10,000,000 (Jakarta)
Rp12,000,000 (outside Jakarta)
2 hours max</v>
      </c>
      <c r="Y30" s="27"/>
    </row>
    <row r="31">
      <c r="A31" s="27"/>
      <c r="B31" s="33" t="str">
        <f>IFERROR(__xludf.DUMMYFUNCTION("""COMPUTED_VALUE"""),"apiipp")</f>
        <v>apiipp</v>
      </c>
      <c r="C31" s="281">
        <f>IFERROR(__xludf.DUMMYFUNCTION("""COMPUTED_VALUE"""),1900000.0)</f>
        <v>1900000</v>
      </c>
      <c r="D31" s="27" t="str">
        <f>IFERROR(__xludf.DUMMYFUNCTION("""COMPUTED_VALUE"""),"Mega")</f>
        <v>Mega</v>
      </c>
      <c r="E31" s="33" t="str">
        <f>IFERROR(__xludf.DUMMYFUNCTION("""COMPUTED_VALUE"""),"apiipp1294")</f>
        <v>apiipp1294</v>
      </c>
      <c r="F31" s="281">
        <f>IFERROR(__xludf.DUMMYFUNCTION("""COMPUTED_VALUE"""),1300000.0)</f>
        <v>1300000</v>
      </c>
      <c r="G31" s="27" t="str">
        <f>IFERROR(__xludf.DUMMYFUNCTION("""COMPUTED_VALUE"""),"Mega")</f>
        <v>Mega</v>
      </c>
      <c r="H31" s="27" t="str">
        <f>IFERROR(__xludf.DUMMYFUNCTION("""COMPUTED_VALUE"""),"Jakarta")</f>
        <v>Jakarta</v>
      </c>
      <c r="I31" s="27" t="str">
        <f>IFERROR(__xludf.DUMMYFUNCTION("""COMPUTED_VALUE"""),"- Lifestlye Male
- Gaming
- Family")</f>
        <v>- Lifestlye Male
- Gaming
- Family</v>
      </c>
      <c r="J31" s="27"/>
      <c r="K31" s="35">
        <f>IFERROR(__xludf.DUMMYFUNCTION("""COMPUTED_VALUE"""),5000000.0)</f>
        <v>5000000</v>
      </c>
      <c r="L31" s="35">
        <f>IFERROR(__xludf.DUMMYFUNCTION("""COMPUTED_VALUE"""),9000000.0)</f>
        <v>9000000</v>
      </c>
      <c r="M31" s="27"/>
      <c r="N31" s="35">
        <f>IFERROR(__xludf.DUMMYFUNCTION("""COMPUTED_VALUE"""),1.2E7)</f>
        <v>12000000</v>
      </c>
      <c r="O31" s="27"/>
      <c r="P31" s="35">
        <f>IFERROR(__xludf.DUMMYFUNCTION("""COMPUTED_VALUE"""),2.5E7)</f>
        <v>25000000</v>
      </c>
      <c r="Q31" s="35" t="str">
        <f>IFERROR(__xludf.DUMMYFUNCTION("""COMPUTED_VALUE"""),"FREE")</f>
        <v>FREE</v>
      </c>
      <c r="R31" s="35">
        <f>IFERROR(__xludf.DUMMYFUNCTION("""COMPUTED_VALUE"""),1.5E7)</f>
        <v>15000000</v>
      </c>
      <c r="S31" s="35">
        <f>IFERROR(__xludf.DUMMYFUNCTION("""COMPUTED_VALUE"""),3.0E7)</f>
        <v>30000000</v>
      </c>
      <c r="T31" s="27"/>
      <c r="U31" s="37">
        <f>IFERROR(__xludf.DUMMYFUNCTION("""COMPUTED_VALUE"""),1.0)</f>
        <v>1</v>
      </c>
      <c r="V31" s="37">
        <f>IFERROR(__xludf.DUMMYFUNCTION("""COMPUTED_VALUE"""),0.3)</f>
        <v>0.3</v>
      </c>
      <c r="W31" s="27"/>
      <c r="X31" s="27"/>
      <c r="Y31" s="27"/>
    </row>
    <row r="32">
      <c r="A32" s="27"/>
      <c r="B32" s="33" t="str">
        <f>IFERROR(__xludf.DUMMYFUNCTION("""COMPUTED_VALUE"""),"syafira_hdd")</f>
        <v>syafira_hdd</v>
      </c>
      <c r="C32" s="281">
        <f>IFERROR(__xludf.DUMMYFUNCTION("""COMPUTED_VALUE"""),2100000.0)</f>
        <v>2100000</v>
      </c>
      <c r="D32" s="27" t="str">
        <f>IFERROR(__xludf.DUMMYFUNCTION("""COMPUTED_VALUE"""),"Mega")</f>
        <v>Mega</v>
      </c>
      <c r="E32" s="36" t="str">
        <f>IFERROR(__xludf.DUMMYFUNCTION("""COMPUTED_VALUE"""),"ndhiraa07")</f>
        <v>ndhiraa07</v>
      </c>
      <c r="F32" s="281">
        <f>IFERROR(__xludf.DUMMYFUNCTION("""COMPUTED_VALUE"""),9200000.0)</f>
        <v>9200000</v>
      </c>
      <c r="G32" s="27" t="str">
        <f>IFERROR(__xludf.DUMMYFUNCTION("""COMPUTED_VALUE"""),"Mega")</f>
        <v>Mega</v>
      </c>
      <c r="H32" s="27" t="str">
        <f>IFERROR(__xludf.DUMMYFUNCTION("""COMPUTED_VALUE"""),"Tangerang Selatan")</f>
        <v>Tangerang Selatan</v>
      </c>
      <c r="I32" s="27" t="str">
        <f>IFERROR(__xludf.DUMMYFUNCTION("""COMPUTED_VALUE"""),"-  Lifestyle Female
- Family
- Mom &amp; Kids")</f>
        <v>-  Lifestyle Female
- Family
- Mom &amp; Kids</v>
      </c>
      <c r="J32" s="27"/>
      <c r="K32" s="35">
        <f>IFERROR(__xludf.DUMMYFUNCTION("""COMPUTED_VALUE"""),1.5E7)</f>
        <v>15000000</v>
      </c>
      <c r="L32" s="35">
        <f>IFERROR(__xludf.DUMMYFUNCTION("""COMPUTED_VALUE"""),2.7E7)</f>
        <v>27000000</v>
      </c>
      <c r="M32" s="35" t="str">
        <f>IFERROR(__xludf.DUMMYFUNCTION("""COMPUTED_VALUE"""),"FREE")</f>
        <v>FREE</v>
      </c>
      <c r="N32" s="35">
        <f>IFERROR(__xludf.DUMMYFUNCTION("""COMPUTED_VALUE"""),3.0E7)</f>
        <v>30000000</v>
      </c>
      <c r="O32" s="35">
        <f>IFERROR(__xludf.DUMMYFUNCTION("""COMPUTED_VALUE"""),3.1E7)</f>
        <v>31000000</v>
      </c>
      <c r="P32" s="35">
        <f>IFERROR(__xludf.DUMMYFUNCTION("""COMPUTED_VALUE"""),4.0E7)</f>
        <v>40000000</v>
      </c>
      <c r="Q32" s="35">
        <f>IFERROR(__xludf.DUMMYFUNCTION("""COMPUTED_VALUE"""),2.5E7)</f>
        <v>25000000</v>
      </c>
      <c r="R32" s="35">
        <f>IFERROR(__xludf.DUMMYFUNCTION("""COMPUTED_VALUE"""),6.0E7)</f>
        <v>60000000</v>
      </c>
      <c r="S32" s="35">
        <f>IFERROR(__xludf.DUMMYFUNCTION("""COMPUTED_VALUE"""),2.5E7)</f>
        <v>25000000</v>
      </c>
      <c r="T32" s="35">
        <f>IFERROR(__xludf.DUMMYFUNCTION("""COMPUTED_VALUE"""),5.5E7)</f>
        <v>55000000</v>
      </c>
      <c r="U32" s="37">
        <f>IFERROR(__xludf.DUMMYFUNCTION("""COMPUTED_VALUE"""),1.0)</f>
        <v>1</v>
      </c>
      <c r="V32" s="35">
        <f>IFERROR(__xludf.DUMMYFUNCTION("""COMPUTED_VALUE"""),1.5E7)</f>
        <v>15000000</v>
      </c>
      <c r="W32" s="27"/>
      <c r="X32" s="27"/>
      <c r="Y32" s="27"/>
    </row>
    <row r="33">
      <c r="A33" s="27"/>
      <c r="B33" s="33" t="str">
        <f>IFERROR(__xludf.DUMMYFUNCTION("""COMPUTED_VALUE"""),"sandrofahdhipa")</f>
        <v>sandrofahdhipa</v>
      </c>
      <c r="C33" s="34">
        <f>IFERROR(__xludf.DUMMYFUNCTION("""COMPUTED_VALUE"""),104000.0)</f>
        <v>104000</v>
      </c>
      <c r="D33" s="35" t="str">
        <f>IFERROR(__xludf.DUMMYFUNCTION("""COMPUTED_VALUE"""),"Mid")</f>
        <v>Mid</v>
      </c>
      <c r="E33" s="36" t="str">
        <f>IFERROR(__xludf.DUMMYFUNCTION("""COMPUTED_VALUE"""),"dhip___")</f>
        <v>dhip___</v>
      </c>
      <c r="F33" s="34">
        <f>IFERROR(__xludf.DUMMYFUNCTION("""COMPUTED_VALUE"""),41300.0)</f>
        <v>41300</v>
      </c>
      <c r="G33" s="35" t="str">
        <f>IFERROR(__xludf.DUMMYFUNCTION("""COMPUTED_VALUE"""),"Micro")</f>
        <v>Micro</v>
      </c>
      <c r="H33" s="27" t="str">
        <f>IFERROR(__xludf.DUMMYFUNCTION("""COMPUTED_VALUE"""),"Bekasi")</f>
        <v>Bekasi</v>
      </c>
      <c r="I33" s="27" t="str">
        <f>IFERROR(__xludf.DUMMYFUNCTION("""COMPUTED_VALUE"""),"- Lifestyle Male
- Family
- Fashion Pria")</f>
        <v>- Lifestyle Male
- Family
- Fashion Pria</v>
      </c>
      <c r="J33" s="27"/>
      <c r="K33" s="35">
        <f>IFERROR(__xludf.DUMMYFUNCTION("""COMPUTED_VALUE"""),2500000.0)</f>
        <v>2500000</v>
      </c>
      <c r="L33" s="35">
        <f>IFERROR(__xludf.DUMMYFUNCTION("""COMPUTED_VALUE"""),5000000.0)</f>
        <v>5000000</v>
      </c>
      <c r="M33" s="35" t="str">
        <f>IFERROR(__xludf.DUMMYFUNCTION("""COMPUTED_VALUE"""),"FREE")</f>
        <v>FREE</v>
      </c>
      <c r="N33" s="35">
        <f>IFERROR(__xludf.DUMMYFUNCTION("""COMPUTED_VALUE"""),3500000.0)</f>
        <v>3500000</v>
      </c>
      <c r="O33" s="27"/>
      <c r="P33" s="35">
        <f>IFERROR(__xludf.DUMMYFUNCTION("""COMPUTED_VALUE"""),7500000.0)</f>
        <v>7500000</v>
      </c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7"/>
      <c r="B34" s="33" t="str">
        <f>IFERROR(__xludf.DUMMYFUNCTION("""COMPUTED_VALUE"""),"fadiljaidi")</f>
        <v>fadiljaidi</v>
      </c>
      <c r="C34" s="281">
        <f>IFERROR(__xludf.DUMMYFUNCTION("""COMPUTED_VALUE"""),1.39E7)</f>
        <v>13900000</v>
      </c>
      <c r="D34" s="35" t="str">
        <f>IFERROR(__xludf.DUMMYFUNCTION("""COMPUTED_VALUE"""),"Mega")</f>
        <v>Mega</v>
      </c>
      <c r="E34" s="36" t="str">
        <f>IFERROR(__xludf.DUMMYFUNCTION("""COMPUTED_VALUE"""),"fadiljaidi")</f>
        <v>fadiljaidi</v>
      </c>
      <c r="F34" s="281">
        <f>IFERROR(__xludf.DUMMYFUNCTION("""COMPUTED_VALUE"""),1.63E7)</f>
        <v>16300000</v>
      </c>
      <c r="G34" s="35" t="str">
        <f>IFERROR(__xludf.DUMMYFUNCTION("""COMPUTED_VALUE"""),"Mega")</f>
        <v>Mega</v>
      </c>
      <c r="H34" s="27" t="str">
        <f>IFERROR(__xludf.DUMMYFUNCTION("""COMPUTED_VALUE"""),"Bekasi")</f>
        <v>Bekasi</v>
      </c>
      <c r="I34" s="27" t="str">
        <f>IFERROR(__xludf.DUMMYFUNCTION("""COMPUTED_VALUE"""),"- Lifestyle Male
- Family
- Comedy")</f>
        <v>- Lifestyle Male
- Family
- Comedy</v>
      </c>
      <c r="J34" s="27"/>
      <c r="K34" s="35">
        <f>IFERROR(__xludf.DUMMYFUNCTION("""COMPUTED_VALUE"""),3.0E7)</f>
        <v>30000000</v>
      </c>
      <c r="L34" s="35">
        <f>IFERROR(__xludf.DUMMYFUNCTION("""COMPUTED_VALUE"""),1.0E8)</f>
        <v>100000000</v>
      </c>
      <c r="M34" s="35" t="str">
        <f>IFERROR(__xludf.DUMMYFUNCTION("""COMPUTED_VALUE"""),"FREE")</f>
        <v>FREE</v>
      </c>
      <c r="N34" s="35">
        <f>IFERROR(__xludf.DUMMYFUNCTION("""COMPUTED_VALUE"""),7.0E7)</f>
        <v>70000000</v>
      </c>
      <c r="O34" s="35">
        <f>IFERROR(__xludf.DUMMYFUNCTION("""COMPUTED_VALUE"""),1.0E8)</f>
        <v>100000000</v>
      </c>
      <c r="P34" s="35">
        <f>IFERROR(__xludf.DUMMYFUNCTION("""COMPUTED_VALUE"""),1.1E8)</f>
        <v>110000000</v>
      </c>
      <c r="Q34" s="27"/>
      <c r="R34" s="35">
        <f>IFERROR(__xludf.DUMMYFUNCTION("""COMPUTED_VALUE"""),1.1E8)</f>
        <v>110000000</v>
      </c>
      <c r="S34" s="35">
        <f>IFERROR(__xludf.DUMMYFUNCTION("""COMPUTED_VALUE"""),1.95E8)</f>
        <v>195000000</v>
      </c>
      <c r="T34" s="27"/>
      <c r="U34" s="27"/>
      <c r="V34" s="27"/>
      <c r="W34" s="27"/>
      <c r="X34" s="27"/>
      <c r="Y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17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  <hyperlink r:id="rId47" ref="B27"/>
    <hyperlink r:id="rId48" ref="E27"/>
    <hyperlink r:id="rId49" ref="B28"/>
    <hyperlink r:id="rId50" ref="E28"/>
    <hyperlink r:id="rId51" ref="B29"/>
    <hyperlink r:id="rId52" ref="E29"/>
    <hyperlink r:id="rId53" ref="B30"/>
    <hyperlink r:id="rId54" ref="E30"/>
    <hyperlink r:id="rId55" ref="B31"/>
    <hyperlink r:id="rId56" ref="E31"/>
    <hyperlink r:id="rId57" ref="B32"/>
    <hyperlink r:id="rId58" ref="E32"/>
    <hyperlink r:id="rId59" ref="B33"/>
    <hyperlink r:id="rId60" ref="E33"/>
    <hyperlink r:id="rId61" ref="B34"/>
    <hyperlink r:id="rId62" ref="E34"/>
  </hyperlinks>
  <drawing r:id="rId6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""Pasutri!A4:Y999"")"),1.0)</f>
        <v>1</v>
      </c>
      <c r="B4" s="18" t="str">
        <f>IFERROR(__xludf.DUMMYFUNCTION("""COMPUTED_VALUE"""),"hesfinatia")</f>
        <v>hesfinatia</v>
      </c>
      <c r="C4" s="19">
        <f>IFERROR(__xludf.DUMMYFUNCTION("""COMPUTED_VALUE"""),1200000.0)</f>
        <v>1200000</v>
      </c>
      <c r="D4" s="17" t="str">
        <f>IFERROR(__xludf.DUMMYFUNCTION("""COMPUTED_VALUE"""),"Mega")</f>
        <v>Mega</v>
      </c>
      <c r="E4" s="18" t="str">
        <f>IFERROR(__xludf.DUMMYFUNCTION("""COMPUTED_VALUE"""),"hesfinatia")</f>
        <v>hesfinatia</v>
      </c>
      <c r="F4" s="19">
        <f>IFERROR(__xludf.DUMMYFUNCTION("""COMPUTED_VALUE"""),1.48E7)</f>
        <v>14800000</v>
      </c>
      <c r="G4" s="17" t="str">
        <f>IFERROR(__xludf.DUMMYFUNCTION("""COMPUTED_VALUE"""),"Mega")</f>
        <v>Mega</v>
      </c>
      <c r="H4" s="17" t="str">
        <f>IFERROR(__xludf.DUMMYFUNCTION("""COMPUTED_VALUE"""),"Bandung")</f>
        <v>Bandung</v>
      </c>
      <c r="I4" s="17" t="str">
        <f>IFERROR(__xludf.DUMMYFUNCTION("""COMPUTED_VALUE"""),"- Lifestyle Female
- Pasutri
- Family")</f>
        <v>- Lifestyle Female
- Pasutri
- Family</v>
      </c>
      <c r="J4" s="20">
        <f>IFERROR(__xludf.DUMMYFUNCTION("""COMPUTED_VALUE"""),1500000.0)</f>
        <v>1500000</v>
      </c>
      <c r="K4" s="17"/>
      <c r="L4" s="20">
        <f>IFERROR(__xludf.DUMMYFUNCTION("""COMPUTED_VALUE"""),4500000.0)</f>
        <v>4500000</v>
      </c>
      <c r="M4" s="20" t="str">
        <f>IFERROR(__xludf.DUMMYFUNCTION("""COMPUTED_VALUE"""),"FREE")</f>
        <v>FREE</v>
      </c>
      <c r="N4" s="17"/>
      <c r="O4" s="20">
        <f>IFERROR(__xludf.DUMMYFUNCTION("""COMPUTED_VALUE"""),1.0E7)</f>
        <v>10000000</v>
      </c>
      <c r="P4" s="20">
        <f>IFERROR(__xludf.DUMMYFUNCTION("""COMPUTED_VALUE"""),1.7E7)</f>
        <v>17000000</v>
      </c>
      <c r="Q4" s="17"/>
      <c r="R4" s="20">
        <f>IFERROR(__xludf.DUMMYFUNCTION("""COMPUTED_VALUE"""),2.5E7)</f>
        <v>25000000</v>
      </c>
      <c r="S4" s="20">
        <f>IFERROR(__xludf.DUMMYFUNCTION("""COMPUTED_VALUE"""),3.3E7)</f>
        <v>33000000</v>
      </c>
      <c r="T4" s="17"/>
      <c r="U4" s="21">
        <f>IFERROR(__xludf.DUMMYFUNCTION("""COMPUTED_VALUE"""),0.5)</f>
        <v>0.5</v>
      </c>
      <c r="V4" s="17"/>
      <c r="W4" s="17"/>
      <c r="X4" s="17"/>
      <c r="Y4" s="20">
        <f>IFERROR(__xludf.DUMMYFUNCTION("""COMPUTED_VALUE"""),1.4E7)</f>
        <v>14000000</v>
      </c>
    </row>
    <row r="5">
      <c r="A5" s="17">
        <f>IFERROR(__xludf.DUMMYFUNCTION("""COMPUTED_VALUE"""),2.0)</f>
        <v>2</v>
      </c>
      <c r="B5" s="18" t="str">
        <f>IFERROR(__xludf.DUMMYFUNCTION("""COMPUTED_VALUE"""),"gelialinn")</f>
        <v>gelialinn</v>
      </c>
      <c r="C5" s="19">
        <f>IFERROR(__xludf.DUMMYFUNCTION("""COMPUTED_VALUE"""),1000000.0)</f>
        <v>1000000</v>
      </c>
      <c r="D5" s="17" t="str">
        <f>IFERROR(__xludf.DUMMYFUNCTION("""COMPUTED_VALUE"""),"Macro")</f>
        <v>Macro</v>
      </c>
      <c r="E5" s="18" t="str">
        <f>IFERROR(__xludf.DUMMYFUNCTION("""COMPUTED_VALUE"""),"gelialinda")</f>
        <v>gelialinda</v>
      </c>
      <c r="F5" s="19">
        <f>IFERROR(__xludf.DUMMYFUNCTION("""COMPUTED_VALUE"""),4800000.0)</f>
        <v>4800000</v>
      </c>
      <c r="G5" s="17" t="str">
        <f>IFERROR(__xludf.DUMMYFUNCTION("""COMPUTED_VALUE"""),"Mega")</f>
        <v>Mega</v>
      </c>
      <c r="H5" s="17" t="str">
        <f>IFERROR(__xludf.DUMMYFUNCTION("""COMPUTED_VALUE"""),"Tasikmalaya")</f>
        <v>Tasikmalaya</v>
      </c>
      <c r="I5" s="17" t="str">
        <f>IFERROR(__xludf.DUMMYFUNCTION("""COMPUTED_VALUE"""),"- Lifestyle Female 
- Pasutri
- Family
- Mom &amp; Kids")</f>
        <v>- Lifestyle Female 
- Pasutri
- Family
- Mom &amp; Kids</v>
      </c>
      <c r="J5" s="20">
        <f>IFERROR(__xludf.DUMMYFUNCTION("""COMPUTED_VALUE"""),6000000.0)</f>
        <v>6000000</v>
      </c>
      <c r="K5" s="20">
        <f>IFERROR(__xludf.DUMMYFUNCTION("""COMPUTED_VALUE"""),6000000.0)</f>
        <v>6000000</v>
      </c>
      <c r="L5" s="20">
        <f>IFERROR(__xludf.DUMMYFUNCTION("""COMPUTED_VALUE"""),8000000.0)</f>
        <v>8000000</v>
      </c>
      <c r="M5" s="20">
        <f>IFERROR(__xludf.DUMMYFUNCTION("""COMPUTED_VALUE"""),500000.0)</f>
        <v>500000</v>
      </c>
      <c r="N5" s="20">
        <f>IFERROR(__xludf.DUMMYFUNCTION("""COMPUTED_VALUE"""),8000000.0)</f>
        <v>8000000</v>
      </c>
      <c r="O5" s="20">
        <f>IFERROR(__xludf.DUMMYFUNCTION("""COMPUTED_VALUE"""),8500000.0)</f>
        <v>8500000</v>
      </c>
      <c r="P5" s="20">
        <f>IFERROR(__xludf.DUMMYFUNCTION("""COMPUTED_VALUE"""),2.5E7)</f>
        <v>25000000</v>
      </c>
      <c r="Q5" s="20">
        <f>IFERROR(__xludf.DUMMYFUNCTION("""COMPUTED_VALUE"""),500000.0)</f>
        <v>500000</v>
      </c>
      <c r="R5" s="20">
        <f>IFERROR(__xludf.DUMMYFUNCTION("""COMPUTED_VALUE"""),3.0E7)</f>
        <v>30000000</v>
      </c>
      <c r="S5" s="20">
        <f>IFERROR(__xludf.DUMMYFUNCTION("""COMPUTED_VALUE"""),1.0E7)</f>
        <v>10000000</v>
      </c>
      <c r="T5" s="20">
        <f>IFERROR(__xludf.DUMMYFUNCTION("""COMPUTED_VALUE"""),7000000.0)</f>
        <v>7000000</v>
      </c>
      <c r="U5" s="21">
        <f>IFERROR(__xludf.DUMMYFUNCTION("""COMPUTED_VALUE"""),0.5)</f>
        <v>0.5</v>
      </c>
      <c r="V5" s="20">
        <f>IFERROR(__xludf.DUMMYFUNCTION("""COMPUTED_VALUE"""),2000000.0)</f>
        <v>2000000</v>
      </c>
      <c r="W5" s="20">
        <f>IFERROR(__xludf.DUMMYFUNCTION("""COMPUTED_VALUE"""),2000000.0)</f>
        <v>2000000</v>
      </c>
      <c r="X5" s="20">
        <f>IFERROR(__xludf.DUMMYFUNCTION("""COMPUTED_VALUE"""),1.0E7)</f>
        <v>10000000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IFERROR(__xludf.DUMMYFUNCTION("""COMPUTED_VALUE"""),"imasfahriaty_")</f>
        <v>imasfahriaty_</v>
      </c>
      <c r="C6" s="23">
        <f>IFERROR(__xludf.DUMMYFUNCTION("""COMPUTED_VALUE"""),879000.0)</f>
        <v>879000</v>
      </c>
      <c r="D6" s="17" t="str">
        <f>IFERROR(__xludf.DUMMYFUNCTION("""COMPUTED_VALUE"""),"Macro")</f>
        <v>Macro</v>
      </c>
      <c r="E6" s="18" t="str">
        <f>IFERROR(__xludf.DUMMYFUNCTION("""COMPUTED_VALUE"""),"imasfahriaty_")</f>
        <v>imasfahriaty_</v>
      </c>
      <c r="F6" s="19">
        <f>IFERROR(__xludf.DUMMYFUNCTION("""COMPUTED_VALUE"""),3800000.0)</f>
        <v>3800000</v>
      </c>
      <c r="G6" s="17" t="str">
        <f>IFERROR(__xludf.DUMMYFUNCTION("""COMPUTED_VALUE"""),"Mega")</f>
        <v>Mega</v>
      </c>
      <c r="H6" s="17" t="str">
        <f>IFERROR(__xludf.DUMMYFUNCTION("""COMPUTED_VALUE"""),"Tangerang")</f>
        <v>Tangerang</v>
      </c>
      <c r="I6" s="17" t="str">
        <f>IFERROR(__xludf.DUMMYFUNCTION("""COMPUTED_VALUE"""),"- Lifestyle Female 
- Pasutri
- Family
- Mom &amp; Kids")</f>
        <v>- Lifestyle Female 
- Pasutri
- Family
- Mom &amp; Kids</v>
      </c>
      <c r="J6" s="20">
        <f>IFERROR(__xludf.DUMMYFUNCTION("""COMPUTED_VALUE"""),2000000.0)</f>
        <v>2000000</v>
      </c>
      <c r="K6" s="20">
        <f>IFERROR(__xludf.DUMMYFUNCTION("""COMPUTED_VALUE"""),3500000.0)</f>
        <v>3500000</v>
      </c>
      <c r="L6" s="20">
        <f>IFERROR(__xludf.DUMMYFUNCTION("""COMPUTED_VALUE"""),5000000.0)</f>
        <v>5000000</v>
      </c>
      <c r="M6" s="20" t="str">
        <f>IFERROR(__xludf.DUMMYFUNCTION("""COMPUTED_VALUE"""),"FREE")</f>
        <v>FREE</v>
      </c>
      <c r="N6" s="20">
        <f>IFERROR(__xludf.DUMMYFUNCTION("""COMPUTED_VALUE"""),6000000.0)</f>
        <v>6000000</v>
      </c>
      <c r="O6" s="20">
        <f>IFERROR(__xludf.DUMMYFUNCTION("""COMPUTED_VALUE"""),1.0E7)</f>
        <v>10000000</v>
      </c>
      <c r="P6" s="20">
        <f>IFERROR(__xludf.DUMMYFUNCTION("""COMPUTED_VALUE"""),1.5E7)</f>
        <v>15000000</v>
      </c>
      <c r="Q6" s="20">
        <f>IFERROR(__xludf.DUMMYFUNCTION("""COMPUTED_VALUE"""),1000000.0)</f>
        <v>1000000</v>
      </c>
      <c r="R6" s="20">
        <f>IFERROR(__xludf.DUMMYFUNCTION("""COMPUTED_VALUE"""),1.6E7)</f>
        <v>16000000</v>
      </c>
      <c r="S6" s="20">
        <f>IFERROR(__xludf.DUMMYFUNCTION("""COMPUTED_VALUE"""),2.0E7)</f>
        <v>20000000</v>
      </c>
      <c r="T6" s="20" t="str">
        <f>IFERROR(__xludf.DUMMYFUNCTION("""COMPUTED_VALUE"""),"-")</f>
        <v>-</v>
      </c>
      <c r="U6" s="20" t="str">
        <f>IFERROR(__xludf.DUMMYFUNCTION("""COMPUTED_VALUE"""),"100% ratecard")</f>
        <v>100% ratecard</v>
      </c>
      <c r="V6" s="20" t="str">
        <f>IFERROR(__xludf.DUMMYFUNCTION("""COMPUTED_VALUE"""),"FREE")</f>
        <v>FREE</v>
      </c>
      <c r="W6" s="20">
        <f>IFERROR(__xludf.DUMMYFUNCTION("""COMPUTED_VALUE"""),1000000.0)</f>
        <v>1000000</v>
      </c>
      <c r="X6" s="20" t="str">
        <f>IFERROR(__xludf.DUMMYFUNCTION("""COMPUTED_VALUE"""),"Rp1,000,000 (Jabodetabek) Rp2,000,000 (Luar Jabodetabek)")</f>
        <v>Rp1,000,000 (Jabodetabek) Rp2,000,000 (Luar Jabodetabek)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IFERROR(__xludf.DUMMYFUNCTION("""COMPUTED_VALUE"""),"kekevaangelista")</f>
        <v>kekevaangelista</v>
      </c>
      <c r="C7" s="23">
        <f>IFERROR(__xludf.DUMMYFUNCTION("""COMPUTED_VALUE"""),708000.0)</f>
        <v>708000</v>
      </c>
      <c r="D7" s="17" t="str">
        <f>IFERROR(__xludf.DUMMYFUNCTION("""COMPUTED_VALUE"""),"Macro")</f>
        <v>Macro</v>
      </c>
      <c r="E7" s="18" t="str">
        <f>IFERROR(__xludf.DUMMYFUNCTION("""COMPUTED_VALUE"""),"kekevaangelista")</f>
        <v>kekevaangelista</v>
      </c>
      <c r="F7" s="19">
        <f>IFERROR(__xludf.DUMMYFUNCTION("""COMPUTED_VALUE"""),1000000.0)</f>
        <v>1000000</v>
      </c>
      <c r="G7" s="17" t="str">
        <f>IFERROR(__xludf.DUMMYFUNCTION("""COMPUTED_VALUE"""),"Macro")</f>
        <v>Macro</v>
      </c>
      <c r="H7" s="17" t="str">
        <f>IFERROR(__xludf.DUMMYFUNCTION("""COMPUTED_VALUE"""),"Bogor")</f>
        <v>Bogor</v>
      </c>
      <c r="I7" s="17" t="str">
        <f>IFERROR(__xludf.DUMMYFUNCTION("""COMPUTED_VALUE"""),"- Lifestyle Female 
- Pasutri
- Family
- Mom &amp; Kids")</f>
        <v>- Lifestyle Female 
- Pasutri
- Family
- Mom &amp; Kids</v>
      </c>
      <c r="J7" s="20">
        <f>IFERROR(__xludf.DUMMYFUNCTION("""COMPUTED_VALUE"""),2500000.0)</f>
        <v>2500000</v>
      </c>
      <c r="K7" s="20">
        <f>IFERROR(__xludf.DUMMYFUNCTION("""COMPUTED_VALUE"""),2500000.0)</f>
        <v>2500000</v>
      </c>
      <c r="L7" s="20">
        <f>IFERROR(__xludf.DUMMYFUNCTION("""COMPUTED_VALUE"""),7500000.0)</f>
        <v>7500000</v>
      </c>
      <c r="M7" s="20" t="str">
        <f>IFERROR(__xludf.DUMMYFUNCTION("""COMPUTED_VALUE"""),"FREE")</f>
        <v>FREE</v>
      </c>
      <c r="N7" s="20">
        <f>IFERROR(__xludf.DUMMYFUNCTION("""COMPUTED_VALUE"""),4000000.0)</f>
        <v>4000000</v>
      </c>
      <c r="O7" s="20">
        <f>IFERROR(__xludf.DUMMYFUNCTION("""COMPUTED_VALUE"""),7500000.0)</f>
        <v>7500000</v>
      </c>
      <c r="P7" s="20">
        <f>IFERROR(__xludf.DUMMYFUNCTION("""COMPUTED_VALUE"""),1.1E7)</f>
        <v>11000000</v>
      </c>
      <c r="Q7" s="20">
        <f>IFERROR(__xludf.DUMMYFUNCTION("""COMPUTED_VALUE"""),2000000.0)</f>
        <v>2000000</v>
      </c>
      <c r="R7" s="20">
        <f>IFERROR(__xludf.DUMMYFUNCTION("""COMPUTED_VALUE"""),1.2E7)</f>
        <v>12000000</v>
      </c>
      <c r="S7" s="20">
        <f>IFERROR(__xludf.DUMMYFUNCTION("""COMPUTED_VALUE"""),1.9E7)</f>
        <v>19000000</v>
      </c>
      <c r="T7" s="17"/>
      <c r="U7" s="20">
        <f>IFERROR(__xludf.DUMMYFUNCTION("""COMPUTED_VALUE"""),3000000.0)</f>
        <v>3000000</v>
      </c>
      <c r="V7" s="20">
        <f>IFERROR(__xludf.DUMMYFUNCTION("""COMPUTED_VALUE"""),1000000.0)</f>
        <v>1000000</v>
      </c>
      <c r="W7" s="17"/>
      <c r="X7" s="20">
        <f>IFERROR(__xludf.DUMMYFUNCTION("""COMPUTED_VALUE"""),4000000.0)</f>
        <v>4000000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IFERROR(__xludf.DUMMYFUNCTION("""COMPUTED_VALUE"""),"putrinahari")</f>
        <v>putrinahari</v>
      </c>
      <c r="C8" s="23">
        <f>IFERROR(__xludf.DUMMYFUNCTION("""COMPUTED_VALUE"""),589000.0)</f>
        <v>589000</v>
      </c>
      <c r="D8" s="17" t="str">
        <f>IFERROR(__xludf.DUMMYFUNCTION("""COMPUTED_VALUE"""),"Macro")</f>
        <v>Macro</v>
      </c>
      <c r="E8" s="18" t="str">
        <f>IFERROR(__xludf.DUMMYFUNCTION("""COMPUTED_VALUE"""),"putrinaharira")</f>
        <v>putrinaharira</v>
      </c>
      <c r="F8" s="23">
        <f>IFERROR(__xludf.DUMMYFUNCTION("""COMPUTED_VALUE"""),201700.0)</f>
        <v>201700</v>
      </c>
      <c r="G8" s="17" t="str">
        <f>IFERROR(__xludf.DUMMYFUNCTION("""COMPUTED_VALUE"""),"Mid")</f>
        <v>Mid</v>
      </c>
      <c r="H8" s="17" t="str">
        <f>IFERROR(__xludf.DUMMYFUNCTION("""COMPUTED_VALUE"""),"Tangerang")</f>
        <v>Tangerang</v>
      </c>
      <c r="I8" s="17" t="str">
        <f>IFERROR(__xludf.DUMMYFUNCTION("""COMPUTED_VALUE"""),"- Lifestyle Female 
- Pasutri
- Family
- Mom &amp; Kids")</f>
        <v>- Lifestyle Female 
- Pasutri
- Family
- Mom &amp; Kids</v>
      </c>
      <c r="J8" s="20">
        <f>IFERROR(__xludf.DUMMYFUNCTION("""COMPUTED_VALUE"""),750000.0)</f>
        <v>750000</v>
      </c>
      <c r="K8" s="20">
        <f>IFERROR(__xludf.DUMMYFUNCTION("""COMPUTED_VALUE"""),1500000.0)</f>
        <v>1500000</v>
      </c>
      <c r="L8" s="20">
        <f>IFERROR(__xludf.DUMMYFUNCTION("""COMPUTED_VALUE"""),2000000.0)</f>
        <v>2000000</v>
      </c>
      <c r="M8" s="20" t="str">
        <f>IFERROR(__xludf.DUMMYFUNCTION("""COMPUTED_VALUE"""),"FREE")</f>
        <v>FREE</v>
      </c>
      <c r="N8" s="20">
        <f>IFERROR(__xludf.DUMMYFUNCTION("""COMPUTED_VALUE"""),4000000.0)</f>
        <v>4000000</v>
      </c>
      <c r="O8" s="20">
        <f>IFERROR(__xludf.DUMMYFUNCTION("""COMPUTED_VALUE"""),4000000.0)</f>
        <v>4000000</v>
      </c>
      <c r="P8" s="20">
        <f>IFERROR(__xludf.DUMMYFUNCTION("""COMPUTED_VALUE"""),6000000.0)</f>
        <v>6000000</v>
      </c>
      <c r="Q8" s="20" t="str">
        <f>IFERROR(__xludf.DUMMYFUNCTION("""COMPUTED_VALUE"""),"FREE")</f>
        <v>FREE</v>
      </c>
      <c r="R8" s="20">
        <f>IFERROR(__xludf.DUMMYFUNCTION("""COMPUTED_VALUE"""),1.0E7)</f>
        <v>10000000</v>
      </c>
      <c r="S8" s="20" t="str">
        <f>IFERROR(__xludf.DUMMYFUNCTION("""COMPUTED_VALUE"""),"FREE")</f>
        <v>FREE</v>
      </c>
      <c r="T8" s="20">
        <f>IFERROR(__xludf.DUMMYFUNCTION("""COMPUTED_VALUE"""),3000000.0)</f>
        <v>3000000</v>
      </c>
      <c r="U8" s="20" t="str">
        <f>IFERROR(__xludf.DUMMYFUNCTION("""COMPUTED_VALUE"""),"FREE")</f>
        <v>FREE</v>
      </c>
      <c r="V8" s="20" t="str">
        <f>IFERROR(__xludf.DUMMYFUNCTION("""COMPUTED_VALUE"""),"FREE")</f>
        <v>FREE</v>
      </c>
      <c r="W8" s="20" t="str">
        <f>IFERROR(__xludf.DUMMYFUNCTION("""COMPUTED_VALUE"""),"FREE")</f>
        <v>FREE</v>
      </c>
      <c r="X8" s="20">
        <f>IFERROR(__xludf.DUMMYFUNCTION("""COMPUTED_VALUE"""),1500000.0)</f>
        <v>1500000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IFERROR(__xludf.DUMMYFUNCTION("""COMPUTED_VALUE"""),"trishaazia")</f>
        <v>trishaazia</v>
      </c>
      <c r="C9" s="23">
        <f>IFERROR(__xludf.DUMMYFUNCTION("""COMPUTED_VALUE"""),571000.0)</f>
        <v>571000</v>
      </c>
      <c r="D9" s="17" t="str">
        <f>IFERROR(__xludf.DUMMYFUNCTION("""COMPUTED_VALUE"""),"Macro")</f>
        <v>Macro</v>
      </c>
      <c r="E9" s="18" t="str">
        <f>IFERROR(__xludf.DUMMYFUNCTION("""COMPUTED_VALUE"""),"trishaaazia")</f>
        <v>trishaaazia</v>
      </c>
      <c r="F9" s="19">
        <f>IFERROR(__xludf.DUMMYFUNCTION("""COMPUTED_VALUE"""),9500000.0)</f>
        <v>9500000</v>
      </c>
      <c r="G9" s="17" t="str">
        <f>IFERROR(__xludf.DUMMYFUNCTION("""COMPUTED_VALUE"""),"Mega")</f>
        <v>Mega</v>
      </c>
      <c r="H9" s="17" t="str">
        <f>IFERROR(__xludf.DUMMYFUNCTION("""COMPUTED_VALUE"""),"Depok")</f>
        <v>Depok</v>
      </c>
      <c r="I9" s="17" t="str">
        <f>IFERROR(__xludf.DUMMYFUNCTION("""COMPUTED_VALUE"""),"- Lifestyle Female 
- Pasutri
- Family
- Mom &amp; Kids")</f>
        <v>- Lifestyle Female 
- Pasutri
- Family
- Mom &amp; Kids</v>
      </c>
      <c r="J9" s="20">
        <f>IFERROR(__xludf.DUMMYFUNCTION("""COMPUTED_VALUE"""),500000.0)</f>
        <v>500000</v>
      </c>
      <c r="K9" s="20">
        <f>IFERROR(__xludf.DUMMYFUNCTION("""COMPUTED_VALUE"""),1000000.0)</f>
        <v>1000000</v>
      </c>
      <c r="L9" s="20">
        <f>IFERROR(__xludf.DUMMYFUNCTION("""COMPUTED_VALUE"""),1500000.0)</f>
        <v>1500000</v>
      </c>
      <c r="M9" s="20" t="str">
        <f>IFERROR(__xludf.DUMMYFUNCTION("""COMPUTED_VALUE"""),"FREE")</f>
        <v>FREE</v>
      </c>
      <c r="N9" s="20">
        <f>IFERROR(__xludf.DUMMYFUNCTION("""COMPUTED_VALUE"""),5000000.0)</f>
        <v>5000000</v>
      </c>
      <c r="O9" s="20">
        <f>IFERROR(__xludf.DUMMYFUNCTION("""COMPUTED_VALUE"""),5500000.0)</f>
        <v>5500000</v>
      </c>
      <c r="P9" s="20">
        <f>IFERROR(__xludf.DUMMYFUNCTION("""COMPUTED_VALUE"""),8000000.0)</f>
        <v>8000000</v>
      </c>
      <c r="Q9" s="20" t="str">
        <f>IFERROR(__xludf.DUMMYFUNCTION("""COMPUTED_VALUE"""),"FREE")</f>
        <v>FREE</v>
      </c>
      <c r="R9" s="20">
        <f>IFERROR(__xludf.DUMMYFUNCTION("""COMPUTED_VALUE"""),1.5E7)</f>
        <v>15000000</v>
      </c>
      <c r="S9" s="20">
        <f>IFERROR(__xludf.DUMMYFUNCTION("""COMPUTED_VALUE"""),1.8E7)</f>
        <v>18000000</v>
      </c>
      <c r="T9" s="20">
        <f>IFERROR(__xludf.DUMMYFUNCTION("""COMPUTED_VALUE"""),5000000.0)</f>
        <v>5000000</v>
      </c>
      <c r="U9" s="20" t="str">
        <f>IFERROR(__xludf.DUMMYFUNCTION("""COMPUTED_VALUE"""),"FREE")</f>
        <v>FREE</v>
      </c>
      <c r="V9" s="20">
        <f>IFERROR(__xludf.DUMMYFUNCTION("""COMPUTED_VALUE"""),1000000.0)</f>
        <v>1000000</v>
      </c>
      <c r="W9" s="20" t="str">
        <f>IFERROR(__xludf.DUMMYFUNCTION("""COMPUTED_VALUE"""),"FREE")</f>
        <v>FREE</v>
      </c>
      <c r="X9" s="20">
        <f>IFERROR(__xludf.DUMMYFUNCTION("""COMPUTED_VALUE"""),1000000.0)</f>
        <v>1000000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IFERROR(__xludf.DUMMYFUNCTION("""COMPUTED_VALUE"""),"Ka.reys")</f>
        <v>Ka.reys</v>
      </c>
      <c r="C10" s="23">
        <f>IFERROR(__xludf.DUMMYFUNCTION("""COMPUTED_VALUE"""),527000.0)</f>
        <v>527000</v>
      </c>
      <c r="D10" s="17" t="str">
        <f>IFERROR(__xludf.DUMMYFUNCTION("""COMPUTED_VALUE"""),"Macro")</f>
        <v>Macro</v>
      </c>
      <c r="E10" s="18" t="str">
        <f>IFERROR(__xludf.DUMMYFUNCTION("""COMPUTED_VALUE"""),"kayesssss")</f>
        <v>kayesssss</v>
      </c>
      <c r="F10" s="19">
        <f>IFERROR(__xludf.DUMMYFUNCTION("""COMPUTED_VALUE"""),3200000.0)</f>
        <v>3200000</v>
      </c>
      <c r="G10" s="17" t="str">
        <f>IFERROR(__xludf.DUMMYFUNCTION("""COMPUTED_VALUE"""),"Mega")</f>
        <v>Mega</v>
      </c>
      <c r="H10" s="17" t="str">
        <f>IFERROR(__xludf.DUMMYFUNCTION("""COMPUTED_VALUE"""),"Bekasi")</f>
        <v>Bekasi</v>
      </c>
      <c r="I10" s="17" t="str">
        <f>IFERROR(__xludf.DUMMYFUNCTION("""COMPUTED_VALUE"""),"- Lifestyle Female 
- Pasutri
- Family
- Mom &amp; Kids")</f>
        <v>- Lifestyle Female 
- Pasutri
- Family
- Mom &amp; Kids</v>
      </c>
      <c r="J10" s="20">
        <f>IFERROR(__xludf.DUMMYFUNCTION("""COMPUTED_VALUE"""),500000.0)</f>
        <v>500000</v>
      </c>
      <c r="K10" s="20">
        <f>IFERROR(__xludf.DUMMYFUNCTION("""COMPUTED_VALUE"""),1300000.0)</f>
        <v>1300000</v>
      </c>
      <c r="L10" s="17"/>
      <c r="M10" s="20" t="str">
        <f>IFERROR(__xludf.DUMMYFUNCTION("""COMPUTED_VALUE"""),"FREE")</f>
        <v>FREE</v>
      </c>
      <c r="N10" s="20">
        <f>IFERROR(__xludf.DUMMYFUNCTION("""COMPUTED_VALUE"""),2700000.0)</f>
        <v>2700000</v>
      </c>
      <c r="O10" s="17"/>
      <c r="P10" s="20">
        <f>IFERROR(__xludf.DUMMYFUNCTION("""COMPUTED_VALUE"""),3700000.0)</f>
        <v>3700000</v>
      </c>
      <c r="Q10" s="20" t="str">
        <f>IFERROR(__xludf.DUMMYFUNCTION("""COMPUTED_VALUE"""),"FREE")</f>
        <v>FREE</v>
      </c>
      <c r="R10" s="20">
        <f>IFERROR(__xludf.DUMMYFUNCTION("""COMPUTED_VALUE"""),5500000.0)</f>
        <v>5500000</v>
      </c>
      <c r="S10" s="20">
        <f>IFERROR(__xludf.DUMMYFUNCTION("""COMPUTED_VALUE"""),7000000.0)</f>
        <v>7000000</v>
      </c>
      <c r="T10" s="17"/>
      <c r="U10" s="20">
        <f>IFERROR(__xludf.DUMMYFUNCTION("""COMPUTED_VALUE"""),2000000.0)</f>
        <v>2000000</v>
      </c>
      <c r="V10" s="17"/>
      <c r="W10" s="20" t="str">
        <f>IFERROR(__xludf.DUMMYFUNCTION("""COMPUTED_VALUE"""),"FREE")</f>
        <v>FREE</v>
      </c>
      <c r="X10" s="20">
        <f>IFERROR(__xludf.DUMMYFUNCTION("""COMPUTED_VALUE"""),1500000.0)</f>
        <v>1500000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IFERROR(__xludf.DUMMYFUNCTION("""COMPUTED_VALUE"""),"aisyafputri")</f>
        <v>aisyafputri</v>
      </c>
      <c r="C11" s="23">
        <f>IFERROR(__xludf.DUMMYFUNCTION("""COMPUTED_VALUE"""),456000.0)</f>
        <v>456000</v>
      </c>
      <c r="D11" s="17" t="str">
        <f>IFERROR(__xludf.DUMMYFUNCTION("""COMPUTED_VALUE"""),"Mid")</f>
        <v>Mid</v>
      </c>
      <c r="E11" s="18" t="str">
        <f>IFERROR(__xludf.DUMMYFUNCTION("""COMPUTED_VALUE"""),"aisyafputri")</f>
        <v>aisyafputri</v>
      </c>
      <c r="F11" s="19">
        <f>IFERROR(__xludf.DUMMYFUNCTION("""COMPUTED_VALUE"""),986500.0)</f>
        <v>986500</v>
      </c>
      <c r="G11" s="17" t="str">
        <f>IFERROR(__xludf.DUMMYFUNCTION("""COMPUTED_VALUE"""),"Macro")</f>
        <v>Macro</v>
      </c>
      <c r="H11" s="17" t="str">
        <f>IFERROR(__xludf.DUMMYFUNCTION("""COMPUTED_VALUE"""),"Bogor")</f>
        <v>Bogor</v>
      </c>
      <c r="I11" s="17" t="str">
        <f>IFERROR(__xludf.DUMMYFUNCTION("""COMPUTED_VALUE"""),"- Lifestyle Female 
- Pasutri
- Family
- Mom &amp; Kids")</f>
        <v>- Lifestyle Female 
- Pasutri
- Family
- Mom &amp; Kids</v>
      </c>
      <c r="J11" s="20">
        <f>IFERROR(__xludf.DUMMYFUNCTION("""COMPUTED_VALUE"""),500000.0)</f>
        <v>500000</v>
      </c>
      <c r="K11" s="20">
        <f>IFERROR(__xludf.DUMMYFUNCTION("""COMPUTED_VALUE"""),3000000.0)</f>
        <v>3000000</v>
      </c>
      <c r="L11" s="20">
        <f>IFERROR(__xludf.DUMMYFUNCTION("""COMPUTED_VALUE"""),5000000.0)</f>
        <v>5000000</v>
      </c>
      <c r="M11" s="20" t="str">
        <f>IFERROR(__xludf.DUMMYFUNCTION("""COMPUTED_VALUE"""),"FREE")</f>
        <v>FREE</v>
      </c>
      <c r="N11" s="20">
        <f>IFERROR(__xludf.DUMMYFUNCTION("""COMPUTED_VALUE"""),4500000.0)</f>
        <v>4500000</v>
      </c>
      <c r="O11" s="20">
        <f>IFERROR(__xludf.DUMMYFUNCTION("""COMPUTED_VALUE"""),5000000.0)</f>
        <v>5000000</v>
      </c>
      <c r="P11" s="20">
        <f>IFERROR(__xludf.DUMMYFUNCTION("""COMPUTED_VALUE"""),7500000.0)</f>
        <v>7500000</v>
      </c>
      <c r="Q11" s="20" t="str">
        <f>IFERROR(__xludf.DUMMYFUNCTION("""COMPUTED_VALUE"""),"FREE")</f>
        <v>FREE</v>
      </c>
      <c r="R11" s="20">
        <f>IFERROR(__xludf.DUMMYFUNCTION("""COMPUTED_VALUE"""),7000000.0)</f>
        <v>7000000</v>
      </c>
      <c r="S11" s="20">
        <f>IFERROR(__xludf.DUMMYFUNCTION("""COMPUTED_VALUE"""),3000000.0)</f>
        <v>3000000</v>
      </c>
      <c r="T11" s="17"/>
      <c r="U11" s="20">
        <f>IFERROR(__xludf.DUMMYFUNCTION("""COMPUTED_VALUE"""),3000000.0)</f>
        <v>3000000</v>
      </c>
      <c r="V11" s="20">
        <f>IFERROR(__xludf.DUMMYFUNCTION("""COMPUTED_VALUE"""),1500000.0)</f>
        <v>1500000</v>
      </c>
      <c r="W11" s="20">
        <f>IFERROR(__xludf.DUMMYFUNCTION("""COMPUTED_VALUE"""),500000.0)</f>
        <v>500000</v>
      </c>
      <c r="X11" s="20">
        <f>IFERROR(__xludf.DUMMYFUNCTION("""COMPUTED_VALUE"""),1500000.0)</f>
        <v>1500000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IFERROR(__xludf.DUMMYFUNCTION("""COMPUTED_VALUE"""),"fauzanakhdan")</f>
        <v>fauzanakhdan</v>
      </c>
      <c r="C12" s="23">
        <f>IFERROR(__xludf.DUMMYFUNCTION("""COMPUTED_VALUE"""),465000.0)</f>
        <v>465000</v>
      </c>
      <c r="D12" s="17" t="str">
        <f>IFERROR(__xludf.DUMMYFUNCTION("""COMPUTED_VALUE"""),"Mid")</f>
        <v>Mid</v>
      </c>
      <c r="E12" s="18" t="str">
        <f>IFERROR(__xludf.DUMMYFUNCTION("""COMPUTED_VALUE"""),"fauzanakhdan")</f>
        <v>fauzanakhdan</v>
      </c>
      <c r="F12" s="23">
        <f>IFERROR(__xludf.DUMMYFUNCTION("""COMPUTED_VALUE"""),490200.0)</f>
        <v>490200</v>
      </c>
      <c r="G12" s="17" t="str">
        <f>IFERROR(__xludf.DUMMYFUNCTION("""COMPUTED_VALUE"""),"Mid")</f>
        <v>Mid</v>
      </c>
      <c r="H12" s="17" t="str">
        <f>IFERROR(__xludf.DUMMYFUNCTION("""COMPUTED_VALUE"""),"Bogor")</f>
        <v>Bogor</v>
      </c>
      <c r="I12" s="17" t="str">
        <f>IFERROR(__xludf.DUMMYFUNCTION("""COMPUTED_VALUE"""),"- Lifestyle Male
- Pasutri
- Family
- Fashion Pria")</f>
        <v>- Lifestyle Male
- Pasutri
- Family
- Fashion Pria</v>
      </c>
      <c r="J12" s="20">
        <f>IFERROR(__xludf.DUMMYFUNCTION("""COMPUTED_VALUE"""),2500000.0)</f>
        <v>2500000</v>
      </c>
      <c r="K12" s="20">
        <f>IFERROR(__xludf.DUMMYFUNCTION("""COMPUTED_VALUE"""),2500000.0)</f>
        <v>2500000</v>
      </c>
      <c r="L12" s="20">
        <f>IFERROR(__xludf.DUMMYFUNCTION("""COMPUTED_VALUE"""),7500000.0)</f>
        <v>7500000</v>
      </c>
      <c r="M12" s="20" t="str">
        <f>IFERROR(__xludf.DUMMYFUNCTION("""COMPUTED_VALUE"""),"FREE")</f>
        <v>FREE</v>
      </c>
      <c r="N12" s="20">
        <f>IFERROR(__xludf.DUMMYFUNCTION("""COMPUTED_VALUE"""),4000000.0)</f>
        <v>4000000</v>
      </c>
      <c r="O12" s="20">
        <f>IFERROR(__xludf.DUMMYFUNCTION("""COMPUTED_VALUE"""),7500000.0)</f>
        <v>7500000</v>
      </c>
      <c r="P12" s="20">
        <f>IFERROR(__xludf.DUMMYFUNCTION("""COMPUTED_VALUE"""),9000000.0)</f>
        <v>9000000</v>
      </c>
      <c r="Q12" s="20">
        <f>IFERROR(__xludf.DUMMYFUNCTION("""COMPUTED_VALUE"""),2000000.0)</f>
        <v>2000000</v>
      </c>
      <c r="R12" s="20">
        <f>IFERROR(__xludf.DUMMYFUNCTION("""COMPUTED_VALUE"""),8000000.0)</f>
        <v>8000000</v>
      </c>
      <c r="S12" s="20">
        <f>IFERROR(__xludf.DUMMYFUNCTION("""COMPUTED_VALUE"""),1.3E7)</f>
        <v>13000000</v>
      </c>
      <c r="T12" s="17"/>
      <c r="U12" s="20">
        <f>IFERROR(__xludf.DUMMYFUNCTION("""COMPUTED_VALUE"""),3000000.0)</f>
        <v>3000000</v>
      </c>
      <c r="V12" s="20">
        <f>IFERROR(__xludf.DUMMYFUNCTION("""COMPUTED_VALUE"""),1000000.0)</f>
        <v>1000000</v>
      </c>
      <c r="W12" s="20">
        <f>IFERROR(__xludf.DUMMYFUNCTION("""COMPUTED_VALUE"""),3000000.0)</f>
        <v>3000000</v>
      </c>
      <c r="X12" s="20">
        <f>IFERROR(__xludf.DUMMYFUNCTION("""COMPUTED_VALUE"""),4000000.0)</f>
        <v>4000000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IFERROR(__xludf.DUMMYFUNCTION("""COMPUTED_VALUE"""),"alminetaaz")</f>
        <v>alminetaaz</v>
      </c>
      <c r="C13" s="23">
        <f>IFERROR(__xludf.DUMMYFUNCTION("""COMPUTED_VALUE"""),382000.0)</f>
        <v>382000</v>
      </c>
      <c r="D13" s="17" t="str">
        <f>IFERROR(__xludf.DUMMYFUNCTION("""COMPUTED_VALUE"""),"Mid")</f>
        <v>Mid</v>
      </c>
      <c r="E13" s="18" t="str">
        <f>IFERROR(__xludf.DUMMYFUNCTION("""COMPUTED_VALUE"""),"almineta")</f>
        <v>almineta</v>
      </c>
      <c r="F13" s="19">
        <f>IFERROR(__xludf.DUMMYFUNCTION("""COMPUTED_VALUE"""),2800000.0)</f>
        <v>2800000</v>
      </c>
      <c r="G13" s="17" t="str">
        <f>IFERROR(__xludf.DUMMYFUNCTION("""COMPUTED_VALUE"""),"Mega")</f>
        <v>Mega</v>
      </c>
      <c r="H13" s="17" t="str">
        <f>IFERROR(__xludf.DUMMYFUNCTION("""COMPUTED_VALUE"""),"Jakarta")</f>
        <v>Jakarta</v>
      </c>
      <c r="I13" s="17" t="str">
        <f>IFERROR(__xludf.DUMMYFUNCTION("""COMPUTED_VALUE"""),"- Fashion Wanita
- Lifestyle Female
- Pasutri
- Beauty")</f>
        <v>- Fashion Wanita
- Lifestyle Female
- Pasutri
- Beauty</v>
      </c>
      <c r="J13" s="20">
        <f>IFERROR(__xludf.DUMMYFUNCTION("""COMPUTED_VALUE"""),1500000.0)</f>
        <v>1500000</v>
      </c>
      <c r="K13" s="20">
        <f>IFERROR(__xludf.DUMMYFUNCTION("""COMPUTED_VALUE"""),5500000.0)</f>
        <v>5500000</v>
      </c>
      <c r="L13" s="20">
        <f>IFERROR(__xludf.DUMMYFUNCTION("""COMPUTED_VALUE"""),7000000.0)</f>
        <v>7000000</v>
      </c>
      <c r="M13" s="20" t="str">
        <f>IFERROR(__xludf.DUMMYFUNCTION("""COMPUTED_VALUE"""),"FREE")</f>
        <v>FREE</v>
      </c>
      <c r="N13" s="20">
        <f>IFERROR(__xludf.DUMMYFUNCTION("""COMPUTED_VALUE"""),4500000.0)</f>
        <v>4500000</v>
      </c>
      <c r="O13" s="20" t="str">
        <f>IFERROR(__xludf.DUMMYFUNCTION("""COMPUTED_VALUE"""),"Rp700,000/slide")</f>
        <v>Rp700,000/slide</v>
      </c>
      <c r="P13" s="20">
        <f>IFERROR(__xludf.DUMMYFUNCTION("""COMPUTED_VALUE"""),1.2E7)</f>
        <v>12000000</v>
      </c>
      <c r="Q13" s="20">
        <f>IFERROR(__xludf.DUMMYFUNCTION("""COMPUTED_VALUE"""),1500000.0)</f>
        <v>1500000</v>
      </c>
      <c r="R13" s="20">
        <f>IFERROR(__xludf.DUMMYFUNCTION("""COMPUTED_VALUE"""),2.2E7)</f>
        <v>22000000</v>
      </c>
      <c r="S13" s="20">
        <f>IFERROR(__xludf.DUMMYFUNCTION("""COMPUTED_VALUE"""),1.0E7)</f>
        <v>10000000</v>
      </c>
      <c r="T13" s="20">
        <f>IFERROR(__xludf.DUMMYFUNCTION("""COMPUTED_VALUE"""),1.0E7)</f>
        <v>10000000</v>
      </c>
      <c r="U13" s="20">
        <f>IFERROR(__xludf.DUMMYFUNCTION("""COMPUTED_VALUE"""),3.5E7)</f>
        <v>35000000</v>
      </c>
      <c r="V13" s="21">
        <f>IFERROR(__xludf.DUMMYFUNCTION("""COMPUTED_VALUE"""),0.5)</f>
        <v>0.5</v>
      </c>
      <c r="W13" s="20">
        <f>IFERROR(__xludf.DUMMYFUNCTION("""COMPUTED_VALUE"""),1500000.0)</f>
        <v>1500000</v>
      </c>
      <c r="X13" s="20">
        <f>IFERROR(__xludf.DUMMYFUNCTION("""COMPUTED_VALUE"""),3000000.0)</f>
        <v>3000000</v>
      </c>
      <c r="Y13" s="17"/>
    </row>
    <row r="14">
      <c r="A14" s="27"/>
      <c r="B14" s="33" t="str">
        <f>IFERROR(__xludf.DUMMYFUNCTION("""COMPUTED_VALUE"""),"bellzky16")</f>
        <v>bellzky16</v>
      </c>
      <c r="C14" s="34">
        <f>IFERROR(__xludf.DUMMYFUNCTION("""COMPUTED_VALUE"""),315000.0)</f>
        <v>315000</v>
      </c>
      <c r="D14" s="27" t="str">
        <f>IFERROR(__xludf.DUMMYFUNCTION("""COMPUTED_VALUE"""),"Mid")</f>
        <v>Mid</v>
      </c>
      <c r="E14" s="36" t="str">
        <f>IFERROR(__xludf.DUMMYFUNCTION("""COMPUTED_VALUE"""),"bellzky16")</f>
        <v>bellzky16</v>
      </c>
      <c r="F14" s="281">
        <f>IFERROR(__xludf.DUMMYFUNCTION("""COMPUTED_VALUE"""),4000000.0)</f>
        <v>4000000</v>
      </c>
      <c r="G14" s="27" t="str">
        <f>IFERROR(__xludf.DUMMYFUNCTION("""COMPUTED_VALUE"""),"Mega")</f>
        <v>Mega</v>
      </c>
      <c r="H14" s="35" t="str">
        <f>IFERROR(__xludf.DUMMYFUNCTION("""COMPUTED_VALUE"""),"Tangerang")</f>
        <v>Tangerang</v>
      </c>
      <c r="I14" s="27" t="str">
        <f>IFERROR(__xludf.DUMMYFUNCTION("""COMPUTED_VALUE"""),"- Lifestyle Female 
- Pasutri
- Family
- Mom &amp; Kids")</f>
        <v>- Lifestyle Female 
- Pasutri
- Family
- Mom &amp; Kids</v>
      </c>
      <c r="J14" s="35">
        <f>IFERROR(__xludf.DUMMYFUNCTION("""COMPUTED_VALUE"""),1000000.0)</f>
        <v>1000000</v>
      </c>
      <c r="K14" s="35">
        <f>IFERROR(__xludf.DUMMYFUNCTION("""COMPUTED_VALUE"""),2000000.0)</f>
        <v>2000000</v>
      </c>
      <c r="L14" s="35">
        <f>IFERROR(__xludf.DUMMYFUNCTION("""COMPUTED_VALUE"""),6000000.0)</f>
        <v>6000000</v>
      </c>
      <c r="M14" s="27"/>
      <c r="N14" s="35">
        <f>IFERROR(__xludf.DUMMYFUNCTION("""COMPUTED_VALUE"""),5000000.0)</f>
        <v>5000000</v>
      </c>
      <c r="O14" s="35">
        <f>IFERROR(__xludf.DUMMYFUNCTION("""COMPUTED_VALUE"""),7000000.0)</f>
        <v>7000000</v>
      </c>
      <c r="P14" s="35">
        <f>IFERROR(__xludf.DUMMYFUNCTION("""COMPUTED_VALUE"""),8000000.0)</f>
        <v>8000000</v>
      </c>
      <c r="Q14" s="27"/>
      <c r="R14" s="35">
        <f>IFERROR(__xludf.DUMMYFUNCTION("""COMPUTED_VALUE"""),1.5E7)</f>
        <v>15000000</v>
      </c>
      <c r="S14" s="35">
        <f>IFERROR(__xludf.DUMMYFUNCTION("""COMPUTED_VALUE"""),2.1E7)</f>
        <v>21000000</v>
      </c>
      <c r="T14" s="35">
        <f>IFERROR(__xludf.DUMMYFUNCTION("""COMPUTED_VALUE"""),7000000.0)</f>
        <v>7000000</v>
      </c>
      <c r="U14" s="27"/>
      <c r="V14" s="27"/>
      <c r="W14" s="35">
        <f>IFERROR(__xludf.DUMMYFUNCTION("""COMPUTED_VALUE"""),3000000.0)</f>
        <v>3000000</v>
      </c>
      <c r="X14" s="35">
        <f>IFERROR(__xludf.DUMMYFUNCTION("""COMPUTED_VALUE"""),5000000.0)</f>
        <v>5000000</v>
      </c>
      <c r="Y14" s="27"/>
    </row>
    <row r="15">
      <c r="A15" s="27"/>
      <c r="B15" s="33" t="str">
        <f>IFERROR(__xludf.DUMMYFUNCTION("""COMPUTED_VALUE"""),"jelitawidiaw")</f>
        <v>jelitawidiaw</v>
      </c>
      <c r="C15" s="34">
        <f>IFERROR(__xludf.DUMMYFUNCTION("""COMPUTED_VALUE"""),297000.0)</f>
        <v>297000</v>
      </c>
      <c r="D15" s="27" t="str">
        <f>IFERROR(__xludf.DUMMYFUNCTION("""COMPUTED_VALUE"""),"Mid")</f>
        <v>Mid</v>
      </c>
      <c r="E15" s="33" t="str">
        <f>IFERROR(__xludf.DUMMYFUNCTION("""COMPUTED_VALUE"""),"jelitawidiaw")</f>
        <v>jelitawidiaw</v>
      </c>
      <c r="F15" s="281">
        <f>IFERROR(__xludf.DUMMYFUNCTION("""COMPUTED_VALUE"""),4800000.0)</f>
        <v>4800000</v>
      </c>
      <c r="G15" s="27" t="str">
        <f>IFERROR(__xludf.DUMMYFUNCTION("""COMPUTED_VALUE"""),"Mega")</f>
        <v>Mega</v>
      </c>
      <c r="H15" s="27" t="str">
        <f>IFERROR(__xludf.DUMMYFUNCTION("""COMPUTED_VALUE"""),"Tangerang")</f>
        <v>Tangerang</v>
      </c>
      <c r="I15" s="27" t="str">
        <f>IFERROR(__xludf.DUMMYFUNCTION("""COMPUTED_VALUE"""),"- Lifestyle Female 
- Pasutri
- Family
- Mom &amp; Kids")</f>
        <v>- Lifestyle Female 
- Pasutri
- Family
- Mom &amp; Kids</v>
      </c>
      <c r="J15" s="35">
        <f>IFERROR(__xludf.DUMMYFUNCTION("""COMPUTED_VALUE"""),500000.0)</f>
        <v>500000</v>
      </c>
      <c r="K15" s="35">
        <f>IFERROR(__xludf.DUMMYFUNCTION("""COMPUTED_VALUE"""),2000000.0)</f>
        <v>2000000</v>
      </c>
      <c r="L15" s="35">
        <f>IFERROR(__xludf.DUMMYFUNCTION("""COMPUTED_VALUE"""),3000000.0)</f>
        <v>3000000</v>
      </c>
      <c r="M15" s="35">
        <f>IFERROR(__xludf.DUMMYFUNCTION("""COMPUTED_VALUE"""),500000.0)</f>
        <v>500000</v>
      </c>
      <c r="N15" s="35">
        <f>IFERROR(__xludf.DUMMYFUNCTION("""COMPUTED_VALUE"""),2500000.0)</f>
        <v>2500000</v>
      </c>
      <c r="O15" s="27"/>
      <c r="P15" s="35">
        <f>IFERROR(__xludf.DUMMYFUNCTION("""COMPUTED_VALUE"""),7000000.0)</f>
        <v>7000000</v>
      </c>
      <c r="Q15" s="35" t="str">
        <f>IFERROR(__xludf.DUMMYFUNCTION("""COMPUTED_VALUE"""),"FREE")</f>
        <v>FREE</v>
      </c>
      <c r="R15" s="35">
        <f>IFERROR(__xludf.DUMMYFUNCTION("""COMPUTED_VALUE"""),1.7E7)</f>
        <v>17000000</v>
      </c>
      <c r="S15" s="35">
        <f>IFERROR(__xludf.DUMMYFUNCTION("""COMPUTED_VALUE"""),2.0E7)</f>
        <v>20000000</v>
      </c>
      <c r="T15" s="35">
        <f>IFERROR(__xludf.DUMMYFUNCTION("""COMPUTED_VALUE"""),1.4E7)</f>
        <v>14000000</v>
      </c>
      <c r="U15" s="35">
        <f>IFERROR(__xludf.DUMMYFUNCTION("""COMPUTED_VALUE"""),7500000.0)</f>
        <v>7500000</v>
      </c>
      <c r="V15" s="35" t="str">
        <f>IFERROR(__xludf.DUMMYFUNCTION("""COMPUTED_VALUE"""),"FREE 7D")</f>
        <v>FREE 7D</v>
      </c>
      <c r="W15" s="35" t="str">
        <f>IFERROR(__xludf.DUMMYFUNCTION("""COMPUTED_VALUE"""),"FREE")</f>
        <v>FREE</v>
      </c>
      <c r="X15" s="35">
        <f>IFERROR(__xludf.DUMMYFUNCTION("""COMPUTED_VALUE"""),1000000.0)</f>
        <v>1000000</v>
      </c>
      <c r="Y15" s="27"/>
    </row>
    <row r="16">
      <c r="A16" s="27"/>
      <c r="B16" s="33" t="str">
        <f>IFERROR(__xludf.DUMMYFUNCTION("""COMPUTED_VALUE"""),"ojankeke")</f>
        <v>ojankeke</v>
      </c>
      <c r="C16" s="34">
        <f>IFERROR(__xludf.DUMMYFUNCTION("""COMPUTED_VALUE"""),256000.0)</f>
        <v>256000</v>
      </c>
      <c r="D16" s="27" t="str">
        <f>IFERROR(__xludf.DUMMYFUNCTION("""COMPUTED_VALUE"""),"Mid")</f>
        <v>Mid</v>
      </c>
      <c r="E16" s="33" t="str">
        <f>IFERROR(__xludf.DUMMYFUNCTION("""COMPUTED_VALUE"""),"ojankeke")</f>
        <v>ojankeke</v>
      </c>
      <c r="F16" s="281">
        <f>IFERROR(__xludf.DUMMYFUNCTION("""COMPUTED_VALUE"""),5400000.0)</f>
        <v>5400000</v>
      </c>
      <c r="G16" s="27" t="str">
        <f>IFERROR(__xludf.DUMMYFUNCTION("""COMPUTED_VALUE"""),"Mega")</f>
        <v>Mega</v>
      </c>
      <c r="H16" s="27" t="str">
        <f>IFERROR(__xludf.DUMMYFUNCTION("""COMPUTED_VALUE"""),"Bogor")</f>
        <v>Bogor</v>
      </c>
      <c r="I16" s="27" t="str">
        <f>IFERROR(__xludf.DUMMYFUNCTION("""COMPUTED_VALUE"""),"- Family
- Pasutri")</f>
        <v>- Family
- Pasutri</v>
      </c>
      <c r="J16" s="27"/>
      <c r="K16" s="35">
        <f>IFERROR(__xludf.DUMMYFUNCTION("""COMPUTED_VALUE"""),2500000.0)</f>
        <v>2500000</v>
      </c>
      <c r="L16" s="35">
        <f>IFERROR(__xludf.DUMMYFUNCTION("""COMPUTED_VALUE"""),7500000.0)</f>
        <v>7500000</v>
      </c>
      <c r="M16" s="35" t="str">
        <f>IFERROR(__xludf.DUMMYFUNCTION("""COMPUTED_VALUE"""),"FREE")</f>
        <v>FREE</v>
      </c>
      <c r="N16" s="35">
        <f>IFERROR(__xludf.DUMMYFUNCTION("""COMPUTED_VALUE"""),4000000.0)</f>
        <v>4000000</v>
      </c>
      <c r="O16" s="27"/>
      <c r="P16" s="35">
        <f>IFERROR(__xludf.DUMMYFUNCTION("""COMPUTED_VALUE"""),9000000.0)</f>
        <v>9000000</v>
      </c>
      <c r="Q16" s="35">
        <f>IFERROR(__xludf.DUMMYFUNCTION("""COMPUTED_VALUE"""),2000000.0)</f>
        <v>2000000</v>
      </c>
      <c r="R16" s="35">
        <f>IFERROR(__xludf.DUMMYFUNCTION("""COMPUTED_VALUE"""),1.4E7)</f>
        <v>14000000</v>
      </c>
      <c r="S16" s="35">
        <f>IFERROR(__xludf.DUMMYFUNCTION("""COMPUTED_VALUE"""),2.0E7)</f>
        <v>20000000</v>
      </c>
      <c r="T16" s="27"/>
      <c r="U16" s="27"/>
      <c r="V16" s="27"/>
      <c r="W16" s="35" t="str">
        <f>IFERROR(__xludf.DUMMYFUNCTION("""COMPUTED_VALUE"""),"FREE")</f>
        <v>FREE</v>
      </c>
      <c r="X16" s="35">
        <f>IFERROR(__xludf.DUMMYFUNCTION("""COMPUTED_VALUE"""),4000000.0)</f>
        <v>4000000</v>
      </c>
      <c r="Y16" s="27"/>
    </row>
    <row r="17">
      <c r="A17" s="27"/>
      <c r="B17" s="33" t="str">
        <f>IFERROR(__xludf.DUMMYFUNCTION("""COMPUTED_VALUE"""),"cyntiaar")</f>
        <v>cyntiaar</v>
      </c>
      <c r="C17" s="34">
        <f>IFERROR(__xludf.DUMMYFUNCTION("""COMPUTED_VALUE"""),196000.0)</f>
        <v>196000</v>
      </c>
      <c r="D17" s="27" t="str">
        <f>IFERROR(__xludf.DUMMYFUNCTION("""COMPUTED_VALUE"""),"Mid")</f>
        <v>Mid</v>
      </c>
      <c r="E17" s="33" t="str">
        <f>IFERROR(__xludf.DUMMYFUNCTION("""COMPUTED_VALUE"""),"cyntiaar_")</f>
        <v>cyntiaar_</v>
      </c>
      <c r="F17" s="281">
        <f>IFERROR(__xludf.DUMMYFUNCTION("""COMPUTED_VALUE"""),1700000.0)</f>
        <v>1700000</v>
      </c>
      <c r="G17" s="27" t="str">
        <f>IFERROR(__xludf.DUMMYFUNCTION("""COMPUTED_VALUE"""),"Mega")</f>
        <v>Mega</v>
      </c>
      <c r="H17" s="27" t="str">
        <f>IFERROR(__xludf.DUMMYFUNCTION("""COMPUTED_VALUE"""),"Bandung")</f>
        <v>Bandung</v>
      </c>
      <c r="I17" s="27" t="str">
        <f>IFERROR(__xludf.DUMMYFUNCTION("""COMPUTED_VALUE"""),"- Beauty
- Lifestyle Female
- Pasutri")</f>
        <v>- Beauty
- Lifestyle Female
- Pasutri</v>
      </c>
      <c r="J17" s="35">
        <f>IFERROR(__xludf.DUMMYFUNCTION("""COMPUTED_VALUE"""),500000.0)</f>
        <v>500000</v>
      </c>
      <c r="K17" s="35">
        <f>IFERROR(__xludf.DUMMYFUNCTION("""COMPUTED_VALUE"""),1500000.0)</f>
        <v>1500000</v>
      </c>
      <c r="L17" s="35">
        <f>IFERROR(__xludf.DUMMYFUNCTION("""COMPUTED_VALUE"""),3000000.0)</f>
        <v>3000000</v>
      </c>
      <c r="M17" s="35" t="str">
        <f>IFERROR(__xludf.DUMMYFUNCTION("""COMPUTED_VALUE"""),"FREE")</f>
        <v>FREE</v>
      </c>
      <c r="N17" s="35">
        <f>IFERROR(__xludf.DUMMYFUNCTION("""COMPUTED_VALUE"""),5000000.0)</f>
        <v>5000000</v>
      </c>
      <c r="O17" s="27"/>
      <c r="P17" s="35">
        <f>IFERROR(__xludf.DUMMYFUNCTION("""COMPUTED_VALUE"""),1.1E7)</f>
        <v>11000000</v>
      </c>
      <c r="Q17" s="35" t="str">
        <f>IFERROR(__xludf.DUMMYFUNCTION("""COMPUTED_VALUE"""),"FREE")</f>
        <v>FREE</v>
      </c>
      <c r="R17" s="35">
        <f>IFERROR(__xludf.DUMMYFUNCTION("""COMPUTED_VALUE"""),1.5E7)</f>
        <v>15000000</v>
      </c>
      <c r="S17" s="35" t="str">
        <f>IFERROR(__xludf.DUMMYFUNCTION("""COMPUTED_VALUE"""),"Add 6.500.000")</f>
        <v>Add 6.500.000</v>
      </c>
      <c r="T17" s="35" t="str">
        <f>IFERROR(__xludf.DUMMYFUNCTION("""COMPUTED_VALUE"""),"ask")</f>
        <v>ask</v>
      </c>
      <c r="U17" s="27"/>
      <c r="V17" s="27"/>
      <c r="W17" s="35" t="str">
        <f>IFERROR(__xludf.DUMMYFUNCTION("""COMPUTED_VALUE"""),"FREE")</f>
        <v>FREE</v>
      </c>
      <c r="X17" s="35" t="str">
        <f>IFERROR(__xludf.DUMMYFUNCTION("""COMPUTED_VALUE"""),"Add 2.500.000")</f>
        <v>Add 2.500.000</v>
      </c>
      <c r="Y17" s="27"/>
    </row>
    <row r="18">
      <c r="A18" s="27"/>
      <c r="B18" s="33" t="str">
        <f>IFERROR(__xludf.DUMMYFUNCTION("""COMPUTED_VALUE"""),"frdhuha")</f>
        <v>frdhuha</v>
      </c>
      <c r="C18" s="34">
        <f>IFERROR(__xludf.DUMMYFUNCTION("""COMPUTED_VALUE"""),188000.0)</f>
        <v>188000</v>
      </c>
      <c r="D18" s="27" t="str">
        <f>IFERROR(__xludf.DUMMYFUNCTION("""COMPUTED_VALUE"""),"Mid")</f>
        <v>Mid</v>
      </c>
      <c r="E18" s="33" t="str">
        <f>IFERROR(__xludf.DUMMYFUNCTION("""COMPUTED_VALUE"""),"faridahuha")</f>
        <v>faridahuha</v>
      </c>
      <c r="F18" s="281">
        <f>IFERROR(__xludf.DUMMYFUNCTION("""COMPUTED_VALUE"""),3800000.0)</f>
        <v>3800000</v>
      </c>
      <c r="G18" s="27" t="str">
        <f>IFERROR(__xludf.DUMMYFUNCTION("""COMPUTED_VALUE"""),"Mega")</f>
        <v>Mega</v>
      </c>
      <c r="H18" s="27" t="str">
        <f>IFERROR(__xludf.DUMMYFUNCTION("""COMPUTED_VALUE"""),"Jakarta")</f>
        <v>Jakarta</v>
      </c>
      <c r="I18" s="27" t="str">
        <f>IFERROR(__xludf.DUMMYFUNCTION("""COMPUTED_VALUE"""),"- Lifestyle Female 
- Pasutri
- Entrepreneur")</f>
        <v>- Lifestyle Female 
- Pasutri
- Entrepreneur</v>
      </c>
      <c r="J18" s="27"/>
      <c r="K18" s="35">
        <f>IFERROR(__xludf.DUMMYFUNCTION("""COMPUTED_VALUE"""),1000000.0)</f>
        <v>1000000</v>
      </c>
      <c r="L18" s="27"/>
      <c r="M18" s="35" t="str">
        <f>IFERROR(__xludf.DUMMYFUNCTION("""COMPUTED_VALUE"""),"FREE")</f>
        <v>FREE</v>
      </c>
      <c r="N18" s="27"/>
      <c r="O18" s="27"/>
      <c r="P18" s="35">
        <f>IFERROR(__xludf.DUMMYFUNCTION("""COMPUTED_VALUE"""),5000000.0)</f>
        <v>5000000</v>
      </c>
      <c r="Q18" s="27"/>
      <c r="R18" s="35">
        <f>IFERROR(__xludf.DUMMYFUNCTION("""COMPUTED_VALUE"""),1.5E7)</f>
        <v>15000000</v>
      </c>
      <c r="S18" s="35">
        <f>IFERROR(__xludf.DUMMYFUNCTION("""COMPUTED_VALUE"""),500000.0)</f>
        <v>500000</v>
      </c>
      <c r="T18" s="27"/>
      <c r="U18" s="27"/>
      <c r="V18" s="35" t="str">
        <f>IFERROR(__xludf.DUMMYFUNCTION("""COMPUTED_VALUE"""),"FREE")</f>
        <v>FREE</v>
      </c>
      <c r="W18" s="35">
        <f>IFERROR(__xludf.DUMMYFUNCTION("""COMPUTED_VALUE"""),500000.0)</f>
        <v>500000</v>
      </c>
      <c r="X18" s="35">
        <f>IFERROR(__xludf.DUMMYFUNCTION("""COMPUTED_VALUE"""),1.5E7)</f>
        <v>15000000</v>
      </c>
      <c r="Y18" s="27"/>
    </row>
    <row r="19">
      <c r="A19" s="27"/>
      <c r="B19" s="33" t="str">
        <f>IFERROR(__xludf.DUMMYFUNCTION("""COMPUTED_VALUE"""),"redcah")</f>
        <v>redcah</v>
      </c>
      <c r="C19" s="34">
        <f>IFERROR(__xludf.DUMMYFUNCTION("""COMPUTED_VALUE"""),181000.0)</f>
        <v>181000</v>
      </c>
      <c r="D19" s="27" t="str">
        <f>IFERROR(__xludf.DUMMYFUNCTION("""COMPUTED_VALUE"""),"Mid")</f>
        <v>Mid</v>
      </c>
      <c r="E19" s="33" t="str">
        <f>IFERROR(__xludf.DUMMYFUNCTION("""COMPUTED_VALUE"""),"redcah")</f>
        <v>redcah</v>
      </c>
      <c r="F19" s="34">
        <f>IFERROR(__xludf.DUMMYFUNCTION("""COMPUTED_VALUE"""),569400.0)</f>
        <v>569400</v>
      </c>
      <c r="G19" s="27" t="str">
        <f>IFERROR(__xludf.DUMMYFUNCTION("""COMPUTED_VALUE"""),"Macro")</f>
        <v>Macro</v>
      </c>
      <c r="H19" s="27" t="str">
        <f>IFERROR(__xludf.DUMMYFUNCTION("""COMPUTED_VALUE"""),"Tangerang")</f>
        <v>Tangerang</v>
      </c>
      <c r="I19" s="27" t="str">
        <f>IFERROR(__xludf.DUMMYFUNCTION("""COMPUTED_VALUE"""),"- Lifestyle Male
- Pasutri
- Fashion Pria")</f>
        <v>- Lifestyle Male
- Pasutri
- Fashion Pria</v>
      </c>
      <c r="J19" s="35">
        <f>IFERROR(__xludf.DUMMYFUNCTION("""COMPUTED_VALUE"""),450000.0)</f>
        <v>450000</v>
      </c>
      <c r="K19" s="35">
        <f>IFERROR(__xludf.DUMMYFUNCTION("""COMPUTED_VALUE"""),500000.0)</f>
        <v>500000</v>
      </c>
      <c r="L19" s="35">
        <f>IFERROR(__xludf.DUMMYFUNCTION("""COMPUTED_VALUE"""),750000.0)</f>
        <v>750000</v>
      </c>
      <c r="M19" s="35" t="str">
        <f>IFERROR(__xludf.DUMMYFUNCTION("""COMPUTED_VALUE"""),"FREE")</f>
        <v>FREE</v>
      </c>
      <c r="N19" s="35">
        <f>IFERROR(__xludf.DUMMYFUNCTION("""COMPUTED_VALUE"""),2000000.0)</f>
        <v>2000000</v>
      </c>
      <c r="O19" s="35">
        <f>IFERROR(__xludf.DUMMYFUNCTION("""COMPUTED_VALUE"""),2500000.0)</f>
        <v>2500000</v>
      </c>
      <c r="P19" s="35">
        <f>IFERROR(__xludf.DUMMYFUNCTION("""COMPUTED_VALUE"""),3000000.0)</f>
        <v>3000000</v>
      </c>
      <c r="Q19" s="35" t="str">
        <f>IFERROR(__xludf.DUMMYFUNCTION("""COMPUTED_VALUE"""),"FREE")</f>
        <v>FREE</v>
      </c>
      <c r="R19" s="35">
        <f>IFERROR(__xludf.DUMMYFUNCTION("""COMPUTED_VALUE"""),6000000.0)</f>
        <v>6000000</v>
      </c>
      <c r="S19" s="35">
        <f>IFERROR(__xludf.DUMMYFUNCTION("""COMPUTED_VALUE"""),7000000.0)</f>
        <v>7000000</v>
      </c>
      <c r="T19" s="35">
        <f>IFERROR(__xludf.DUMMYFUNCTION("""COMPUTED_VALUE"""),3000000.0)</f>
        <v>3000000</v>
      </c>
      <c r="U19" s="35" t="str">
        <f>IFERROR(__xludf.DUMMYFUNCTION("""COMPUTED_VALUE"""),"FREE")</f>
        <v>FREE</v>
      </c>
      <c r="V19" s="35" t="str">
        <f>IFERROR(__xludf.DUMMYFUNCTION("""COMPUTED_VALUE"""),"FREE")</f>
        <v>FREE</v>
      </c>
      <c r="W19" s="35" t="str">
        <f>IFERROR(__xludf.DUMMYFUNCTION("""COMPUTED_VALUE"""),"FREE")</f>
        <v>FREE</v>
      </c>
      <c r="X19" s="35">
        <f>IFERROR(__xludf.DUMMYFUNCTION("""COMPUTED_VALUE"""),1000000.0)</f>
        <v>1000000</v>
      </c>
      <c r="Y19" s="27"/>
    </row>
    <row r="20">
      <c r="A20" s="27"/>
      <c r="B20" s="33" t="str">
        <f>IFERROR(__xludf.DUMMYFUNCTION("""COMPUTED_VALUE"""),"luthfy.h20")</f>
        <v>luthfy.h20</v>
      </c>
      <c r="C20" s="34">
        <f>IFERROR(__xludf.DUMMYFUNCTION("""COMPUTED_VALUE"""),148000.0)</f>
        <v>148000</v>
      </c>
      <c r="D20" s="27" t="str">
        <f>IFERROR(__xludf.DUMMYFUNCTION("""COMPUTED_VALUE"""),"Mid")</f>
        <v>Mid</v>
      </c>
      <c r="E20" s="33" t="str">
        <f>IFERROR(__xludf.DUMMYFUNCTION("""COMPUTED_VALUE"""),"luthfy.h20")</f>
        <v>luthfy.h20</v>
      </c>
      <c r="F20" s="281">
        <f>IFERROR(__xludf.DUMMYFUNCTION("""COMPUTED_VALUE"""),1500000.0)</f>
        <v>1500000</v>
      </c>
      <c r="G20" s="27" t="str">
        <f>IFERROR(__xludf.DUMMYFUNCTION("""COMPUTED_VALUE"""),"Mega")</f>
        <v>Mega</v>
      </c>
      <c r="H20" s="27" t="str">
        <f>IFERROR(__xludf.DUMMYFUNCTION("""COMPUTED_VALUE"""),"Tasikmalaya")</f>
        <v>Tasikmalaya</v>
      </c>
      <c r="I20" s="27" t="str">
        <f>IFERROR(__xludf.DUMMYFUNCTION("""COMPUTED_VALUE"""),"- Lifestyle Male 
- Family
- Pasutri")</f>
        <v>- Lifestyle Male 
- Family
- Pasutri</v>
      </c>
      <c r="J20" s="27"/>
      <c r="K20" s="35">
        <f>IFERROR(__xludf.DUMMYFUNCTION("""COMPUTED_VALUE"""),2000000.0)</f>
        <v>2000000</v>
      </c>
      <c r="L20" s="35">
        <f>IFERROR(__xludf.DUMMYFUNCTION("""COMPUTED_VALUE"""),2500000.0)</f>
        <v>2500000</v>
      </c>
      <c r="M20" s="35">
        <f>IFERROR(__xludf.DUMMYFUNCTION("""COMPUTED_VALUE"""),500000.0)</f>
        <v>500000</v>
      </c>
      <c r="N20" s="35">
        <f>IFERROR(__xludf.DUMMYFUNCTION("""COMPUTED_VALUE"""),4500000.0)</f>
        <v>4500000</v>
      </c>
      <c r="O20" s="35">
        <f>IFERROR(__xludf.DUMMYFUNCTION("""COMPUTED_VALUE"""),4500000.0)</f>
        <v>4500000</v>
      </c>
      <c r="P20" s="35">
        <f>IFERROR(__xludf.DUMMYFUNCTION("""COMPUTED_VALUE"""),8000000.0)</f>
        <v>8000000</v>
      </c>
      <c r="Q20" s="35" t="str">
        <f>IFERROR(__xludf.DUMMYFUNCTION("""COMPUTED_VALUE"""),"FREE")</f>
        <v>FREE</v>
      </c>
      <c r="R20" s="35">
        <f>IFERROR(__xludf.DUMMYFUNCTION("""COMPUTED_VALUE"""),1.1E7)</f>
        <v>11000000</v>
      </c>
      <c r="S20" s="35">
        <f>IFERROR(__xludf.DUMMYFUNCTION("""COMPUTED_VALUE"""),1.3E7)</f>
        <v>13000000</v>
      </c>
      <c r="T20" s="27"/>
      <c r="U20" s="35" t="str">
        <f>IFERROR(__xludf.DUMMYFUNCTION("""COMPUTED_VALUE"""),"FREE")</f>
        <v>FREE</v>
      </c>
      <c r="V20" s="35" t="str">
        <f>IFERROR(__xludf.DUMMYFUNCTION("""COMPUTED_VALUE"""),"FREE")</f>
        <v>FREE</v>
      </c>
      <c r="W20" s="35" t="str">
        <f>IFERROR(__xludf.DUMMYFUNCTION("""COMPUTED_VALUE"""),"FREE")</f>
        <v>FREE</v>
      </c>
      <c r="X20" s="27"/>
      <c r="Y20" s="27"/>
    </row>
    <row r="21">
      <c r="A21" s="27"/>
      <c r="B21" s="33" t="str">
        <f>IFERROR(__xludf.DUMMYFUNCTION("""COMPUTED_VALUE"""),"rizkywahyudinata_")</f>
        <v>rizkywahyudinata_</v>
      </c>
      <c r="C21" s="34">
        <f>IFERROR(__xludf.DUMMYFUNCTION("""COMPUTED_VALUE"""),142000.0)</f>
        <v>142000</v>
      </c>
      <c r="D21" s="27" t="str">
        <f>IFERROR(__xludf.DUMMYFUNCTION("""COMPUTED_VALUE"""),"Mid")</f>
        <v>Mid</v>
      </c>
      <c r="E21" s="33" t="str">
        <f>IFERROR(__xludf.DUMMYFUNCTION("""COMPUTED_VALUE"""),"amoskiduy0512")</f>
        <v>amoskiduy0512</v>
      </c>
      <c r="F21" s="34">
        <f>IFERROR(__xludf.DUMMYFUNCTION("""COMPUTED_VALUE"""),714500.0)</f>
        <v>714500</v>
      </c>
      <c r="G21" s="27" t="str">
        <f>IFERROR(__xludf.DUMMYFUNCTION("""COMPUTED_VALUE"""),"Macro")</f>
        <v>Macro</v>
      </c>
      <c r="H21" s="27" t="str">
        <f>IFERROR(__xludf.DUMMYFUNCTION("""COMPUTED_VALUE"""),"Tangerang")</f>
        <v>Tangerang</v>
      </c>
      <c r="I21" s="27" t="str">
        <f>IFERROR(__xludf.DUMMYFUNCTION("""COMPUTED_VALUE"""),"- Lifestyle Male 
- Family
- Pasutri")</f>
        <v>- Lifestyle Male 
- Family
- Pasutri</v>
      </c>
      <c r="J21" s="27"/>
      <c r="K21" s="35">
        <f>IFERROR(__xludf.DUMMYFUNCTION("""COMPUTED_VALUE"""),2000000.0)</f>
        <v>2000000</v>
      </c>
      <c r="L21" s="35">
        <f>IFERROR(__xludf.DUMMYFUNCTION("""COMPUTED_VALUE"""),3000000.0)</f>
        <v>3000000</v>
      </c>
      <c r="M21" s="35" t="str">
        <f>IFERROR(__xludf.DUMMYFUNCTION("""COMPUTED_VALUE"""),"FREE")</f>
        <v>FREE</v>
      </c>
      <c r="N21" s="35">
        <f>IFERROR(__xludf.DUMMYFUNCTION("""COMPUTED_VALUE"""),2000000.0)</f>
        <v>2000000</v>
      </c>
      <c r="O21" s="27"/>
      <c r="P21" s="35">
        <f>IFERROR(__xludf.DUMMYFUNCTION("""COMPUTED_VALUE"""),5000000.0)</f>
        <v>5000000</v>
      </c>
      <c r="Q21" s="35">
        <f>IFERROR(__xludf.DUMMYFUNCTION("""COMPUTED_VALUE"""),1000000.0)</f>
        <v>1000000</v>
      </c>
      <c r="R21" s="35">
        <f>IFERROR(__xludf.DUMMYFUNCTION("""COMPUTED_VALUE"""),5000000.0)</f>
        <v>5000000</v>
      </c>
      <c r="S21" s="35">
        <f>IFERROR(__xludf.DUMMYFUNCTION("""COMPUTED_VALUE"""),6000000.0)</f>
        <v>6000000</v>
      </c>
      <c r="T21" s="27"/>
      <c r="U21" s="27"/>
      <c r="V21" s="35">
        <f>IFERROR(__xludf.DUMMYFUNCTION("""COMPUTED_VALUE"""),1000000.0)</f>
        <v>1000000</v>
      </c>
      <c r="W21" s="35" t="str">
        <f>IFERROR(__xludf.DUMMYFUNCTION("""COMPUTED_VALUE"""),"FREE")</f>
        <v>FREE</v>
      </c>
      <c r="X21" s="35">
        <f>IFERROR(__xludf.DUMMYFUNCTION("""COMPUTED_VALUE"""),1000000.0)</f>
        <v>1000000</v>
      </c>
      <c r="Y21" s="27"/>
    </row>
    <row r="22">
      <c r="A22" s="27"/>
      <c r="B22" s="33" t="str">
        <f>IFERROR(__xludf.DUMMYFUNCTION("""COMPUTED_VALUE"""),"hasbyalf")</f>
        <v>hasbyalf</v>
      </c>
      <c r="C22" s="34">
        <f>IFERROR(__xludf.DUMMYFUNCTION("""COMPUTED_VALUE"""),121000.0)</f>
        <v>121000</v>
      </c>
      <c r="D22" s="27" t="str">
        <f>IFERROR(__xludf.DUMMYFUNCTION("""COMPUTED_VALUE"""),"Mid")</f>
        <v>Mid</v>
      </c>
      <c r="E22" s="33" t="str">
        <f>IFERROR(__xludf.DUMMYFUNCTION("""COMPUTED_VALUE"""),"hasbyalf")</f>
        <v>hasbyalf</v>
      </c>
      <c r="F22" s="281">
        <f>IFERROR(__xludf.DUMMYFUNCTION("""COMPUTED_VALUE"""),1900000.0)</f>
        <v>1900000</v>
      </c>
      <c r="G22" s="27" t="str">
        <f>IFERROR(__xludf.DUMMYFUNCTION("""COMPUTED_VALUE"""),"Mega")</f>
        <v>Mega</v>
      </c>
      <c r="H22" s="27" t="str">
        <f>IFERROR(__xludf.DUMMYFUNCTION("""COMPUTED_VALUE"""),"Bandung")</f>
        <v>Bandung</v>
      </c>
      <c r="I22" s="27" t="str">
        <f>IFERROR(__xludf.DUMMYFUNCTION("""COMPUTED_VALUE"""),"- Lifestyle Male 
- Family
- Pasutri")</f>
        <v>- Lifestyle Male 
- Family
- Pasutri</v>
      </c>
      <c r="J22" s="27"/>
      <c r="K22" s="35">
        <f>IFERROR(__xludf.DUMMYFUNCTION("""COMPUTED_VALUE"""),500000.0)</f>
        <v>500000</v>
      </c>
      <c r="L22" s="35" t="str">
        <f>IFERROR(__xludf.DUMMYFUNCTION("""COMPUTED_VALUE"""),"Rp800,000 (Free Tap Link)")</f>
        <v>Rp800,000 (Free Tap Link)</v>
      </c>
      <c r="M22" s="27"/>
      <c r="N22" s="35">
        <f>IFERROR(__xludf.DUMMYFUNCTION("""COMPUTED_VALUE"""),700000.0)</f>
        <v>700000</v>
      </c>
      <c r="O22" s="27"/>
      <c r="P22" s="35">
        <f>IFERROR(__xludf.DUMMYFUNCTION("""COMPUTED_VALUE"""),4000000.0)</f>
        <v>4000000</v>
      </c>
      <c r="Q22" s="27"/>
      <c r="R22" s="35">
        <f>IFERROR(__xludf.DUMMYFUNCTION("""COMPUTED_VALUE"""),6500000.0)</f>
        <v>6500000</v>
      </c>
      <c r="S22" s="27"/>
      <c r="T22" s="27"/>
      <c r="U22" s="27"/>
      <c r="V22" s="27"/>
      <c r="W22" s="27"/>
      <c r="X22" s="27"/>
      <c r="Y22" s="27"/>
    </row>
    <row r="23">
      <c r="A23" s="27"/>
      <c r="B23" s="33" t="str">
        <f>IFERROR(__xludf.DUMMYFUNCTION("""COMPUTED_VALUE"""),"@molita_lin")</f>
        <v>@molita_lin</v>
      </c>
      <c r="C23" s="34">
        <f>IFERROR(__xludf.DUMMYFUNCTION("""COMPUTED_VALUE"""),421000.0)</f>
        <v>421000</v>
      </c>
      <c r="D23" s="27" t="str">
        <f>IFERROR(__xludf.DUMMYFUNCTION("""COMPUTED_VALUE"""),"Mid")</f>
        <v>Mid</v>
      </c>
      <c r="E23" s="33" t="str">
        <f>IFERROR(__xludf.DUMMYFUNCTION("""COMPUTED_VALUE"""),"@molita.lin")</f>
        <v>@molita.lin</v>
      </c>
      <c r="F23" s="34">
        <f>IFERROR(__xludf.DUMMYFUNCTION("""COMPUTED_VALUE"""),83800.0)</f>
        <v>83800</v>
      </c>
      <c r="G23" s="27" t="str">
        <f>IFERROR(__xludf.DUMMYFUNCTION("""COMPUTED_VALUE"""),"Micro")</f>
        <v>Micro</v>
      </c>
      <c r="H23" s="27" t="str">
        <f>IFERROR(__xludf.DUMMYFUNCTION("""COMPUTED_VALUE"""),"Bali")</f>
        <v>Bali</v>
      </c>
      <c r="I23" s="27" t="str">
        <f>IFERROR(__xludf.DUMMYFUNCTION("""COMPUTED_VALUE"""),"- Beauty
- Lifestlye Female
- Pasutri")</f>
        <v>- Beauty
- Lifestlye Female
- Pasutri</v>
      </c>
      <c r="J23" s="27"/>
      <c r="K23" s="35">
        <f>IFERROR(__xludf.DUMMYFUNCTION("""COMPUTED_VALUE"""),1.0E7)</f>
        <v>10000000</v>
      </c>
      <c r="L23" s="35">
        <f>IFERROR(__xludf.DUMMYFUNCTION("""COMPUTED_VALUE"""),1.5E7)</f>
        <v>15000000</v>
      </c>
      <c r="M23" s="35">
        <f>IFERROR(__xludf.DUMMYFUNCTION("""COMPUTED_VALUE"""),2000000.0)</f>
        <v>2000000</v>
      </c>
      <c r="N23" s="35">
        <f>IFERROR(__xludf.DUMMYFUNCTION("""COMPUTED_VALUE"""),1.9E7)</f>
        <v>19000000</v>
      </c>
      <c r="O23" s="35">
        <f>IFERROR(__xludf.DUMMYFUNCTION("""COMPUTED_VALUE"""),2.1E7)</f>
        <v>21000000</v>
      </c>
      <c r="P23" s="35">
        <f>IFERROR(__xludf.DUMMYFUNCTION("""COMPUTED_VALUE"""),7.0E7)</f>
        <v>70000000</v>
      </c>
      <c r="Q23" s="27" t="str">
        <f>IFERROR(__xludf.DUMMYFUNCTION("""COMPUTED_VALUE"""),"+Rp2,000,000")</f>
        <v>+Rp2,000,000</v>
      </c>
      <c r="R23" s="35">
        <f>IFERROR(__xludf.DUMMYFUNCTION("""COMPUTED_VALUE"""),3.5E7)</f>
        <v>35000000</v>
      </c>
      <c r="S23" s="35">
        <f>IFERROR(__xludf.DUMMYFUNCTION("""COMPUTED_VALUE"""),5.5E7)</f>
        <v>55000000</v>
      </c>
      <c r="T23" s="27"/>
      <c r="U23" s="27"/>
      <c r="V23" s="27"/>
      <c r="W23" s="27"/>
      <c r="X23" s="27"/>
      <c r="Y23" s="27"/>
    </row>
    <row r="24">
      <c r="A24" s="27"/>
      <c r="B24" s="33" t="str">
        <f>IFERROR(__xludf.DUMMYFUNCTION("""COMPUTED_VALUE"""),"@jenniferchrstie")</f>
        <v>@jenniferchrstie</v>
      </c>
      <c r="C24" s="34">
        <f>IFERROR(__xludf.DUMMYFUNCTION("""COMPUTED_VALUE"""),979000.0)</f>
        <v>979000</v>
      </c>
      <c r="D24" s="27" t="str">
        <f>IFERROR(__xludf.DUMMYFUNCTION("""COMPUTED_VALUE"""),"Macro")</f>
        <v>Macro</v>
      </c>
      <c r="E24" s="33" t="str">
        <f>IFERROR(__xludf.DUMMYFUNCTION("""COMPUTED_VALUE"""),"@jenniferchrstie")</f>
        <v>@jenniferchrstie</v>
      </c>
      <c r="F24" s="281">
        <f>IFERROR(__xludf.DUMMYFUNCTION("""COMPUTED_VALUE"""),2600000.0)</f>
        <v>2600000</v>
      </c>
      <c r="G24" s="27" t="str">
        <f>IFERROR(__xludf.DUMMYFUNCTION("""COMPUTED_VALUE"""),"Mega")</f>
        <v>Mega</v>
      </c>
      <c r="H24" s="27" t="str">
        <f>IFERROR(__xludf.DUMMYFUNCTION("""COMPUTED_VALUE"""),"Jakarta")</f>
        <v>Jakarta</v>
      </c>
      <c r="I24" s="27" t="str">
        <f>IFERROR(__xludf.DUMMYFUNCTION("""COMPUTED_VALUE"""),"- Lifestyle Female 
- Pasutri")</f>
        <v>- Lifestyle Female 
- Pasutri</v>
      </c>
      <c r="J24" s="27"/>
      <c r="K24" s="35">
        <f>IFERROR(__xludf.DUMMYFUNCTION("""COMPUTED_VALUE"""),2.0E7)</f>
        <v>20000000</v>
      </c>
      <c r="L24" s="35">
        <f>IFERROR(__xludf.DUMMYFUNCTION("""COMPUTED_VALUE"""),2.2E7)</f>
        <v>22000000</v>
      </c>
      <c r="M24" s="35">
        <f>IFERROR(__xludf.DUMMYFUNCTION("""COMPUTED_VALUE"""),2000000.0)</f>
        <v>2000000</v>
      </c>
      <c r="N24" s="35">
        <f>IFERROR(__xludf.DUMMYFUNCTION("""COMPUTED_VALUE"""),2.5E7)</f>
        <v>25000000</v>
      </c>
      <c r="O24" s="35">
        <f>IFERROR(__xludf.DUMMYFUNCTION("""COMPUTED_VALUE"""),2.5E7)</f>
        <v>25000000</v>
      </c>
      <c r="P24" s="35">
        <f>IFERROR(__xludf.DUMMYFUNCTION("""COMPUTED_VALUE"""),3.0E7)</f>
        <v>30000000</v>
      </c>
      <c r="Q24" s="35">
        <f>IFERROR(__xludf.DUMMYFUNCTION("""COMPUTED_VALUE"""),1.0E7)</f>
        <v>10000000</v>
      </c>
      <c r="R24" s="35">
        <f>IFERROR(__xludf.DUMMYFUNCTION("""COMPUTED_VALUE"""),3.3E7)</f>
        <v>33000000</v>
      </c>
      <c r="S24" s="35">
        <f>IFERROR(__xludf.DUMMYFUNCTION("""COMPUTED_VALUE"""),1.0E7)</f>
        <v>10000000</v>
      </c>
      <c r="T24" s="35">
        <f>IFERROR(__xludf.DUMMYFUNCTION("""COMPUTED_VALUE"""),1.5E7)</f>
        <v>15000000</v>
      </c>
      <c r="U24" s="37">
        <f>IFERROR(__xludf.DUMMYFUNCTION("""COMPUTED_VALUE"""),0.5)</f>
        <v>0.5</v>
      </c>
      <c r="V24" s="37">
        <f>IFERROR(__xludf.DUMMYFUNCTION("""COMPUTED_VALUE"""),0.2)</f>
        <v>0.2</v>
      </c>
      <c r="W24" s="27"/>
      <c r="X24" s="35">
        <f>IFERROR(__xludf.DUMMYFUNCTION("""COMPUTED_VALUE"""),8000000.0)</f>
        <v>8000000</v>
      </c>
      <c r="Y24" s="27"/>
    </row>
    <row r="25">
      <c r="A25" s="27"/>
      <c r="B25" s="33" t="str">
        <f>IFERROR(__xludf.DUMMYFUNCTION("""COMPUTED_VALUE"""),"shazhaniaa")</f>
        <v>shazhaniaa</v>
      </c>
      <c r="C25" s="281">
        <f>IFERROR(__xludf.DUMMYFUNCTION("""COMPUTED_VALUE"""),1000000.0)</f>
        <v>1000000</v>
      </c>
      <c r="D25" s="27" t="str">
        <f>IFERROR(__xludf.DUMMYFUNCTION("""COMPUTED_VALUE"""),"Macro")</f>
        <v>Macro</v>
      </c>
      <c r="E25" s="33" t="str">
        <f>IFERROR(__xludf.DUMMYFUNCTION("""COMPUTED_VALUE"""),"_shaz")</f>
        <v>_shaz</v>
      </c>
      <c r="F25" s="281">
        <f>IFERROR(__xludf.DUMMYFUNCTION("""COMPUTED_VALUE"""),1000000.0)</f>
        <v>1000000</v>
      </c>
      <c r="G25" s="27" t="str">
        <f>IFERROR(__xludf.DUMMYFUNCTION("""COMPUTED_VALUE"""),"Macro")</f>
        <v>Macro</v>
      </c>
      <c r="H25" s="27" t="str">
        <f>IFERROR(__xludf.DUMMYFUNCTION("""COMPUTED_VALUE"""),"Jakarta")</f>
        <v>Jakarta</v>
      </c>
      <c r="I25" s="27" t="str">
        <f>IFERROR(__xludf.DUMMYFUNCTION("""COMPUTED_VALUE"""),"- Lifestyle Female
- Beauty
- Pasutri
- Family")</f>
        <v>- Lifestyle Female
- Beauty
- Pasutri
- Family</v>
      </c>
      <c r="J25" s="27"/>
      <c r="K25" s="35">
        <f>IFERROR(__xludf.DUMMYFUNCTION("""COMPUTED_VALUE"""),1.0E7)</f>
        <v>10000000</v>
      </c>
      <c r="L25" s="35">
        <f>IFERROR(__xludf.DUMMYFUNCTION("""COMPUTED_VALUE"""),2.1E7)</f>
        <v>21000000</v>
      </c>
      <c r="M25" s="35" t="str">
        <f>IFERROR(__xludf.DUMMYFUNCTION("""COMPUTED_VALUE"""),"FREE")</f>
        <v>FREE</v>
      </c>
      <c r="N25" s="35">
        <f>IFERROR(__xludf.DUMMYFUNCTION("""COMPUTED_VALUE"""),2.7E7)</f>
        <v>27000000</v>
      </c>
      <c r="O25" s="35">
        <f>IFERROR(__xludf.DUMMYFUNCTION("""COMPUTED_VALUE"""),5000000.0)</f>
        <v>5000000</v>
      </c>
      <c r="P25" s="35" t="str">
        <f>IFERROR(__xludf.DUMMYFUNCTION("""COMPUTED_VALUE"""),"Rp36,000,000
Rp38,000,000 (professional cam)")</f>
        <v>Rp36,000,000
Rp38,000,000 (professional cam)</v>
      </c>
      <c r="Q25" s="35">
        <f>IFERROR(__xludf.DUMMYFUNCTION("""COMPUTED_VALUE"""),8000000.0)</f>
        <v>8000000</v>
      </c>
      <c r="R25" s="35">
        <f>IFERROR(__xludf.DUMMYFUNCTION("""COMPUTED_VALUE"""),3.0E7)</f>
        <v>30000000</v>
      </c>
      <c r="S25" s="35">
        <f>IFERROR(__xludf.DUMMYFUNCTION("""COMPUTED_VALUE"""),5.0E7)</f>
        <v>50000000</v>
      </c>
      <c r="T25" s="35">
        <f>IFERROR(__xludf.DUMMYFUNCTION("""COMPUTED_VALUE"""),3.0E7)</f>
        <v>30000000</v>
      </c>
      <c r="U25" s="37">
        <f>IFERROR(__xludf.DUMMYFUNCTION("""COMPUTED_VALUE"""),0.5)</f>
        <v>0.5</v>
      </c>
      <c r="V25" s="37">
        <f>IFERROR(__xludf.DUMMYFUNCTION("""COMPUTED_VALUE"""),0.35)</f>
        <v>0.35</v>
      </c>
      <c r="W25" s="27"/>
      <c r="X25" s="35" t="str">
        <f>IFERROR(__xludf.DUMMYFUNCTION("""COMPUTED_VALUE"""),"Rp10,000,000 (Jakarta)
Rp12,000,000 (outside Jakarta)
2 hours max")</f>
        <v>Rp10,000,000 (Jakarta)
Rp12,000,000 (outside Jakarta)
2 hours max</v>
      </c>
      <c r="Y25" s="27"/>
    </row>
    <row r="26">
      <c r="A26" s="27"/>
      <c r="B26" s="33" t="str">
        <f>IFERROR(__xludf.DUMMYFUNCTION("""COMPUTED_VALUE"""),"vanessasevilla.vs")</f>
        <v>vanessasevilla.vs</v>
      </c>
      <c r="C26" s="34">
        <f>IFERROR(__xludf.DUMMYFUNCTION("""COMPUTED_VALUE"""),162000.0)</f>
        <v>162000</v>
      </c>
      <c r="D26" s="27" t="str">
        <f>IFERROR(__xludf.DUMMYFUNCTION("""COMPUTED_VALUE"""),"Mid")</f>
        <v>Mid</v>
      </c>
      <c r="E26" s="36" t="str">
        <f>IFERROR(__xludf.DUMMYFUNCTION("""COMPUTED_VALUE"""),"v.sevillaaa")</f>
        <v>v.sevillaaa</v>
      </c>
      <c r="F26" s="34">
        <f>IFERROR(__xludf.DUMMYFUNCTION("""COMPUTED_VALUE"""),337100.0)</f>
        <v>337100</v>
      </c>
      <c r="G26" s="27" t="str">
        <f>IFERROR(__xludf.DUMMYFUNCTION("""COMPUTED_VALUE"""),"Mid")</f>
        <v>Mid</v>
      </c>
      <c r="H26" s="27" t="str">
        <f>IFERROR(__xludf.DUMMYFUNCTION("""COMPUTED_VALUE"""),"Jambi")</f>
        <v>Jambi</v>
      </c>
      <c r="I26" s="27" t="str">
        <f>IFERROR(__xludf.DUMMYFUNCTION("""COMPUTED_VALUE"""),"- Beauty
- Pasutri")</f>
        <v>- Beauty
- Pasutri</v>
      </c>
      <c r="J26" s="35">
        <f>IFERROR(__xludf.DUMMYFUNCTION("""COMPUTED_VALUE"""),600000.0)</f>
        <v>600000</v>
      </c>
      <c r="K26" s="35">
        <f>IFERROR(__xludf.DUMMYFUNCTION("""COMPUTED_VALUE"""),1500000.0)</f>
        <v>1500000</v>
      </c>
      <c r="L26" s="35">
        <f>IFERROR(__xludf.DUMMYFUNCTION("""COMPUTED_VALUE"""),2500000.0)</f>
        <v>2500000</v>
      </c>
      <c r="M26" s="35">
        <f>IFERROR(__xludf.DUMMYFUNCTION("""COMPUTED_VALUE"""),200000.0)</f>
        <v>200000</v>
      </c>
      <c r="N26" s="35">
        <f>IFERROR(__xludf.DUMMYFUNCTION("""COMPUTED_VALUE"""),3000000.0)</f>
        <v>3000000</v>
      </c>
      <c r="O26" s="35">
        <f>IFERROR(__xludf.DUMMYFUNCTION("""COMPUTED_VALUE"""),3000000.0)</f>
        <v>3000000</v>
      </c>
      <c r="P26" s="35">
        <f>IFERROR(__xludf.DUMMYFUNCTION("""COMPUTED_VALUE"""),9000000.0)</f>
        <v>9000000</v>
      </c>
      <c r="Q26" s="35">
        <f>IFERROR(__xludf.DUMMYFUNCTION("""COMPUTED_VALUE"""),1000000.0)</f>
        <v>1000000</v>
      </c>
      <c r="R26" s="35">
        <f>IFERROR(__xludf.DUMMYFUNCTION("""COMPUTED_VALUE"""),1.05E7)</f>
        <v>10500000</v>
      </c>
      <c r="S26" s="35">
        <f>IFERROR(__xludf.DUMMYFUNCTION("""COMPUTED_VALUE"""),9750000.0)</f>
        <v>9750000</v>
      </c>
      <c r="T26" s="35">
        <f>IFERROR(__xludf.DUMMYFUNCTION("""COMPUTED_VALUE"""),8000000.0)</f>
        <v>8000000</v>
      </c>
      <c r="U26" s="35">
        <f>IFERROR(__xludf.DUMMYFUNCTION("""COMPUTED_VALUE"""),3000000.0)</f>
        <v>3000000</v>
      </c>
      <c r="V26" s="35">
        <f>IFERROR(__xludf.DUMMYFUNCTION("""COMPUTED_VALUE"""),500000.0)</f>
        <v>500000</v>
      </c>
      <c r="W26" s="35">
        <f>IFERROR(__xludf.DUMMYFUNCTION("""COMPUTED_VALUE"""),500000.0)</f>
        <v>500000</v>
      </c>
      <c r="X26" s="35">
        <f>IFERROR(__xludf.DUMMYFUNCTION("""COMPUTED_VALUE"""),1.8E7)</f>
        <v>18000000</v>
      </c>
      <c r="Y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14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</hyperlinks>
  <drawing r:id="rId47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""Mom &amp; Kids!A4:Y999"")"),1.0)</f>
        <v>1</v>
      </c>
      <c r="B4" s="18" t="str">
        <f>IFERROR(__xludf.DUMMYFUNCTION("""COMPUTED_VALUE"""),"nadianraulya")</f>
        <v>nadianraulya</v>
      </c>
      <c r="C4" s="19">
        <f>IFERROR(__xludf.DUMMYFUNCTION("""COMPUTED_VALUE"""),1000000.0)</f>
        <v>1000000</v>
      </c>
      <c r="D4" s="17" t="str">
        <f>IFERROR(__xludf.DUMMYFUNCTION("""COMPUTED_VALUE"""),"Macro")</f>
        <v>Macro</v>
      </c>
      <c r="E4" s="18" t="str">
        <f>IFERROR(__xludf.DUMMYFUNCTION("""COMPUTED_VALUE"""),"nadianuraulyaa")</f>
        <v>nadianuraulyaa</v>
      </c>
      <c r="F4" s="23">
        <f>IFERROR(__xludf.DUMMYFUNCTION("""COMPUTED_VALUE"""),590200.0)</f>
        <v>590200</v>
      </c>
      <c r="G4" s="17" t="str">
        <f>IFERROR(__xludf.DUMMYFUNCTION("""COMPUTED_VALUE"""),"Macro")</f>
        <v>Macro</v>
      </c>
      <c r="H4" s="17" t="str">
        <f>IFERROR(__xludf.DUMMYFUNCTION("""COMPUTED_VALUE"""),"Bandung")</f>
        <v>Bandung</v>
      </c>
      <c r="I4" s="17" t="str">
        <f>IFERROR(__xludf.DUMMYFUNCTION("""COMPUTED_VALUE"""),"- Lifestyle Female
- Mom &amp; Kids
- Fashion Wanita")</f>
        <v>- Lifestyle Female
- Mom &amp; Kids
- Fashion Wanita</v>
      </c>
      <c r="J4" s="20">
        <f>IFERROR(__xludf.DUMMYFUNCTION("""COMPUTED_VALUE"""),500000.0)</f>
        <v>500000</v>
      </c>
      <c r="K4" s="20">
        <f>IFERROR(__xludf.DUMMYFUNCTION("""COMPUTED_VALUE"""),3000000.0)</f>
        <v>3000000</v>
      </c>
      <c r="L4" s="20">
        <f>IFERROR(__xludf.DUMMYFUNCTION("""COMPUTED_VALUE"""),3500000.0)</f>
        <v>3500000</v>
      </c>
      <c r="M4" s="20" t="str">
        <f>IFERROR(__xludf.DUMMYFUNCTION("""COMPUTED_VALUE"""),"FREE")</f>
        <v>FREE</v>
      </c>
      <c r="N4" s="20">
        <f>IFERROR(__xludf.DUMMYFUNCTION("""COMPUTED_VALUE"""),4000000.0)</f>
        <v>4000000</v>
      </c>
      <c r="O4" s="17"/>
      <c r="P4" s="20" t="str">
        <f>IFERROR(__xludf.DUMMYFUNCTION("""COMPUTED_VALUE"""),"Rp7,000,000 - Rp9,000,000")</f>
        <v>Rp7,000,000 - Rp9,000,000</v>
      </c>
      <c r="Q4" s="20" t="str">
        <f>IFERROR(__xludf.DUMMYFUNCTION("""COMPUTED_VALUE"""),"FREE")</f>
        <v>FREE</v>
      </c>
      <c r="R4" s="20">
        <f>IFERROR(__xludf.DUMMYFUNCTION("""COMPUTED_VALUE"""),1500000.0)</f>
        <v>1500000</v>
      </c>
      <c r="S4" s="20">
        <f>IFERROR(__xludf.DUMMYFUNCTION("""COMPUTED_VALUE"""),6000000.0)</f>
        <v>6000000</v>
      </c>
      <c r="T4" s="17"/>
      <c r="U4" s="17"/>
      <c r="V4" s="17"/>
      <c r="W4" s="20" t="str">
        <f>IFERROR(__xludf.DUMMYFUNCTION("""COMPUTED_VALUE"""),"FREE")</f>
        <v>FREE</v>
      </c>
      <c r="X4" s="17"/>
      <c r="Y4" s="17"/>
    </row>
    <row r="5">
      <c r="A5" s="17">
        <f>IFERROR(__xludf.DUMMYFUNCTION("""COMPUTED_VALUE"""),2.0)</f>
        <v>2</v>
      </c>
      <c r="B5" s="18" t="str">
        <f>IFERROR(__xludf.DUMMYFUNCTION("""COMPUTED_VALUE"""),"gelialinn")</f>
        <v>gelialinn</v>
      </c>
      <c r="C5" s="19">
        <f>IFERROR(__xludf.DUMMYFUNCTION("""COMPUTED_VALUE"""),1000000.0)</f>
        <v>1000000</v>
      </c>
      <c r="D5" s="17" t="str">
        <f>IFERROR(__xludf.DUMMYFUNCTION("""COMPUTED_VALUE"""),"Macro")</f>
        <v>Macro</v>
      </c>
      <c r="E5" s="18" t="str">
        <f>IFERROR(__xludf.DUMMYFUNCTION("""COMPUTED_VALUE"""),"gelialinda")</f>
        <v>gelialinda</v>
      </c>
      <c r="F5" s="19">
        <f>IFERROR(__xludf.DUMMYFUNCTION("""COMPUTED_VALUE"""),4800000.0)</f>
        <v>4800000</v>
      </c>
      <c r="G5" s="17" t="str">
        <f>IFERROR(__xludf.DUMMYFUNCTION("""COMPUTED_VALUE"""),"Mega")</f>
        <v>Mega</v>
      </c>
      <c r="H5" s="17" t="str">
        <f>IFERROR(__xludf.DUMMYFUNCTION("""COMPUTED_VALUE"""),"Tasikmalaya")</f>
        <v>Tasikmalaya</v>
      </c>
      <c r="I5" s="17" t="str">
        <f>IFERROR(__xludf.DUMMYFUNCTION("""COMPUTED_VALUE"""),"- Lifestyle Female 
- Pasutri
- Family
- Mom &amp; Kids")</f>
        <v>- Lifestyle Female 
- Pasutri
- Family
- Mom &amp; Kids</v>
      </c>
      <c r="J5" s="20">
        <f>IFERROR(__xludf.DUMMYFUNCTION("""COMPUTED_VALUE"""),6000000.0)</f>
        <v>6000000</v>
      </c>
      <c r="K5" s="20">
        <f>IFERROR(__xludf.DUMMYFUNCTION("""COMPUTED_VALUE"""),6000000.0)</f>
        <v>6000000</v>
      </c>
      <c r="L5" s="20">
        <f>IFERROR(__xludf.DUMMYFUNCTION("""COMPUTED_VALUE"""),8000000.0)</f>
        <v>8000000</v>
      </c>
      <c r="M5" s="20">
        <f>IFERROR(__xludf.DUMMYFUNCTION("""COMPUTED_VALUE"""),500000.0)</f>
        <v>500000</v>
      </c>
      <c r="N5" s="20">
        <f>IFERROR(__xludf.DUMMYFUNCTION("""COMPUTED_VALUE"""),8000000.0)</f>
        <v>8000000</v>
      </c>
      <c r="O5" s="20">
        <f>IFERROR(__xludf.DUMMYFUNCTION("""COMPUTED_VALUE"""),8500000.0)</f>
        <v>8500000</v>
      </c>
      <c r="P5" s="20">
        <f>IFERROR(__xludf.DUMMYFUNCTION("""COMPUTED_VALUE"""),2.5E7)</f>
        <v>25000000</v>
      </c>
      <c r="Q5" s="20">
        <f>IFERROR(__xludf.DUMMYFUNCTION("""COMPUTED_VALUE"""),500000.0)</f>
        <v>500000</v>
      </c>
      <c r="R5" s="20">
        <f>IFERROR(__xludf.DUMMYFUNCTION("""COMPUTED_VALUE"""),3.0E7)</f>
        <v>30000000</v>
      </c>
      <c r="S5" s="20">
        <f>IFERROR(__xludf.DUMMYFUNCTION("""COMPUTED_VALUE"""),1.0E7)</f>
        <v>10000000</v>
      </c>
      <c r="T5" s="20">
        <f>IFERROR(__xludf.DUMMYFUNCTION("""COMPUTED_VALUE"""),7000000.0)</f>
        <v>7000000</v>
      </c>
      <c r="U5" s="21">
        <f>IFERROR(__xludf.DUMMYFUNCTION("""COMPUTED_VALUE"""),0.5)</f>
        <v>0.5</v>
      </c>
      <c r="V5" s="20">
        <f>IFERROR(__xludf.DUMMYFUNCTION("""COMPUTED_VALUE"""),2000000.0)</f>
        <v>2000000</v>
      </c>
      <c r="W5" s="20">
        <f>IFERROR(__xludf.DUMMYFUNCTION("""COMPUTED_VALUE"""),2000000.0)</f>
        <v>2000000</v>
      </c>
      <c r="X5" s="20">
        <f>IFERROR(__xludf.DUMMYFUNCTION("""COMPUTED_VALUE"""),1.0E7)</f>
        <v>10000000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IFERROR(__xludf.DUMMYFUNCTION("""COMPUTED_VALUE"""),"imasfahriaty_")</f>
        <v>imasfahriaty_</v>
      </c>
      <c r="C6" s="23">
        <f>IFERROR(__xludf.DUMMYFUNCTION("""COMPUTED_VALUE"""),879000.0)</f>
        <v>879000</v>
      </c>
      <c r="D6" s="17" t="str">
        <f>IFERROR(__xludf.DUMMYFUNCTION("""COMPUTED_VALUE"""),"Macro")</f>
        <v>Macro</v>
      </c>
      <c r="E6" s="18" t="str">
        <f>IFERROR(__xludf.DUMMYFUNCTION("""COMPUTED_VALUE"""),"imasfahriaty_")</f>
        <v>imasfahriaty_</v>
      </c>
      <c r="F6" s="19">
        <f>IFERROR(__xludf.DUMMYFUNCTION("""COMPUTED_VALUE"""),3800000.0)</f>
        <v>3800000</v>
      </c>
      <c r="G6" s="17" t="str">
        <f>IFERROR(__xludf.DUMMYFUNCTION("""COMPUTED_VALUE"""),"Mega")</f>
        <v>Mega</v>
      </c>
      <c r="H6" s="17" t="str">
        <f>IFERROR(__xludf.DUMMYFUNCTION("""COMPUTED_VALUE"""),"Tangerang")</f>
        <v>Tangerang</v>
      </c>
      <c r="I6" s="17" t="str">
        <f>IFERROR(__xludf.DUMMYFUNCTION("""COMPUTED_VALUE"""),"- Lifestyle Female 
- Pasutri
- Family
- Mom &amp; Kids")</f>
        <v>- Lifestyle Female 
- Pasutri
- Family
- Mom &amp; Kids</v>
      </c>
      <c r="J6" s="20">
        <f>IFERROR(__xludf.DUMMYFUNCTION("""COMPUTED_VALUE"""),2000000.0)</f>
        <v>2000000</v>
      </c>
      <c r="K6" s="20">
        <f>IFERROR(__xludf.DUMMYFUNCTION("""COMPUTED_VALUE"""),3500000.0)</f>
        <v>3500000</v>
      </c>
      <c r="L6" s="20">
        <f>IFERROR(__xludf.DUMMYFUNCTION("""COMPUTED_VALUE"""),5000000.0)</f>
        <v>5000000</v>
      </c>
      <c r="M6" s="20" t="str">
        <f>IFERROR(__xludf.DUMMYFUNCTION("""COMPUTED_VALUE"""),"FREE")</f>
        <v>FREE</v>
      </c>
      <c r="N6" s="20">
        <f>IFERROR(__xludf.DUMMYFUNCTION("""COMPUTED_VALUE"""),6000000.0)</f>
        <v>6000000</v>
      </c>
      <c r="O6" s="20">
        <f>IFERROR(__xludf.DUMMYFUNCTION("""COMPUTED_VALUE"""),1.0E7)</f>
        <v>10000000</v>
      </c>
      <c r="P6" s="20">
        <f>IFERROR(__xludf.DUMMYFUNCTION("""COMPUTED_VALUE"""),1.5E7)</f>
        <v>15000000</v>
      </c>
      <c r="Q6" s="20">
        <f>IFERROR(__xludf.DUMMYFUNCTION("""COMPUTED_VALUE"""),1000000.0)</f>
        <v>1000000</v>
      </c>
      <c r="R6" s="20">
        <f>IFERROR(__xludf.DUMMYFUNCTION("""COMPUTED_VALUE"""),1.6E7)</f>
        <v>16000000</v>
      </c>
      <c r="S6" s="20">
        <f>IFERROR(__xludf.DUMMYFUNCTION("""COMPUTED_VALUE"""),2.0E7)</f>
        <v>20000000</v>
      </c>
      <c r="T6" s="20" t="str">
        <f>IFERROR(__xludf.DUMMYFUNCTION("""COMPUTED_VALUE"""),"-")</f>
        <v>-</v>
      </c>
      <c r="U6" s="20" t="str">
        <f>IFERROR(__xludf.DUMMYFUNCTION("""COMPUTED_VALUE"""),"100% ratecard")</f>
        <v>100% ratecard</v>
      </c>
      <c r="V6" s="20" t="str">
        <f>IFERROR(__xludf.DUMMYFUNCTION("""COMPUTED_VALUE"""),"FREE")</f>
        <v>FREE</v>
      </c>
      <c r="W6" s="20">
        <f>IFERROR(__xludf.DUMMYFUNCTION("""COMPUTED_VALUE"""),1000000.0)</f>
        <v>1000000</v>
      </c>
      <c r="X6" s="20" t="str">
        <f>IFERROR(__xludf.DUMMYFUNCTION("""COMPUTED_VALUE"""),"Rp1,000,000 (Jabodetabek) Rp2,000,000 (Luar Jabodetabek)")</f>
        <v>Rp1,000,000 (Jabodetabek) Rp2,000,000 (Luar Jabodetabek)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IFERROR(__xludf.DUMMYFUNCTION("""COMPUTED_VALUE"""),"kekevaangelista")</f>
        <v>kekevaangelista</v>
      </c>
      <c r="C7" s="23">
        <f>IFERROR(__xludf.DUMMYFUNCTION("""COMPUTED_VALUE"""),708000.0)</f>
        <v>708000</v>
      </c>
      <c r="D7" s="17" t="str">
        <f>IFERROR(__xludf.DUMMYFUNCTION("""COMPUTED_VALUE"""),"Macro")</f>
        <v>Macro</v>
      </c>
      <c r="E7" s="18" t="str">
        <f>IFERROR(__xludf.DUMMYFUNCTION("""COMPUTED_VALUE"""),"kekevaangelista")</f>
        <v>kekevaangelista</v>
      </c>
      <c r="F7" s="19">
        <f>IFERROR(__xludf.DUMMYFUNCTION("""COMPUTED_VALUE"""),1000000.0)</f>
        <v>1000000</v>
      </c>
      <c r="G7" s="17" t="str">
        <f>IFERROR(__xludf.DUMMYFUNCTION("""COMPUTED_VALUE"""),"Macro")</f>
        <v>Macro</v>
      </c>
      <c r="H7" s="17" t="str">
        <f>IFERROR(__xludf.DUMMYFUNCTION("""COMPUTED_VALUE"""),"Bogor")</f>
        <v>Bogor</v>
      </c>
      <c r="I7" s="17" t="str">
        <f>IFERROR(__xludf.DUMMYFUNCTION("""COMPUTED_VALUE"""),"- Lifestyle Female 
- Pasutri
- Family
- Mom &amp; Kids")</f>
        <v>- Lifestyle Female 
- Pasutri
- Family
- Mom &amp; Kids</v>
      </c>
      <c r="J7" s="20">
        <f>IFERROR(__xludf.DUMMYFUNCTION("""COMPUTED_VALUE"""),2500000.0)</f>
        <v>2500000</v>
      </c>
      <c r="K7" s="20">
        <f>IFERROR(__xludf.DUMMYFUNCTION("""COMPUTED_VALUE"""),2500000.0)</f>
        <v>2500000</v>
      </c>
      <c r="L7" s="20">
        <f>IFERROR(__xludf.DUMMYFUNCTION("""COMPUTED_VALUE"""),7500000.0)</f>
        <v>7500000</v>
      </c>
      <c r="M7" s="20" t="str">
        <f>IFERROR(__xludf.DUMMYFUNCTION("""COMPUTED_VALUE"""),"FREE")</f>
        <v>FREE</v>
      </c>
      <c r="N7" s="20">
        <f>IFERROR(__xludf.DUMMYFUNCTION("""COMPUTED_VALUE"""),4000000.0)</f>
        <v>4000000</v>
      </c>
      <c r="O7" s="20">
        <f>IFERROR(__xludf.DUMMYFUNCTION("""COMPUTED_VALUE"""),7500000.0)</f>
        <v>7500000</v>
      </c>
      <c r="P7" s="20">
        <f>IFERROR(__xludf.DUMMYFUNCTION("""COMPUTED_VALUE"""),1.1E7)</f>
        <v>11000000</v>
      </c>
      <c r="Q7" s="20">
        <f>IFERROR(__xludf.DUMMYFUNCTION("""COMPUTED_VALUE"""),2000000.0)</f>
        <v>2000000</v>
      </c>
      <c r="R7" s="20">
        <f>IFERROR(__xludf.DUMMYFUNCTION("""COMPUTED_VALUE"""),1.2E7)</f>
        <v>12000000</v>
      </c>
      <c r="S7" s="20">
        <f>IFERROR(__xludf.DUMMYFUNCTION("""COMPUTED_VALUE"""),1.9E7)</f>
        <v>19000000</v>
      </c>
      <c r="T7" s="17"/>
      <c r="U7" s="20">
        <f>IFERROR(__xludf.DUMMYFUNCTION("""COMPUTED_VALUE"""),3000000.0)</f>
        <v>3000000</v>
      </c>
      <c r="V7" s="20">
        <f>IFERROR(__xludf.DUMMYFUNCTION("""COMPUTED_VALUE"""),1000000.0)</f>
        <v>1000000</v>
      </c>
      <c r="W7" s="17"/>
      <c r="X7" s="20">
        <f>IFERROR(__xludf.DUMMYFUNCTION("""COMPUTED_VALUE"""),4000000.0)</f>
        <v>4000000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IFERROR(__xludf.DUMMYFUNCTION("""COMPUTED_VALUE"""),"putrinahari")</f>
        <v>putrinahari</v>
      </c>
      <c r="C8" s="23">
        <f>IFERROR(__xludf.DUMMYFUNCTION("""COMPUTED_VALUE"""),589000.0)</f>
        <v>589000</v>
      </c>
      <c r="D8" s="17" t="str">
        <f>IFERROR(__xludf.DUMMYFUNCTION("""COMPUTED_VALUE"""),"Macro")</f>
        <v>Macro</v>
      </c>
      <c r="E8" s="18" t="str">
        <f>IFERROR(__xludf.DUMMYFUNCTION("""COMPUTED_VALUE"""),"putrinaharira")</f>
        <v>putrinaharira</v>
      </c>
      <c r="F8" s="23">
        <f>IFERROR(__xludf.DUMMYFUNCTION("""COMPUTED_VALUE"""),201700.0)</f>
        <v>201700</v>
      </c>
      <c r="G8" s="17" t="str">
        <f>IFERROR(__xludf.DUMMYFUNCTION("""COMPUTED_VALUE"""),"Mid")</f>
        <v>Mid</v>
      </c>
      <c r="H8" s="17" t="str">
        <f>IFERROR(__xludf.DUMMYFUNCTION("""COMPUTED_VALUE"""),"Tangerang")</f>
        <v>Tangerang</v>
      </c>
      <c r="I8" s="17" t="str">
        <f>IFERROR(__xludf.DUMMYFUNCTION("""COMPUTED_VALUE"""),"- Lifestyle Female 
- Pasutri
- Family
- Mom &amp; Kids")</f>
        <v>- Lifestyle Female 
- Pasutri
- Family
- Mom &amp; Kids</v>
      </c>
      <c r="J8" s="20">
        <f>IFERROR(__xludf.DUMMYFUNCTION("""COMPUTED_VALUE"""),750000.0)</f>
        <v>750000</v>
      </c>
      <c r="K8" s="17"/>
      <c r="L8" s="17"/>
      <c r="M8" s="17"/>
      <c r="N8" s="20">
        <f>IFERROR(__xludf.DUMMYFUNCTION("""COMPUTED_VALUE"""),4000000.0)</f>
        <v>4000000</v>
      </c>
      <c r="O8" s="20">
        <f>IFERROR(__xludf.DUMMYFUNCTION("""COMPUTED_VALUE"""),4000000.0)</f>
        <v>4000000</v>
      </c>
      <c r="P8" s="20">
        <f>IFERROR(__xludf.DUMMYFUNCTION("""COMPUTED_VALUE"""),6000000.0)</f>
        <v>6000000</v>
      </c>
      <c r="Q8" s="20" t="str">
        <f>IFERROR(__xludf.DUMMYFUNCTION("""COMPUTED_VALUE"""),"FREE")</f>
        <v>FREE</v>
      </c>
      <c r="R8" s="20">
        <f>IFERROR(__xludf.DUMMYFUNCTION("""COMPUTED_VALUE"""),1.0E7)</f>
        <v>10000000</v>
      </c>
      <c r="S8" s="20" t="str">
        <f>IFERROR(__xludf.DUMMYFUNCTION("""COMPUTED_VALUE"""),"FREE")</f>
        <v>FREE</v>
      </c>
      <c r="T8" s="20">
        <f>IFERROR(__xludf.DUMMYFUNCTION("""COMPUTED_VALUE"""),3000000.0)</f>
        <v>3000000</v>
      </c>
      <c r="U8" s="20" t="str">
        <f>IFERROR(__xludf.DUMMYFUNCTION("""COMPUTED_VALUE"""),"FREE")</f>
        <v>FREE</v>
      </c>
      <c r="V8" s="20" t="str">
        <f>IFERROR(__xludf.DUMMYFUNCTION("""COMPUTED_VALUE"""),"FREE")</f>
        <v>FREE</v>
      </c>
      <c r="W8" s="20" t="str">
        <f>IFERROR(__xludf.DUMMYFUNCTION("""COMPUTED_VALUE"""),"FREE")</f>
        <v>FREE</v>
      </c>
      <c r="X8" s="20">
        <f>IFERROR(__xludf.DUMMYFUNCTION("""COMPUTED_VALUE"""),1500000.0)</f>
        <v>1500000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IFERROR(__xludf.DUMMYFUNCTION("""COMPUTED_VALUE"""),"trishaazia")</f>
        <v>trishaazia</v>
      </c>
      <c r="C9" s="23">
        <f>IFERROR(__xludf.DUMMYFUNCTION("""COMPUTED_VALUE"""),571000.0)</f>
        <v>571000</v>
      </c>
      <c r="D9" s="17" t="str">
        <f>IFERROR(__xludf.DUMMYFUNCTION("""COMPUTED_VALUE"""),"Macro")</f>
        <v>Macro</v>
      </c>
      <c r="E9" s="18" t="str">
        <f>IFERROR(__xludf.DUMMYFUNCTION("""COMPUTED_VALUE"""),"trishaaazia")</f>
        <v>trishaaazia</v>
      </c>
      <c r="F9" s="19">
        <f>IFERROR(__xludf.DUMMYFUNCTION("""COMPUTED_VALUE"""),9500000.0)</f>
        <v>9500000</v>
      </c>
      <c r="G9" s="17" t="str">
        <f>IFERROR(__xludf.DUMMYFUNCTION("""COMPUTED_VALUE"""),"Mega")</f>
        <v>Mega</v>
      </c>
      <c r="H9" s="17" t="str">
        <f>IFERROR(__xludf.DUMMYFUNCTION("""COMPUTED_VALUE"""),"Depok")</f>
        <v>Depok</v>
      </c>
      <c r="I9" s="17" t="str">
        <f>IFERROR(__xludf.DUMMYFUNCTION("""COMPUTED_VALUE"""),"- Lifestyle Female 
- Pasutri
- Family
- Mom &amp; Kids")</f>
        <v>- Lifestyle Female 
- Pasutri
- Family
- Mom &amp; Kids</v>
      </c>
      <c r="J9" s="20">
        <f>IFERROR(__xludf.DUMMYFUNCTION("""COMPUTED_VALUE"""),500000.0)</f>
        <v>500000</v>
      </c>
      <c r="K9" s="20">
        <f>IFERROR(__xludf.DUMMYFUNCTION("""COMPUTED_VALUE"""),1000000.0)</f>
        <v>1000000</v>
      </c>
      <c r="L9" s="20">
        <f>IFERROR(__xludf.DUMMYFUNCTION("""COMPUTED_VALUE"""),1500000.0)</f>
        <v>1500000</v>
      </c>
      <c r="M9" s="20" t="str">
        <f>IFERROR(__xludf.DUMMYFUNCTION("""COMPUTED_VALUE"""),"FREE")</f>
        <v>FREE</v>
      </c>
      <c r="N9" s="20">
        <f>IFERROR(__xludf.DUMMYFUNCTION("""COMPUTED_VALUE"""),5000000.0)</f>
        <v>5000000</v>
      </c>
      <c r="O9" s="20">
        <f>IFERROR(__xludf.DUMMYFUNCTION("""COMPUTED_VALUE"""),5500000.0)</f>
        <v>5500000</v>
      </c>
      <c r="P9" s="20">
        <f>IFERROR(__xludf.DUMMYFUNCTION("""COMPUTED_VALUE"""),8000000.0)</f>
        <v>8000000</v>
      </c>
      <c r="Q9" s="20" t="str">
        <f>IFERROR(__xludf.DUMMYFUNCTION("""COMPUTED_VALUE"""),"FREE")</f>
        <v>FREE</v>
      </c>
      <c r="R9" s="20">
        <f>IFERROR(__xludf.DUMMYFUNCTION("""COMPUTED_VALUE"""),1.5E7)</f>
        <v>15000000</v>
      </c>
      <c r="S9" s="20">
        <f>IFERROR(__xludf.DUMMYFUNCTION("""COMPUTED_VALUE"""),1.8E7)</f>
        <v>18000000</v>
      </c>
      <c r="T9" s="20">
        <f>IFERROR(__xludf.DUMMYFUNCTION("""COMPUTED_VALUE"""),5000000.0)</f>
        <v>5000000</v>
      </c>
      <c r="U9" s="20" t="str">
        <f>IFERROR(__xludf.DUMMYFUNCTION("""COMPUTED_VALUE"""),"FREE")</f>
        <v>FREE</v>
      </c>
      <c r="V9" s="20">
        <f>IFERROR(__xludf.DUMMYFUNCTION("""COMPUTED_VALUE"""),1000000.0)</f>
        <v>1000000</v>
      </c>
      <c r="W9" s="20" t="str">
        <f>IFERROR(__xludf.DUMMYFUNCTION("""COMPUTED_VALUE"""),"FREE")</f>
        <v>FREE</v>
      </c>
      <c r="X9" s="20">
        <f>IFERROR(__xludf.DUMMYFUNCTION("""COMPUTED_VALUE"""),1000000.0)</f>
        <v>1000000</v>
      </c>
      <c r="Y9" s="17"/>
    </row>
    <row r="10">
      <c r="A10" s="17">
        <f>IFERROR(__xludf.DUMMYFUNCTION("""COMPUTED_VALUE"""),7.0)</f>
        <v>7</v>
      </c>
      <c r="B10" s="18" t="str">
        <f>IFERROR(__xludf.DUMMYFUNCTION("""COMPUTED_VALUE"""),"Ka.reys")</f>
        <v>Ka.reys</v>
      </c>
      <c r="C10" s="23">
        <f>IFERROR(__xludf.DUMMYFUNCTION("""COMPUTED_VALUE"""),527000.0)</f>
        <v>527000</v>
      </c>
      <c r="D10" s="17" t="str">
        <f>IFERROR(__xludf.DUMMYFUNCTION("""COMPUTED_VALUE"""),"Macro")</f>
        <v>Macro</v>
      </c>
      <c r="E10" s="18" t="str">
        <f>IFERROR(__xludf.DUMMYFUNCTION("""COMPUTED_VALUE"""),"kayesssss")</f>
        <v>kayesssss</v>
      </c>
      <c r="F10" s="19">
        <f>IFERROR(__xludf.DUMMYFUNCTION("""COMPUTED_VALUE"""),3200000.0)</f>
        <v>3200000</v>
      </c>
      <c r="G10" s="17" t="str">
        <f>IFERROR(__xludf.DUMMYFUNCTION("""COMPUTED_VALUE"""),"Mega")</f>
        <v>Mega</v>
      </c>
      <c r="H10" s="17" t="str">
        <f>IFERROR(__xludf.DUMMYFUNCTION("""COMPUTED_VALUE"""),"Bekasi")</f>
        <v>Bekasi</v>
      </c>
      <c r="I10" s="17" t="str">
        <f>IFERROR(__xludf.DUMMYFUNCTION("""COMPUTED_VALUE"""),"- Lifestyle Female 
- Pasutri
- Family
- Mom &amp; Kids")</f>
        <v>- Lifestyle Female 
- Pasutri
- Family
- Mom &amp; Kids</v>
      </c>
      <c r="J10" s="20">
        <f>IFERROR(__xludf.DUMMYFUNCTION("""COMPUTED_VALUE"""),500000.0)</f>
        <v>500000</v>
      </c>
      <c r="K10" s="20">
        <f>IFERROR(__xludf.DUMMYFUNCTION("""COMPUTED_VALUE"""),1300000.0)</f>
        <v>1300000</v>
      </c>
      <c r="L10" s="17"/>
      <c r="M10" s="20" t="str">
        <f>IFERROR(__xludf.DUMMYFUNCTION("""COMPUTED_VALUE"""),"FREE")</f>
        <v>FREE</v>
      </c>
      <c r="N10" s="20">
        <f>IFERROR(__xludf.DUMMYFUNCTION("""COMPUTED_VALUE"""),2700000.0)</f>
        <v>2700000</v>
      </c>
      <c r="O10" s="17"/>
      <c r="P10" s="20">
        <f>IFERROR(__xludf.DUMMYFUNCTION("""COMPUTED_VALUE"""),3700000.0)</f>
        <v>3700000</v>
      </c>
      <c r="Q10" s="20" t="str">
        <f>IFERROR(__xludf.DUMMYFUNCTION("""COMPUTED_VALUE"""),"FREE")</f>
        <v>FREE</v>
      </c>
      <c r="R10" s="20">
        <f>IFERROR(__xludf.DUMMYFUNCTION("""COMPUTED_VALUE"""),5500000.0)</f>
        <v>5500000</v>
      </c>
      <c r="S10" s="20">
        <f>IFERROR(__xludf.DUMMYFUNCTION("""COMPUTED_VALUE"""),7000000.0)</f>
        <v>7000000</v>
      </c>
      <c r="T10" s="17"/>
      <c r="U10" s="20">
        <f>IFERROR(__xludf.DUMMYFUNCTION("""COMPUTED_VALUE"""),2000000.0)</f>
        <v>2000000</v>
      </c>
      <c r="V10" s="17"/>
      <c r="W10" s="20" t="str">
        <f>IFERROR(__xludf.DUMMYFUNCTION("""COMPUTED_VALUE"""),"FREE")</f>
        <v>FREE</v>
      </c>
      <c r="X10" s="20">
        <f>IFERROR(__xludf.DUMMYFUNCTION("""COMPUTED_VALUE"""),1500000.0)</f>
        <v>1500000</v>
      </c>
      <c r="Y10" s="17"/>
    </row>
    <row r="11">
      <c r="A11" s="17">
        <f>IFERROR(__xludf.DUMMYFUNCTION("""COMPUTED_VALUE"""),8.0)</f>
        <v>8</v>
      </c>
      <c r="B11" s="18" t="str">
        <f>IFERROR(__xludf.DUMMYFUNCTION("""COMPUTED_VALUE"""),"aisyafputri")</f>
        <v>aisyafputri</v>
      </c>
      <c r="C11" s="23">
        <f>IFERROR(__xludf.DUMMYFUNCTION("""COMPUTED_VALUE"""),456000.0)</f>
        <v>456000</v>
      </c>
      <c r="D11" s="17" t="str">
        <f>IFERROR(__xludf.DUMMYFUNCTION("""COMPUTED_VALUE"""),"Mid")</f>
        <v>Mid</v>
      </c>
      <c r="E11" s="18" t="str">
        <f>IFERROR(__xludf.DUMMYFUNCTION("""COMPUTED_VALUE"""),"aisyafputri")</f>
        <v>aisyafputri</v>
      </c>
      <c r="F11" s="19">
        <f>IFERROR(__xludf.DUMMYFUNCTION("""COMPUTED_VALUE"""),986500.0)</f>
        <v>986500</v>
      </c>
      <c r="G11" s="17" t="str">
        <f>IFERROR(__xludf.DUMMYFUNCTION("""COMPUTED_VALUE"""),"Macro")</f>
        <v>Macro</v>
      </c>
      <c r="H11" s="17" t="str">
        <f>IFERROR(__xludf.DUMMYFUNCTION("""COMPUTED_VALUE"""),"Bogor")</f>
        <v>Bogor</v>
      </c>
      <c r="I11" s="17" t="str">
        <f>IFERROR(__xludf.DUMMYFUNCTION("""COMPUTED_VALUE"""),"- Lifestyle Female 
- Pasutri
- Family
- Mom &amp; Kids")</f>
        <v>- Lifestyle Female 
- Pasutri
- Family
- Mom &amp; Kids</v>
      </c>
      <c r="J11" s="20">
        <f>IFERROR(__xludf.DUMMYFUNCTION("""COMPUTED_VALUE"""),500000.0)</f>
        <v>500000</v>
      </c>
      <c r="K11" s="20">
        <f>IFERROR(__xludf.DUMMYFUNCTION("""COMPUTED_VALUE"""),3000000.0)</f>
        <v>3000000</v>
      </c>
      <c r="L11" s="20">
        <f>IFERROR(__xludf.DUMMYFUNCTION("""COMPUTED_VALUE"""),5000000.0)</f>
        <v>5000000</v>
      </c>
      <c r="M11" s="20" t="str">
        <f>IFERROR(__xludf.DUMMYFUNCTION("""COMPUTED_VALUE"""),"FREE")</f>
        <v>FREE</v>
      </c>
      <c r="N11" s="20">
        <f>IFERROR(__xludf.DUMMYFUNCTION("""COMPUTED_VALUE"""),4500000.0)</f>
        <v>4500000</v>
      </c>
      <c r="O11" s="20">
        <f>IFERROR(__xludf.DUMMYFUNCTION("""COMPUTED_VALUE"""),5000000.0)</f>
        <v>5000000</v>
      </c>
      <c r="P11" s="20">
        <f>IFERROR(__xludf.DUMMYFUNCTION("""COMPUTED_VALUE"""),7500000.0)</f>
        <v>7500000</v>
      </c>
      <c r="Q11" s="20" t="str">
        <f>IFERROR(__xludf.DUMMYFUNCTION("""COMPUTED_VALUE"""),"FREE")</f>
        <v>FREE</v>
      </c>
      <c r="R11" s="20">
        <f>IFERROR(__xludf.DUMMYFUNCTION("""COMPUTED_VALUE"""),7000000.0)</f>
        <v>7000000</v>
      </c>
      <c r="S11" s="20">
        <f>IFERROR(__xludf.DUMMYFUNCTION("""COMPUTED_VALUE"""),3000000.0)</f>
        <v>3000000</v>
      </c>
      <c r="T11" s="17"/>
      <c r="U11" s="20">
        <f>IFERROR(__xludf.DUMMYFUNCTION("""COMPUTED_VALUE"""),3000000.0)</f>
        <v>3000000</v>
      </c>
      <c r="V11" s="20">
        <f>IFERROR(__xludf.DUMMYFUNCTION("""COMPUTED_VALUE"""),1500000.0)</f>
        <v>1500000</v>
      </c>
      <c r="W11" s="20">
        <f>IFERROR(__xludf.DUMMYFUNCTION("""COMPUTED_VALUE"""),500000.0)</f>
        <v>500000</v>
      </c>
      <c r="X11" s="20">
        <f>IFERROR(__xludf.DUMMYFUNCTION("""COMPUTED_VALUE"""),1500000.0)</f>
        <v>1500000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IFERROR(__xludf.DUMMYFUNCTION("""COMPUTED_VALUE"""),"nabilabellai_")</f>
        <v>nabilabellai_</v>
      </c>
      <c r="C12" s="23">
        <f>IFERROR(__xludf.DUMMYFUNCTION("""COMPUTED_VALUE"""),420000.0)</f>
        <v>420000</v>
      </c>
      <c r="D12" s="17" t="str">
        <f>IFERROR(__xludf.DUMMYFUNCTION("""COMPUTED_VALUE"""),"Mid")</f>
        <v>Mid</v>
      </c>
      <c r="E12" s="284" t="str">
        <f>IFERROR(__xludf.DUMMYFUNCTION("""COMPUTED_VALUE"""),"nabilabellai_")</f>
        <v>nabilabellai_</v>
      </c>
      <c r="F12" s="23">
        <f>IFERROR(__xludf.DUMMYFUNCTION("""COMPUTED_VALUE"""),106700.0)</f>
        <v>106700</v>
      </c>
      <c r="G12" s="17" t="str">
        <f>IFERROR(__xludf.DUMMYFUNCTION("""COMPUTED_VALUE"""),"Mid")</f>
        <v>Mid</v>
      </c>
      <c r="H12" s="17" t="str">
        <f>IFERROR(__xludf.DUMMYFUNCTION("""COMPUTED_VALUE"""),"Bandung")</f>
        <v>Bandung</v>
      </c>
      <c r="I12" s="17" t="str">
        <f>IFERROR(__xludf.DUMMYFUNCTION("""COMPUTED_VALUE"""),"- Lifestyle Female
- Fashion Wanita
- Mom &amp; Kids")</f>
        <v>- Lifestyle Female
- Fashion Wanita
- Mom &amp; Kids</v>
      </c>
      <c r="J12" s="20">
        <f>IFERROR(__xludf.DUMMYFUNCTION("""COMPUTED_VALUE"""),600000.0)</f>
        <v>600000</v>
      </c>
      <c r="K12" s="20">
        <f>IFERROR(__xludf.DUMMYFUNCTION("""COMPUTED_VALUE"""),7000000.0)</f>
        <v>7000000</v>
      </c>
      <c r="L12" s="20">
        <f>IFERROR(__xludf.DUMMYFUNCTION("""COMPUTED_VALUE"""),8000000.0)</f>
        <v>8000000</v>
      </c>
      <c r="M12" s="20" t="str">
        <f>IFERROR(__xludf.DUMMYFUNCTION("""COMPUTED_VALUE"""),"FREE")</f>
        <v>FREE</v>
      </c>
      <c r="N12" s="20">
        <f>IFERROR(__xludf.DUMMYFUNCTION("""COMPUTED_VALUE"""),7000000.0)</f>
        <v>7000000</v>
      </c>
      <c r="O12" s="20">
        <f>IFERROR(__xludf.DUMMYFUNCTION("""COMPUTED_VALUE"""),8000000.0)</f>
        <v>8000000</v>
      </c>
      <c r="P12" s="20">
        <f>IFERROR(__xludf.DUMMYFUNCTION("""COMPUTED_VALUE"""),1.5E7)</f>
        <v>15000000</v>
      </c>
      <c r="Q12" s="20" t="str">
        <f>IFERROR(__xludf.DUMMYFUNCTION("""COMPUTED_VALUE"""),"FREE")</f>
        <v>FREE</v>
      </c>
      <c r="R12" s="20">
        <f>IFERROR(__xludf.DUMMYFUNCTION("""COMPUTED_VALUE"""),8000000.0)</f>
        <v>8000000</v>
      </c>
      <c r="S12" s="20">
        <f>IFERROR(__xludf.DUMMYFUNCTION("""COMPUTED_VALUE"""),1.5E7)</f>
        <v>15000000</v>
      </c>
      <c r="T12" s="20">
        <f>IFERROR(__xludf.DUMMYFUNCTION("""COMPUTED_VALUE"""),5000000.0)</f>
        <v>5000000</v>
      </c>
      <c r="U12" s="20" t="str">
        <f>IFERROR(__xludf.DUMMYFUNCTION("""COMPUTED_VALUE"""),"FREE")</f>
        <v>FREE</v>
      </c>
      <c r="V12" s="20" t="str">
        <f>IFERROR(__xludf.DUMMYFUNCTION("""COMPUTED_VALUE"""),"Pake Code Boost")</f>
        <v>Pake Code Boost</v>
      </c>
      <c r="W12" s="20">
        <f>IFERROR(__xludf.DUMMYFUNCTION("""COMPUTED_VALUE"""),1000000.0)</f>
        <v>1000000</v>
      </c>
      <c r="X12" s="20">
        <f>IFERROR(__xludf.DUMMYFUNCTION("""COMPUTED_VALUE"""),5000000.0)</f>
        <v>5000000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IFERROR(__xludf.DUMMYFUNCTION("""COMPUTED_VALUE"""),"seviqfebinita")</f>
        <v>seviqfebinita</v>
      </c>
      <c r="C13" s="23">
        <f>IFERROR(__xludf.DUMMYFUNCTION("""COMPUTED_VALUE"""),417000.0)</f>
        <v>417000</v>
      </c>
      <c r="D13" s="17" t="str">
        <f>IFERROR(__xludf.DUMMYFUNCTION("""COMPUTED_VALUE"""),"Mid")</f>
        <v>Mid</v>
      </c>
      <c r="E13" s="18" t="str">
        <f>IFERROR(__xludf.DUMMYFUNCTION("""COMPUTED_VALUE"""),"seviqfebinita")</f>
        <v>seviqfebinita</v>
      </c>
      <c r="F13" s="23">
        <f>IFERROR(__xludf.DUMMYFUNCTION("""COMPUTED_VALUE"""),103500.0)</f>
        <v>103500</v>
      </c>
      <c r="G13" s="17" t="str">
        <f>IFERROR(__xludf.DUMMYFUNCTION("""COMPUTED_VALUE"""),"Mid")</f>
        <v>Mid</v>
      </c>
      <c r="H13" s="17" t="str">
        <f>IFERROR(__xludf.DUMMYFUNCTION("""COMPUTED_VALUE"""),"Jakarta")</f>
        <v>Jakarta</v>
      </c>
      <c r="I13" s="17" t="str">
        <f>IFERROR(__xludf.DUMMYFUNCTION("""COMPUTED_VALUE"""),"- Lifestyle Female
- Fashion Wanita
- Mom &amp; Kids")</f>
        <v>- Lifestyle Female
- Fashion Wanita
- Mom &amp; Kids</v>
      </c>
      <c r="J13" s="20">
        <f>IFERROR(__xludf.DUMMYFUNCTION("""COMPUTED_VALUE"""),1000000.0)</f>
        <v>1000000</v>
      </c>
      <c r="K13" s="20">
        <f>IFERROR(__xludf.DUMMYFUNCTION("""COMPUTED_VALUE"""),5000000.0)</f>
        <v>5000000</v>
      </c>
      <c r="L13" s="20">
        <f>IFERROR(__xludf.DUMMYFUNCTION("""COMPUTED_VALUE"""),7500000.0)</f>
        <v>7500000</v>
      </c>
      <c r="M13" s="20" t="str">
        <f>IFERROR(__xludf.DUMMYFUNCTION("""COMPUTED_VALUE"""),"FREE")</f>
        <v>FREE</v>
      </c>
      <c r="N13" s="20">
        <f>IFERROR(__xludf.DUMMYFUNCTION("""COMPUTED_VALUE"""),8000000.0)</f>
        <v>8000000</v>
      </c>
      <c r="O13" s="20">
        <f>IFERROR(__xludf.DUMMYFUNCTION("""COMPUTED_VALUE"""),1.0E7)</f>
        <v>10000000</v>
      </c>
      <c r="P13" s="20">
        <f>IFERROR(__xludf.DUMMYFUNCTION("""COMPUTED_VALUE"""),1.5E7)</f>
        <v>15000000</v>
      </c>
      <c r="Q13" s="20" t="str">
        <f>IFERROR(__xludf.DUMMYFUNCTION("""COMPUTED_VALUE"""),"FREE")</f>
        <v>FREE</v>
      </c>
      <c r="R13" s="20">
        <f>IFERROR(__xludf.DUMMYFUNCTION("""COMPUTED_VALUE"""),1.0E7)</f>
        <v>10000000</v>
      </c>
      <c r="S13" s="20">
        <f>IFERROR(__xludf.DUMMYFUNCTION("""COMPUTED_VALUE"""),2.0E7)</f>
        <v>20000000</v>
      </c>
      <c r="T13" s="20" t="str">
        <f>IFERROR(__xludf.DUMMYFUNCTION("""COMPUTED_VALUE"""),"Rp10,000,000/2 jam")</f>
        <v>Rp10,000,000/2 jam</v>
      </c>
      <c r="U13" s="17" t="str">
        <f>IFERROR(__xludf.DUMMYFUNCTION("""COMPUTED_VALUE"""),"+100%")</f>
        <v>+100%</v>
      </c>
      <c r="V13" s="20">
        <f>IFERROR(__xludf.DUMMYFUNCTION("""COMPUTED_VALUE"""),3000000.0)</f>
        <v>3000000</v>
      </c>
      <c r="W13" s="20">
        <f>IFERROR(__xludf.DUMMYFUNCTION("""COMPUTED_VALUE"""),3000000.0)</f>
        <v>3000000</v>
      </c>
      <c r="X13" s="20">
        <f>IFERROR(__xludf.DUMMYFUNCTION("""COMPUTED_VALUE"""),1.5E7)</f>
        <v>15000000</v>
      </c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IFERROR(__xludf.DUMMYFUNCTION("""COMPUTED_VALUE"""),"elyanisa_")</f>
        <v>elyanisa_</v>
      </c>
      <c r="C14" s="23">
        <f>IFERROR(__xludf.DUMMYFUNCTION("""COMPUTED_VALUE"""),379000.0)</f>
        <v>379000</v>
      </c>
      <c r="D14" s="17" t="str">
        <f>IFERROR(__xludf.DUMMYFUNCTION("""COMPUTED_VALUE"""),"Mid")</f>
        <v>Mid</v>
      </c>
      <c r="E14" s="18" t="str">
        <f>IFERROR(__xludf.DUMMYFUNCTION("""COMPUTED_VALUE"""),"elyanisaa")</f>
        <v>elyanisaa</v>
      </c>
      <c r="F14" s="23">
        <f>IFERROR(__xludf.DUMMYFUNCTION("""COMPUTED_VALUE"""),72500.0)</f>
        <v>72500</v>
      </c>
      <c r="G14" s="17" t="str">
        <f>IFERROR(__xludf.DUMMYFUNCTION("""COMPUTED_VALUE"""),"Micro")</f>
        <v>Micro</v>
      </c>
      <c r="H14" s="17" t="str">
        <f>IFERROR(__xludf.DUMMYFUNCTION("""COMPUTED_VALUE"""),"Cimahi")</f>
        <v>Cimahi</v>
      </c>
      <c r="I14" s="17" t="str">
        <f>IFERROR(__xludf.DUMMYFUNCTION("""COMPUTED_VALUE"""),"- Lifestyle Female
- Fashion Wanita
- Mom &amp; Kids")</f>
        <v>- Lifestyle Female
- Fashion Wanita
- Mom &amp; Kids</v>
      </c>
      <c r="J14" s="20">
        <f>IFERROR(__xludf.DUMMYFUNCTION("""COMPUTED_VALUE"""),200000.0)</f>
        <v>200000</v>
      </c>
      <c r="K14" s="20">
        <f>IFERROR(__xludf.DUMMYFUNCTION("""COMPUTED_VALUE"""),1500000.0)</f>
        <v>1500000</v>
      </c>
      <c r="L14" s="17"/>
      <c r="M14" s="20" t="str">
        <f>IFERROR(__xludf.DUMMYFUNCTION("""COMPUTED_VALUE"""),"FREE")</f>
        <v>FREE</v>
      </c>
      <c r="N14" s="20">
        <f>IFERROR(__xludf.DUMMYFUNCTION("""COMPUTED_VALUE"""),3000000.0)</f>
        <v>3000000</v>
      </c>
      <c r="O14" s="17"/>
      <c r="P14" s="20">
        <f>IFERROR(__xludf.DUMMYFUNCTION("""COMPUTED_VALUE"""),8000000.0)</f>
        <v>8000000</v>
      </c>
      <c r="Q14" s="20" t="str">
        <f>IFERROR(__xludf.DUMMYFUNCTION("""COMPUTED_VALUE"""),"FREE")</f>
        <v>FREE</v>
      </c>
      <c r="R14" s="20">
        <f>IFERROR(__xludf.DUMMYFUNCTION("""COMPUTED_VALUE"""),3000000.0)</f>
        <v>3000000</v>
      </c>
      <c r="S14" s="20">
        <f>IFERROR(__xludf.DUMMYFUNCTION("""COMPUTED_VALUE"""),8000000.0)</f>
        <v>8000000</v>
      </c>
      <c r="T14" s="17"/>
      <c r="U14" s="17"/>
      <c r="V14" s="17"/>
      <c r="W14" s="17"/>
      <c r="X14" s="17" t="str">
        <f>IFERROR(__xludf.DUMMYFUNCTION("""COMPUTED_VALUE"""),"+Rp1,000,000 - Rp3,000,000")</f>
        <v>+Rp1,000,000 - Rp3,000,000</v>
      </c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IFERROR(__xludf.DUMMYFUNCTION("""COMPUTED_VALUE"""),"bellzky16")</f>
        <v>bellzky16</v>
      </c>
      <c r="C15" s="23">
        <f>IFERROR(__xludf.DUMMYFUNCTION("""COMPUTED_VALUE"""),315000.0)</f>
        <v>315000</v>
      </c>
      <c r="D15" s="17" t="str">
        <f>IFERROR(__xludf.DUMMYFUNCTION("""COMPUTED_VALUE"""),"Mid")</f>
        <v>Mid</v>
      </c>
      <c r="E15" s="24" t="str">
        <f>IFERROR(__xludf.DUMMYFUNCTION("""COMPUTED_VALUE"""),"bellzky16")</f>
        <v>bellzky16</v>
      </c>
      <c r="F15" s="19">
        <f>IFERROR(__xludf.DUMMYFUNCTION("""COMPUTED_VALUE"""),4000000.0)</f>
        <v>4000000</v>
      </c>
      <c r="G15" s="17" t="str">
        <f>IFERROR(__xludf.DUMMYFUNCTION("""COMPUTED_VALUE"""),"Mega")</f>
        <v>Mega</v>
      </c>
      <c r="H15" s="20" t="str">
        <f>IFERROR(__xludf.DUMMYFUNCTION("""COMPUTED_VALUE"""),"Tangerang")</f>
        <v>Tangerang</v>
      </c>
      <c r="I15" s="17" t="str">
        <f>IFERROR(__xludf.DUMMYFUNCTION("""COMPUTED_VALUE"""),"- Lifestyle Female 
- Pasutri
- Family
- Mom &amp; Kids")</f>
        <v>- Lifestyle Female 
- Pasutri
- Family
- Mom &amp; Kids</v>
      </c>
      <c r="J15" s="20">
        <f>IFERROR(__xludf.DUMMYFUNCTION("""COMPUTED_VALUE"""),1000000.0)</f>
        <v>1000000</v>
      </c>
      <c r="K15" s="20">
        <f>IFERROR(__xludf.DUMMYFUNCTION("""COMPUTED_VALUE"""),2000000.0)</f>
        <v>2000000</v>
      </c>
      <c r="L15" s="20">
        <f>IFERROR(__xludf.DUMMYFUNCTION("""COMPUTED_VALUE"""),6000000.0)</f>
        <v>6000000</v>
      </c>
      <c r="M15" s="17"/>
      <c r="N15" s="20">
        <f>IFERROR(__xludf.DUMMYFUNCTION("""COMPUTED_VALUE"""),5000000.0)</f>
        <v>5000000</v>
      </c>
      <c r="O15" s="20">
        <f>IFERROR(__xludf.DUMMYFUNCTION("""COMPUTED_VALUE"""),7000000.0)</f>
        <v>7000000</v>
      </c>
      <c r="P15" s="20">
        <f>IFERROR(__xludf.DUMMYFUNCTION("""COMPUTED_VALUE"""),8000000.0)</f>
        <v>8000000</v>
      </c>
      <c r="Q15" s="17"/>
      <c r="R15" s="20">
        <f>IFERROR(__xludf.DUMMYFUNCTION("""COMPUTED_VALUE"""),1.5E7)</f>
        <v>15000000</v>
      </c>
      <c r="S15" s="20">
        <f>IFERROR(__xludf.DUMMYFUNCTION("""COMPUTED_VALUE"""),2.1E7)</f>
        <v>21000000</v>
      </c>
      <c r="T15" s="20">
        <f>IFERROR(__xludf.DUMMYFUNCTION("""COMPUTED_VALUE"""),7000000.0)</f>
        <v>7000000</v>
      </c>
      <c r="U15" s="17"/>
      <c r="V15" s="17"/>
      <c r="W15" s="20">
        <f>IFERROR(__xludf.DUMMYFUNCTION("""COMPUTED_VALUE"""),3000000.0)</f>
        <v>3000000</v>
      </c>
      <c r="X15" s="20">
        <f>IFERROR(__xludf.DUMMYFUNCTION("""COMPUTED_VALUE"""),5000000.0)</f>
        <v>5000000</v>
      </c>
      <c r="Y15" s="17"/>
    </row>
    <row r="16">
      <c r="A16" s="17">
        <f>IFERROR(__xludf.DUMMYFUNCTION("""COMPUTED_VALUE"""),13.0)</f>
        <v>13</v>
      </c>
      <c r="B16" s="18" t="str">
        <f>IFERROR(__xludf.DUMMYFUNCTION("""COMPUTED_VALUE"""),"jelitawidiaw")</f>
        <v>jelitawidiaw</v>
      </c>
      <c r="C16" s="23">
        <f>IFERROR(__xludf.DUMMYFUNCTION("""COMPUTED_VALUE"""),297000.0)</f>
        <v>297000</v>
      </c>
      <c r="D16" s="17" t="str">
        <f>IFERROR(__xludf.DUMMYFUNCTION("""COMPUTED_VALUE"""),"Mid")</f>
        <v>Mid</v>
      </c>
      <c r="E16" s="18" t="str">
        <f>IFERROR(__xludf.DUMMYFUNCTION("""COMPUTED_VALUE"""),"jelitawidiaw")</f>
        <v>jelitawidiaw</v>
      </c>
      <c r="F16" s="19">
        <f>IFERROR(__xludf.DUMMYFUNCTION("""COMPUTED_VALUE"""),4800000.0)</f>
        <v>4800000</v>
      </c>
      <c r="G16" s="17" t="str">
        <f>IFERROR(__xludf.DUMMYFUNCTION("""COMPUTED_VALUE"""),"Mega")</f>
        <v>Mega</v>
      </c>
      <c r="H16" s="17" t="str">
        <f>IFERROR(__xludf.DUMMYFUNCTION("""COMPUTED_VALUE"""),"Tangerang")</f>
        <v>Tangerang</v>
      </c>
      <c r="I16" s="17" t="str">
        <f>IFERROR(__xludf.DUMMYFUNCTION("""COMPUTED_VALUE"""),"- Lifestyle Female 
- Pasutri
- Family
- Mom &amp; Kids")</f>
        <v>- Lifestyle Female 
- Pasutri
- Family
- Mom &amp; Kids</v>
      </c>
      <c r="J16" s="20">
        <f>IFERROR(__xludf.DUMMYFUNCTION("""COMPUTED_VALUE"""),500000.0)</f>
        <v>500000</v>
      </c>
      <c r="K16" s="20">
        <f>IFERROR(__xludf.DUMMYFUNCTION("""COMPUTED_VALUE"""),2000000.0)</f>
        <v>2000000</v>
      </c>
      <c r="L16" s="20">
        <f>IFERROR(__xludf.DUMMYFUNCTION("""COMPUTED_VALUE"""),3000000.0)</f>
        <v>3000000</v>
      </c>
      <c r="M16" s="20">
        <f>IFERROR(__xludf.DUMMYFUNCTION("""COMPUTED_VALUE"""),500000.0)</f>
        <v>500000</v>
      </c>
      <c r="N16" s="20">
        <f>IFERROR(__xludf.DUMMYFUNCTION("""COMPUTED_VALUE"""),2500000.0)</f>
        <v>2500000</v>
      </c>
      <c r="O16" s="17"/>
      <c r="P16" s="20">
        <f>IFERROR(__xludf.DUMMYFUNCTION("""COMPUTED_VALUE"""),7000000.0)</f>
        <v>7000000</v>
      </c>
      <c r="Q16" s="20" t="str">
        <f>IFERROR(__xludf.DUMMYFUNCTION("""COMPUTED_VALUE"""),"FREE")</f>
        <v>FREE</v>
      </c>
      <c r="R16" s="20">
        <f>IFERROR(__xludf.DUMMYFUNCTION("""COMPUTED_VALUE"""),1.7E7)</f>
        <v>17000000</v>
      </c>
      <c r="S16" s="20">
        <f>IFERROR(__xludf.DUMMYFUNCTION("""COMPUTED_VALUE"""),2.0E7)</f>
        <v>20000000</v>
      </c>
      <c r="T16" s="20">
        <f>IFERROR(__xludf.DUMMYFUNCTION("""COMPUTED_VALUE"""),1.4E7)</f>
        <v>14000000</v>
      </c>
      <c r="U16" s="20">
        <f>IFERROR(__xludf.DUMMYFUNCTION("""COMPUTED_VALUE"""),7500000.0)</f>
        <v>7500000</v>
      </c>
      <c r="V16" s="20" t="str">
        <f>IFERROR(__xludf.DUMMYFUNCTION("""COMPUTED_VALUE"""),"FREE 7D")</f>
        <v>FREE 7D</v>
      </c>
      <c r="W16" s="20" t="str">
        <f>IFERROR(__xludf.DUMMYFUNCTION("""COMPUTED_VALUE"""),"FREE")</f>
        <v>FREE</v>
      </c>
      <c r="X16" s="20">
        <f>IFERROR(__xludf.DUMMYFUNCTION("""COMPUTED_VALUE"""),1000000.0)</f>
        <v>1000000</v>
      </c>
      <c r="Y16" s="17"/>
    </row>
    <row r="17">
      <c r="A17" s="17">
        <f>IFERROR(__xludf.DUMMYFUNCTION("""COMPUTED_VALUE"""),14.0)</f>
        <v>14</v>
      </c>
      <c r="B17" s="18" t="str">
        <f>IFERROR(__xludf.DUMMYFUNCTION("""COMPUTED_VALUE"""),"angelicamanopo")</f>
        <v>angelicamanopo</v>
      </c>
      <c r="C17" s="23">
        <f>IFERROR(__xludf.DUMMYFUNCTION("""COMPUTED_VALUE"""),231000.0)</f>
        <v>231000</v>
      </c>
      <c r="D17" s="17" t="str">
        <f>IFERROR(__xludf.DUMMYFUNCTION("""COMPUTED_VALUE"""),"Mid")</f>
        <v>Mid</v>
      </c>
      <c r="E17" s="18" t="str">
        <f>IFERROR(__xludf.DUMMYFUNCTION("""COMPUTED_VALUE"""),"angelicamanopo")</f>
        <v>angelicamanopo</v>
      </c>
      <c r="F17" s="23">
        <f>IFERROR(__xludf.DUMMYFUNCTION("""COMPUTED_VALUE"""),100600.0)</f>
        <v>100600</v>
      </c>
      <c r="G17" s="17" t="str">
        <f>IFERROR(__xludf.DUMMYFUNCTION("""COMPUTED_VALUE"""),"Mid")</f>
        <v>Mid</v>
      </c>
      <c r="H17" s="17" t="str">
        <f>IFERROR(__xludf.DUMMYFUNCTION("""COMPUTED_VALUE"""),"Jakarta Timur")</f>
        <v>Jakarta Timur</v>
      </c>
      <c r="I17" s="17" t="str">
        <f>IFERROR(__xludf.DUMMYFUNCTION("""COMPUTED_VALUE"""),"- Lifestyle Female
- Mom &amp; Kids")</f>
        <v>- Lifestyle Female
- Mom &amp; Kids</v>
      </c>
      <c r="J17" s="20">
        <f>IFERROR(__xludf.DUMMYFUNCTION("""COMPUTED_VALUE"""),2000000.0)</f>
        <v>2000000</v>
      </c>
      <c r="K17" s="20">
        <f>IFERROR(__xludf.DUMMYFUNCTION("""COMPUTED_VALUE"""),2500000.0)</f>
        <v>2500000</v>
      </c>
      <c r="L17" s="20">
        <f>IFERROR(__xludf.DUMMYFUNCTION("""COMPUTED_VALUE"""),3000000.0)</f>
        <v>3000000</v>
      </c>
      <c r="M17" s="20" t="str">
        <f>IFERROR(__xludf.DUMMYFUNCTION("""COMPUTED_VALUE"""),"FREE")</f>
        <v>FREE</v>
      </c>
      <c r="N17" s="20">
        <f>IFERROR(__xludf.DUMMYFUNCTION("""COMPUTED_VALUE"""),3500000.0)</f>
        <v>3500000</v>
      </c>
      <c r="O17" s="20">
        <f>IFERROR(__xludf.DUMMYFUNCTION("""COMPUTED_VALUE"""),4500000.0)</f>
        <v>4500000</v>
      </c>
      <c r="P17" s="20">
        <f>IFERROR(__xludf.DUMMYFUNCTION("""COMPUTED_VALUE"""),5000000.0)</f>
        <v>5000000</v>
      </c>
      <c r="Q17" s="20" t="str">
        <f>IFERROR(__xludf.DUMMYFUNCTION("""COMPUTED_VALUE"""),"FREE")</f>
        <v>FREE</v>
      </c>
      <c r="R17" s="20">
        <f>IFERROR(__xludf.DUMMYFUNCTION("""COMPUTED_VALUE"""),3500000.0)</f>
        <v>3500000</v>
      </c>
      <c r="S17" s="20">
        <f>IFERROR(__xludf.DUMMYFUNCTION("""COMPUTED_VALUE"""),5000000.0)</f>
        <v>5000000</v>
      </c>
      <c r="T17" s="20">
        <f>IFERROR(__xludf.DUMMYFUNCTION("""COMPUTED_VALUE"""),5000000.0)</f>
        <v>5000000</v>
      </c>
      <c r="U17" s="21">
        <f>IFERROR(__xludf.DUMMYFUNCTION("""COMPUTED_VALUE"""),0.25)</f>
        <v>0.25</v>
      </c>
      <c r="V17" s="20">
        <f>IFERROR(__xludf.DUMMYFUNCTION("""COMPUTED_VALUE"""),1000000.0)</f>
        <v>1000000</v>
      </c>
      <c r="W17" s="20">
        <f>IFERROR(__xludf.DUMMYFUNCTION("""COMPUTED_VALUE"""),1000000.0)</f>
        <v>1000000</v>
      </c>
      <c r="X17" s="20">
        <f>IFERROR(__xludf.DUMMYFUNCTION("""COMPUTED_VALUE"""),6000000.0)</f>
        <v>6000000</v>
      </c>
      <c r="Y17" s="17"/>
    </row>
    <row r="18">
      <c r="A18" s="17">
        <f>IFERROR(__xludf.DUMMYFUNCTION("""COMPUTED_VALUE"""),15.0)</f>
        <v>15</v>
      </c>
      <c r="B18" s="18" t="str">
        <f>IFERROR(__xludf.DUMMYFUNCTION("""COMPUTED_VALUE"""),"viaazulviani")</f>
        <v>viaazulviani</v>
      </c>
      <c r="C18" s="23">
        <f>IFERROR(__xludf.DUMMYFUNCTION("""COMPUTED_VALUE"""),205000.0)</f>
        <v>205000</v>
      </c>
      <c r="D18" s="17" t="str">
        <f>IFERROR(__xludf.DUMMYFUNCTION("""COMPUTED_VALUE"""),"Mid")</f>
        <v>Mid</v>
      </c>
      <c r="E18" s="18" t="str">
        <f>IFERROR(__xludf.DUMMYFUNCTION("""COMPUTED_VALUE"""),"viaazulviani")</f>
        <v>viaazulviani</v>
      </c>
      <c r="F18" s="23">
        <f>IFERROR(__xludf.DUMMYFUNCTION("""COMPUTED_VALUE"""),127000.0)</f>
        <v>127000</v>
      </c>
      <c r="G18" s="17" t="str">
        <f>IFERROR(__xludf.DUMMYFUNCTION("""COMPUTED_VALUE"""),"Mid")</f>
        <v>Mid</v>
      </c>
      <c r="H18" s="17" t="str">
        <f>IFERROR(__xludf.DUMMYFUNCTION("""COMPUTED_VALUE"""),"Medan")</f>
        <v>Medan</v>
      </c>
      <c r="I18" s="17" t="str">
        <f>IFERROR(__xludf.DUMMYFUNCTION("""COMPUTED_VALUE"""),"- Fashion Wanita 
- Lifestyle Female
- Beauty
- Mom &amp; Kids")</f>
        <v>- Fashion Wanita 
- Lifestyle Female
- Beauty
- Mom &amp; Kids</v>
      </c>
      <c r="J18" s="20">
        <f>IFERROR(__xludf.DUMMYFUNCTION("""COMPUTED_VALUE"""),500000.0)</f>
        <v>500000</v>
      </c>
      <c r="K18" s="20">
        <f>IFERROR(__xludf.DUMMYFUNCTION("""COMPUTED_VALUE"""),1500000.0)</f>
        <v>1500000</v>
      </c>
      <c r="L18" s="20">
        <f>IFERROR(__xludf.DUMMYFUNCTION("""COMPUTED_VALUE"""),3500000.0)</f>
        <v>3500000</v>
      </c>
      <c r="M18" s="20" t="str">
        <f>IFERROR(__xludf.DUMMYFUNCTION("""COMPUTED_VALUE"""),"FREE")</f>
        <v>FREE</v>
      </c>
      <c r="N18" s="20">
        <f>IFERROR(__xludf.DUMMYFUNCTION("""COMPUTED_VALUE"""),3500000.0)</f>
        <v>3500000</v>
      </c>
      <c r="O18" s="20">
        <f>IFERROR(__xludf.DUMMYFUNCTION("""COMPUTED_VALUE"""),4500000.0)</f>
        <v>4500000</v>
      </c>
      <c r="P18" s="20">
        <f>IFERROR(__xludf.DUMMYFUNCTION("""COMPUTED_VALUE"""),6000000.0)</f>
        <v>6000000</v>
      </c>
      <c r="Q18" s="20" t="str">
        <f>IFERROR(__xludf.DUMMYFUNCTION("""COMPUTED_VALUE"""),"FREE")</f>
        <v>FREE</v>
      </c>
      <c r="R18" s="20">
        <f>IFERROR(__xludf.DUMMYFUNCTION("""COMPUTED_VALUE"""),2500000.0)</f>
        <v>2500000</v>
      </c>
      <c r="S18" s="20">
        <f>IFERROR(__xludf.DUMMYFUNCTION("""COMPUTED_VALUE"""),6000000.0)</f>
        <v>6000000</v>
      </c>
      <c r="T18" s="20">
        <f>IFERROR(__xludf.DUMMYFUNCTION("""COMPUTED_VALUE"""),4000000.0)</f>
        <v>4000000</v>
      </c>
      <c r="U18" s="21">
        <f>IFERROR(__xludf.DUMMYFUNCTION("""COMPUTED_VALUE"""),0.5)</f>
        <v>0.5</v>
      </c>
      <c r="V18" s="20">
        <f>IFERROR(__xludf.DUMMYFUNCTION("""COMPUTED_VALUE"""),1000000.0)</f>
        <v>1000000</v>
      </c>
      <c r="W18" s="20" t="str">
        <f>IFERROR(__xludf.DUMMYFUNCTION("""COMPUTED_VALUE"""),"FREE")</f>
        <v>FREE</v>
      </c>
      <c r="X18" s="20">
        <f>IFERROR(__xludf.DUMMYFUNCTION("""COMPUTED_VALUE"""),8000000.0)</f>
        <v>8000000</v>
      </c>
      <c r="Y18" s="17"/>
    </row>
    <row r="19">
      <c r="A19" s="17">
        <f>IFERROR(__xludf.DUMMYFUNCTION("""COMPUTED_VALUE"""),16.0)</f>
        <v>16</v>
      </c>
      <c r="B19" s="18" t="str">
        <f>IFERROR(__xludf.DUMMYFUNCTION("""COMPUTED_VALUE"""),"keziagc")</f>
        <v>keziagc</v>
      </c>
      <c r="C19" s="23">
        <f>IFERROR(__xludf.DUMMYFUNCTION("""COMPUTED_VALUE"""),148000.0)</f>
        <v>148000</v>
      </c>
      <c r="D19" s="17" t="str">
        <f>IFERROR(__xludf.DUMMYFUNCTION("""COMPUTED_VALUE"""),"Mid")</f>
        <v>Mid</v>
      </c>
      <c r="E19" s="18" t="str">
        <f>IFERROR(__xludf.DUMMYFUNCTION("""COMPUTED_VALUE"""),"keziagc")</f>
        <v>keziagc</v>
      </c>
      <c r="F19" s="23">
        <f>IFERROR(__xludf.DUMMYFUNCTION("""COMPUTED_VALUE"""),14000.0)</f>
        <v>14000</v>
      </c>
      <c r="G19" s="17" t="str">
        <f>IFERROR(__xludf.DUMMYFUNCTION("""COMPUTED_VALUE"""),"Micro")</f>
        <v>Micro</v>
      </c>
      <c r="H19" s="17" t="str">
        <f>IFERROR(__xludf.DUMMYFUNCTION("""COMPUTED_VALUE"""),"Tangerang")</f>
        <v>Tangerang</v>
      </c>
      <c r="I19" s="17" t="str">
        <f>IFERROR(__xludf.DUMMYFUNCTION("""COMPUTED_VALUE"""),"- Mom &amp; Kids
- Homeliving
- Lifestyle Female")</f>
        <v>- Mom &amp; Kids
- Homeliving
- Lifestyle Female</v>
      </c>
      <c r="J19" s="17"/>
      <c r="K19" s="20">
        <f>IFERROR(__xludf.DUMMYFUNCTION("""COMPUTED_VALUE"""),780000.0)</f>
        <v>780000</v>
      </c>
      <c r="L19" s="20">
        <f>IFERROR(__xludf.DUMMYFUNCTION("""COMPUTED_VALUE"""),1480000.0)</f>
        <v>1480000</v>
      </c>
      <c r="M19" s="20" t="str">
        <f>IFERROR(__xludf.DUMMYFUNCTION("""COMPUTED_VALUE"""),"FREE")</f>
        <v>FREE</v>
      </c>
      <c r="N19" s="20">
        <f>IFERROR(__xludf.DUMMYFUNCTION("""COMPUTED_VALUE"""),2980000.0)</f>
        <v>2980000</v>
      </c>
      <c r="O19" s="17"/>
      <c r="P19" s="20">
        <f>IFERROR(__xludf.DUMMYFUNCTION("""COMPUTED_VALUE"""),4580000.0)</f>
        <v>4580000</v>
      </c>
      <c r="Q19" s="20" t="str">
        <f>IFERROR(__xludf.DUMMYFUNCTION("""COMPUTED_VALUE"""),"FREE")</f>
        <v>FREE</v>
      </c>
      <c r="R19" s="17"/>
      <c r="S19" s="17"/>
      <c r="T19" s="20">
        <f>IFERROR(__xludf.DUMMYFUNCTION("""COMPUTED_VALUE"""),1980000.0)</f>
        <v>1980000</v>
      </c>
      <c r="U19" s="20" t="str">
        <f>IFERROR(__xludf.DUMMYFUNCTION("""COMPUTED_VALUE"""),"FREE")</f>
        <v>FREE</v>
      </c>
      <c r="V19" s="17"/>
      <c r="W19" s="20" t="str">
        <f>IFERROR(__xludf.DUMMYFUNCTION("""COMPUTED_VALUE"""),"FREE")</f>
        <v>FREE</v>
      </c>
      <c r="X19" s="20">
        <f>IFERROR(__xludf.DUMMYFUNCTION("""COMPUTED_VALUE"""),2980000.0)</f>
        <v>2980000</v>
      </c>
      <c r="Y19" s="17"/>
    </row>
    <row r="20">
      <c r="A20" s="17">
        <f>IFERROR(__xludf.DUMMYFUNCTION("""COMPUTED_VALUE"""),17.0)</f>
        <v>17</v>
      </c>
      <c r="B20" s="18" t="str">
        <f>IFERROR(__xludf.DUMMYFUNCTION("""COMPUTED_VALUE"""),"uulliiaa_")</f>
        <v>uulliiaa_</v>
      </c>
      <c r="C20" s="23">
        <f>IFERROR(__xludf.DUMMYFUNCTION("""COMPUTED_VALUE"""),53000.0)</f>
        <v>53000</v>
      </c>
      <c r="D20" s="17" t="str">
        <f>IFERROR(__xludf.DUMMYFUNCTION("""COMPUTED_VALUE"""),"Micro")</f>
        <v>Micro</v>
      </c>
      <c r="E20" s="18" t="str">
        <f>IFERROR(__xludf.DUMMYFUNCTION("""COMPUTED_VALUE"""),"maykiana__")</f>
        <v>maykiana__</v>
      </c>
      <c r="F20" s="23">
        <f>IFERROR(__xludf.DUMMYFUNCTION("""COMPUTED_VALUE"""),8968.0)</f>
        <v>8968</v>
      </c>
      <c r="G20" s="17" t="str">
        <f>IFERROR(__xludf.DUMMYFUNCTION("""COMPUTED_VALUE"""),"Nano")</f>
        <v>Nano</v>
      </c>
      <c r="H20" s="20" t="str">
        <f>IFERROR(__xludf.DUMMYFUNCTION("""COMPUTED_VALUE"""),"Sukoharjo")</f>
        <v>Sukoharjo</v>
      </c>
      <c r="I20" s="17" t="str">
        <f>IFERROR(__xludf.DUMMYFUNCTION("""COMPUTED_VALUE"""),"- Mom &amp; Kids")</f>
        <v>- Mom &amp; Kids</v>
      </c>
      <c r="J20" s="20" t="str">
        <f>IFERROR(__xludf.DUMMYFUNCTION("""COMPUTED_VALUE"""),"Paket bundling IG Story + IG Reels (free mirror to TikTok + Shopee Video) + Thread + Tap Link + Link on bio: Rp450.000")</f>
        <v>Paket bundling IG Story + IG Reels (free mirror to TikTok + Shopee Video) + Thread + Tap Link + Link on bio: Rp450.000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>
        <f>IFERROR(__xludf.DUMMYFUNCTION("""COMPUTED_VALUE"""),18.0)</f>
        <v>18</v>
      </c>
      <c r="B21" s="18" t="str">
        <f>IFERROR(__xludf.DUMMYFUNCTION("""COMPUTED_VALUE"""),"mewindahttyas")</f>
        <v>mewindahttyas</v>
      </c>
      <c r="C21" s="23">
        <f>IFERROR(__xludf.DUMMYFUNCTION("""COMPUTED_VALUE"""),48900.0)</f>
        <v>48900</v>
      </c>
      <c r="D21" s="17" t="str">
        <f>IFERROR(__xludf.DUMMYFUNCTION("""COMPUTED_VALUE"""),"Micro")</f>
        <v>Micro</v>
      </c>
      <c r="E21" s="18" t="str">
        <f>IFERROR(__xludf.DUMMYFUNCTION("""COMPUTED_VALUE"""),"mewindaaahttyas")</f>
        <v>mewindaaahttyas</v>
      </c>
      <c r="F21" s="23">
        <f>IFERROR(__xludf.DUMMYFUNCTION("""COMPUTED_VALUE"""),4083.0)</f>
        <v>4083</v>
      </c>
      <c r="G21" s="17" t="str">
        <f>IFERROR(__xludf.DUMMYFUNCTION("""COMPUTED_VALUE"""),"Nano")</f>
        <v>Nano</v>
      </c>
      <c r="H21" s="17" t="str">
        <f>IFERROR(__xludf.DUMMYFUNCTION("""COMPUTED_VALUE"""),"Bengkulu")</f>
        <v>Bengkulu</v>
      </c>
      <c r="I21" s="17" t="str">
        <f>IFERROR(__xludf.DUMMYFUNCTION("""COMPUTED_VALUE"""),"- Mom &amp; Kids
- Homeliving")</f>
        <v>- Mom &amp; Kids
- Homeliving</v>
      </c>
      <c r="J21" s="20">
        <f>IFERROR(__xludf.DUMMYFUNCTION("""COMPUTED_VALUE"""),100000.0)</f>
        <v>100000</v>
      </c>
      <c r="K21" s="20">
        <f>IFERROR(__xludf.DUMMYFUNCTION("""COMPUTED_VALUE"""),150000.0)</f>
        <v>150000</v>
      </c>
      <c r="L21" s="17"/>
      <c r="M21" s="20" t="str">
        <f>IFERROR(__xludf.DUMMYFUNCTION("""COMPUTED_VALUE"""),"FREE")</f>
        <v>FREE</v>
      </c>
      <c r="N21" s="20">
        <f>IFERROR(__xludf.DUMMYFUNCTION("""COMPUTED_VALUE"""),300000.0)</f>
        <v>300000</v>
      </c>
      <c r="O21" s="20">
        <f>IFERROR(__xludf.DUMMYFUNCTION("""COMPUTED_VALUE"""),350000.0)</f>
        <v>350000</v>
      </c>
      <c r="P21" s="20">
        <f>IFERROR(__xludf.DUMMYFUNCTION("""COMPUTED_VALUE"""),400000.0)</f>
        <v>400000</v>
      </c>
      <c r="Q21" s="20" t="str">
        <f>IFERROR(__xludf.DUMMYFUNCTION("""COMPUTED_VALUE"""),"FREE")</f>
        <v>FREE</v>
      </c>
      <c r="R21" s="17"/>
      <c r="S21" s="20">
        <f>IFERROR(__xludf.DUMMYFUNCTION("""COMPUTED_VALUE"""),500000.0)</f>
        <v>500000</v>
      </c>
      <c r="T21" s="17"/>
      <c r="U21" s="20">
        <f>IFERROR(__xludf.DUMMYFUNCTION("""COMPUTED_VALUE"""),300000.0)</f>
        <v>300000</v>
      </c>
      <c r="V21" s="20">
        <f>IFERROR(__xludf.DUMMYFUNCTION("""COMPUTED_VALUE"""),300000.0)</f>
        <v>300000</v>
      </c>
      <c r="W21" s="20" t="str">
        <f>IFERROR(__xludf.DUMMYFUNCTION("""COMPUTED_VALUE"""),"FREE")</f>
        <v>FREE</v>
      </c>
      <c r="X21" s="17"/>
      <c r="Y21" s="17"/>
    </row>
    <row r="22">
      <c r="A22" s="17">
        <f>IFERROR(__xludf.DUMMYFUNCTION("""COMPUTED_VALUE"""),19.0)</f>
        <v>19</v>
      </c>
      <c r="B22" s="18" t="str">
        <f>IFERROR(__xludf.DUMMYFUNCTION("""COMPUTED_VALUE"""),"@rucenuenda")</f>
        <v>@rucenuenda</v>
      </c>
      <c r="C22" s="25">
        <f>IFERROR(__xludf.DUMMYFUNCTION("""COMPUTED_VALUE"""),1700000.0)</f>
        <v>1700000</v>
      </c>
      <c r="D22" s="285" t="str">
        <f>IFERROR(__xludf.DUMMYFUNCTION("""COMPUTED_VALUE"""),"Mega")</f>
        <v>Mega</v>
      </c>
      <c r="E22" s="18" t="str">
        <f>IFERROR(__xludf.DUMMYFUNCTION("""COMPUTED_VALUE"""),"@rucenuenda1")</f>
        <v>@rucenuenda1</v>
      </c>
      <c r="F22" s="26">
        <f>IFERROR(__xludf.DUMMYFUNCTION("""COMPUTED_VALUE"""),6500000.0)</f>
        <v>6500000</v>
      </c>
      <c r="G22" s="17" t="str">
        <f>IFERROR(__xludf.DUMMYFUNCTION("""COMPUTED_VALUE"""),"Mega")</f>
        <v>Mega</v>
      </c>
      <c r="H22" s="17" t="str">
        <f>IFERROR(__xludf.DUMMYFUNCTION("""COMPUTED_VALUE"""),"Tangerang")</f>
        <v>Tangerang</v>
      </c>
      <c r="I22" s="17" t="str">
        <f>IFERROR(__xludf.DUMMYFUNCTION("""COMPUTED_VALUE"""),"- Lifestyle Female
- Mom &amp; Kids")</f>
        <v>- Lifestyle Female
- Mom &amp; Kids</v>
      </c>
      <c r="J22" s="20">
        <f>IFERROR(__xludf.DUMMYFUNCTION("""COMPUTED_VALUE"""),1.05E7)</f>
        <v>10500000</v>
      </c>
      <c r="K22" s="20">
        <f>IFERROR(__xludf.DUMMYFUNCTION("""COMPUTED_VALUE"""),1.3E7)</f>
        <v>13000000</v>
      </c>
      <c r="L22" s="20">
        <f>IFERROR(__xludf.DUMMYFUNCTION("""COMPUTED_VALUE"""),2.5E7)</f>
        <v>25000000</v>
      </c>
      <c r="M22" s="20" t="str">
        <f>IFERROR(__xludf.DUMMYFUNCTION("""COMPUTED_VALUE"""),"FREE")</f>
        <v>FREE</v>
      </c>
      <c r="N22" s="20">
        <f>IFERROR(__xludf.DUMMYFUNCTION("""COMPUTED_VALUE"""),3.0E7)</f>
        <v>30000000</v>
      </c>
      <c r="O22" s="20">
        <f>IFERROR(__xludf.DUMMYFUNCTION("""COMPUTED_VALUE"""),3.3E7)</f>
        <v>33000000</v>
      </c>
      <c r="P22" s="20">
        <f>IFERROR(__xludf.DUMMYFUNCTION("""COMPUTED_VALUE"""),3.5E7)</f>
        <v>35000000</v>
      </c>
      <c r="Q22" s="21">
        <f>IFERROR(__xludf.DUMMYFUNCTION("""COMPUTED_VALUE"""),0.3)</f>
        <v>0.3</v>
      </c>
      <c r="R22" s="20">
        <f>IFERROR(__xludf.DUMMYFUNCTION("""COMPUTED_VALUE"""),4.5E7)</f>
        <v>45000000</v>
      </c>
      <c r="S22" s="20">
        <f>IFERROR(__xludf.DUMMYFUNCTION("""COMPUTED_VALUE"""),2.5E7)</f>
        <v>25000000</v>
      </c>
      <c r="T22" s="20">
        <f>IFERROR(__xludf.DUMMYFUNCTION("""COMPUTED_VALUE"""),3.0E7)</f>
        <v>30000000</v>
      </c>
      <c r="U22" s="21">
        <f>IFERROR(__xludf.DUMMYFUNCTION("""COMPUTED_VALUE"""),1.0)</f>
        <v>1</v>
      </c>
      <c r="V22" s="20">
        <f>IFERROR(__xludf.DUMMYFUNCTION("""COMPUTED_VALUE"""),1.0E7)</f>
        <v>10000000</v>
      </c>
      <c r="W22" s="20">
        <f>IFERROR(__xludf.DUMMYFUNCTION("""COMPUTED_VALUE"""),3500000.0)</f>
        <v>3500000</v>
      </c>
      <c r="X22" s="20">
        <f>IFERROR(__xludf.DUMMYFUNCTION("""COMPUTED_VALUE"""),2.0E7)</f>
        <v>20000000</v>
      </c>
      <c r="Y22" s="17"/>
    </row>
    <row r="23">
      <c r="A23" s="17">
        <f>IFERROR(__xludf.DUMMYFUNCTION("""COMPUTED_VALUE"""),20.0)</f>
        <v>20</v>
      </c>
      <c r="B23" s="18" t="str">
        <f>IFERROR(__xludf.DUMMYFUNCTION("""COMPUTED_VALUE"""),"@rachelvennya")</f>
        <v>@rachelvennya</v>
      </c>
      <c r="C23" s="19">
        <f>IFERROR(__xludf.DUMMYFUNCTION("""COMPUTED_VALUE"""),8300000.0)</f>
        <v>8300000</v>
      </c>
      <c r="D23" s="17" t="str">
        <f>IFERROR(__xludf.DUMMYFUNCTION("""COMPUTED_VALUE"""),"Mega")</f>
        <v>Mega</v>
      </c>
      <c r="E23" s="18" t="str">
        <f>IFERROR(__xludf.DUMMYFUNCTION("""COMPUTED_VALUE"""),"@rachelvennya")</f>
        <v>@rachelvennya</v>
      </c>
      <c r="F23" s="19">
        <f>IFERROR(__xludf.DUMMYFUNCTION("""COMPUTED_VALUE"""),3300000.0)</f>
        <v>3300000</v>
      </c>
      <c r="G23" s="17" t="str">
        <f>IFERROR(__xludf.DUMMYFUNCTION("""COMPUTED_VALUE"""),"Mega")</f>
        <v>Mega</v>
      </c>
      <c r="H23" s="17" t="str">
        <f>IFERROR(__xludf.DUMMYFUNCTION("""COMPUTED_VALUE"""),"Jakarta Selatan")</f>
        <v>Jakarta Selatan</v>
      </c>
      <c r="I23" s="17" t="str">
        <f>IFERROR(__xludf.DUMMYFUNCTION("""COMPUTED_VALUE"""),"-  Lifestyle Female
- Family
- Mom &amp; Kids")</f>
        <v>-  Lifestyle Female
- Family
- Mom &amp; Kids</v>
      </c>
      <c r="J23" s="17"/>
      <c r="K23" s="20">
        <f>IFERROR(__xludf.DUMMYFUNCTION("""COMPUTED_VALUE"""),1.5E7)</f>
        <v>15000000</v>
      </c>
      <c r="L23" s="20">
        <f>IFERROR(__xludf.DUMMYFUNCTION("""COMPUTED_VALUE"""),3.5E7)</f>
        <v>35000000</v>
      </c>
      <c r="M23" s="17"/>
      <c r="N23" s="20">
        <f>IFERROR(__xludf.DUMMYFUNCTION("""COMPUTED_VALUE"""),5.0E7)</f>
        <v>50000000</v>
      </c>
      <c r="O23" s="20">
        <f>IFERROR(__xludf.DUMMYFUNCTION("""COMPUTED_VALUE"""),7.0E7)</f>
        <v>70000000</v>
      </c>
      <c r="P23" s="20">
        <f>IFERROR(__xludf.DUMMYFUNCTION("""COMPUTED_VALUE"""),1.0E8)</f>
        <v>100000000</v>
      </c>
      <c r="Q23" s="17"/>
      <c r="R23" s="20">
        <f>IFERROR(__xludf.DUMMYFUNCTION("""COMPUTED_VALUE"""),1.0E8)</f>
        <v>100000000</v>
      </c>
      <c r="S23" s="17"/>
      <c r="T23" s="20">
        <f>IFERROR(__xludf.DUMMYFUNCTION("""COMPUTED_VALUE"""),1.0E8)</f>
        <v>100000000</v>
      </c>
      <c r="U23" s="17"/>
      <c r="V23" s="17"/>
      <c r="W23" s="17"/>
      <c r="X23" s="17"/>
      <c r="Y23" s="17"/>
    </row>
    <row r="24">
      <c r="A24" s="17">
        <f>IFERROR(__xludf.DUMMYFUNCTION("""COMPUTED_VALUE"""),21.0)</f>
        <v>21</v>
      </c>
      <c r="B24" s="18" t="str">
        <f>IFERROR(__xludf.DUMMYFUNCTION("""COMPUTED_VALUE"""),"shadirafirdausii")</f>
        <v>shadirafirdausii</v>
      </c>
      <c r="C24" s="25">
        <f>IFERROR(__xludf.DUMMYFUNCTION("""COMPUTED_VALUE"""),1800000.0)</f>
        <v>1800000</v>
      </c>
      <c r="D24" s="17" t="str">
        <f>IFERROR(__xludf.DUMMYFUNCTION("""COMPUTED_VALUE"""),"Mega")</f>
        <v>Mega</v>
      </c>
      <c r="E24" s="18" t="str">
        <f>IFERROR(__xludf.DUMMYFUNCTION("""COMPUTED_VALUE"""),"shaturday")</f>
        <v>shaturday</v>
      </c>
      <c r="F24" s="26">
        <f>IFERROR(__xludf.DUMMYFUNCTION("""COMPUTED_VALUE"""),7300000.0)</f>
        <v>7300000</v>
      </c>
      <c r="G24" s="17" t="str">
        <f>IFERROR(__xludf.DUMMYFUNCTION("""COMPUTED_VALUE"""),"Mega")</f>
        <v>Mega</v>
      </c>
      <c r="H24" s="17" t="str">
        <f>IFERROR(__xludf.DUMMYFUNCTION("""COMPUTED_VALUE"""),"Jakarta")</f>
        <v>Jakarta</v>
      </c>
      <c r="I24" s="17" t="str">
        <f>IFERROR(__xludf.DUMMYFUNCTION("""COMPUTED_VALUE"""),"-  Lifestyle Female
- Family
- Mom &amp; Kids")</f>
        <v>-  Lifestyle Female
- Family
- Mom &amp; Kids</v>
      </c>
      <c r="J24" s="17"/>
      <c r="K24" s="20">
        <f>IFERROR(__xludf.DUMMYFUNCTION("""COMPUTED_VALUE"""),1.5E7)</f>
        <v>15000000</v>
      </c>
      <c r="L24" s="20">
        <f>IFERROR(__xludf.DUMMYFUNCTION("""COMPUTED_VALUE"""),2.5E7)</f>
        <v>25000000</v>
      </c>
      <c r="M24" s="20" t="str">
        <f>IFERROR(__xludf.DUMMYFUNCTION("""COMPUTED_VALUE"""),"FREE")</f>
        <v>FREE</v>
      </c>
      <c r="N24" s="20">
        <f>IFERROR(__xludf.DUMMYFUNCTION("""COMPUTED_VALUE"""),2.5E7)</f>
        <v>25000000</v>
      </c>
      <c r="O24" s="17"/>
      <c r="P24" s="20">
        <f>IFERROR(__xludf.DUMMYFUNCTION("""COMPUTED_VALUE"""),5.0E7)</f>
        <v>50000000</v>
      </c>
      <c r="Q24" s="21">
        <f>IFERROR(__xludf.DUMMYFUNCTION("""COMPUTED_VALUE"""),0.5)</f>
        <v>0.5</v>
      </c>
      <c r="R24" s="20">
        <f>IFERROR(__xludf.DUMMYFUNCTION("""COMPUTED_VALUE"""),4.5E7)</f>
        <v>45000000</v>
      </c>
      <c r="S24" s="20">
        <f>IFERROR(__xludf.DUMMYFUNCTION("""COMPUTED_VALUE"""),6.0E7)</f>
        <v>60000000</v>
      </c>
      <c r="T24" s="17"/>
      <c r="U24" s="21">
        <f>IFERROR(__xludf.DUMMYFUNCTION("""COMPUTED_VALUE"""),1.0)</f>
        <v>1</v>
      </c>
      <c r="V24" s="21">
        <f>IFERROR(__xludf.DUMMYFUNCTION("""COMPUTED_VALUE"""),0.3)</f>
        <v>0.3</v>
      </c>
      <c r="W24" s="20">
        <f>IFERROR(__xludf.DUMMYFUNCTION("""COMPUTED_VALUE"""),5000000.0)</f>
        <v>5000000</v>
      </c>
      <c r="X24" s="20">
        <f>IFERROR(__xludf.DUMMYFUNCTION("""COMPUTED_VALUE"""),1.5E7)</f>
        <v>15000000</v>
      </c>
      <c r="Y24" s="17"/>
    </row>
    <row r="25">
      <c r="A25" s="17">
        <f>IFERROR(__xludf.DUMMYFUNCTION("""COMPUTED_VALUE"""),22.0)</f>
        <v>22</v>
      </c>
      <c r="B25" s="18" t="str">
        <f>IFERROR(__xludf.DUMMYFUNCTION("""COMPUTED_VALUE"""),"dewizuhriati")</f>
        <v>dewizuhriati</v>
      </c>
      <c r="C25" s="25">
        <f>IFERROR(__xludf.DUMMYFUNCTION("""COMPUTED_VALUE"""),1400000.0)</f>
        <v>1400000</v>
      </c>
      <c r="D25" s="17" t="str">
        <f>IFERROR(__xludf.DUMMYFUNCTION("""COMPUTED_VALUE"""),"Mega")</f>
        <v>Mega</v>
      </c>
      <c r="E25" s="18" t="str">
        <f>IFERROR(__xludf.DUMMYFUNCTION("""COMPUTED_VALUE"""),"dewizuhriati")</f>
        <v>dewizuhriati</v>
      </c>
      <c r="F25" s="26">
        <f>IFERROR(__xludf.DUMMYFUNCTION("""COMPUTED_VALUE"""),2800000.0)</f>
        <v>2800000</v>
      </c>
      <c r="G25" s="17" t="str">
        <f>IFERROR(__xludf.DUMMYFUNCTION("""COMPUTED_VALUE"""),"Mega")</f>
        <v>Mega</v>
      </c>
      <c r="H25" s="17" t="str">
        <f>IFERROR(__xludf.DUMMYFUNCTION("""COMPUTED_VALUE"""),"Jakarta")</f>
        <v>Jakarta</v>
      </c>
      <c r="I25" s="17" t="str">
        <f>IFERROR(__xludf.DUMMYFUNCTION("""COMPUTED_VALUE"""),"-  Lifestyle Female
- Family
- Mom &amp; Kids")</f>
        <v>-  Lifestyle Female
- Family
- Mom &amp; Kids</v>
      </c>
      <c r="J25" s="17"/>
      <c r="K25" s="20">
        <f>IFERROR(__xludf.DUMMYFUNCTION("""COMPUTED_VALUE"""),5000000.0)</f>
        <v>5000000</v>
      </c>
      <c r="L25" s="17"/>
      <c r="M25" s="20" t="str">
        <f>IFERROR(__xludf.DUMMYFUNCTION("""COMPUTED_VALUE"""),"FREE")</f>
        <v>FREE</v>
      </c>
      <c r="N25" s="20">
        <f>IFERROR(__xludf.DUMMYFUNCTION("""COMPUTED_VALUE"""),4.0E7)</f>
        <v>40000000</v>
      </c>
      <c r="O25" s="17"/>
      <c r="P25" s="20">
        <f>IFERROR(__xludf.DUMMYFUNCTION("""COMPUTED_VALUE"""),5.5E7)</f>
        <v>55000000</v>
      </c>
      <c r="Q25" s="20">
        <f>IFERROR(__xludf.DUMMYFUNCTION("""COMPUTED_VALUE"""),5000000.0)</f>
        <v>5000000</v>
      </c>
      <c r="R25" s="17"/>
      <c r="S25" s="17"/>
      <c r="T25" s="17"/>
      <c r="U25" s="17"/>
      <c r="V25" s="17"/>
      <c r="W25" s="20" t="str">
        <f>IFERROR(__xludf.DUMMYFUNCTION("""COMPUTED_VALUE"""),"FREE")</f>
        <v>FREE</v>
      </c>
      <c r="X25" s="17"/>
      <c r="Y25" s="17"/>
    </row>
    <row r="26">
      <c r="A26" s="17">
        <f>IFERROR(__xludf.DUMMYFUNCTION("""COMPUTED_VALUE"""),23.0)</f>
        <v>23</v>
      </c>
      <c r="B26" s="18" t="str">
        <f>IFERROR(__xludf.DUMMYFUNCTION("""COMPUTED_VALUE"""),"ferra_agustina")</f>
        <v>ferra_agustina</v>
      </c>
      <c r="C26" s="23">
        <f>IFERROR(__xludf.DUMMYFUNCTION("""COMPUTED_VALUE"""),175000.0)</f>
        <v>175000</v>
      </c>
      <c r="D26" s="17" t="str">
        <f>IFERROR(__xludf.DUMMYFUNCTION("""COMPUTED_VALUE"""),"Mid")</f>
        <v>Mid</v>
      </c>
      <c r="E26" s="18" t="str">
        <f>IFERROR(__xludf.DUMMYFUNCTION("""COMPUTED_VALUE"""),"ferraagustina2")</f>
        <v>ferraagustina2</v>
      </c>
      <c r="F26" s="26">
        <f>IFERROR(__xludf.DUMMYFUNCTION("""COMPUTED_VALUE"""),2500000.0)</f>
        <v>2500000</v>
      </c>
      <c r="G26" s="17" t="str">
        <f>IFERROR(__xludf.DUMMYFUNCTION("""COMPUTED_VALUE"""),"Mega")</f>
        <v>Mega</v>
      </c>
      <c r="H26" s="17" t="str">
        <f>IFERROR(__xludf.DUMMYFUNCTION("""COMPUTED_VALUE"""),"Jakarta")</f>
        <v>Jakarta</v>
      </c>
      <c r="I26" s="17" t="str">
        <f>IFERROR(__xludf.DUMMYFUNCTION("""COMPUTED_VALUE"""),"- Lifestyle Female
- Family
- Mom &amp; Kids")</f>
        <v>- Lifestyle Female
- Family
- Mom &amp; Kids</v>
      </c>
      <c r="J26" s="20">
        <f>IFERROR(__xludf.DUMMYFUNCTION("""COMPUTED_VALUE"""),500000.0)</f>
        <v>500000</v>
      </c>
      <c r="K26" s="20">
        <f>IFERROR(__xludf.DUMMYFUNCTION("""COMPUTED_VALUE"""),1000000.0)</f>
        <v>1000000</v>
      </c>
      <c r="L26" s="20">
        <f>IFERROR(__xludf.DUMMYFUNCTION("""COMPUTED_VALUE"""),2500000.0)</f>
        <v>2500000</v>
      </c>
      <c r="M26" s="20">
        <f>IFERROR(__xludf.DUMMYFUNCTION("""COMPUTED_VALUE"""),500000.0)</f>
        <v>500000</v>
      </c>
      <c r="N26" s="20">
        <f>IFERROR(__xludf.DUMMYFUNCTION("""COMPUTED_VALUE"""),7000000.0)</f>
        <v>7000000</v>
      </c>
      <c r="O26" s="20">
        <f>IFERROR(__xludf.DUMMYFUNCTION("""COMPUTED_VALUE"""),8000000.0)</f>
        <v>8000000</v>
      </c>
      <c r="P26" s="20">
        <f>IFERROR(__xludf.DUMMYFUNCTION("""COMPUTED_VALUE"""),1.0E7)</f>
        <v>10000000</v>
      </c>
      <c r="Q26" s="20">
        <f>IFERROR(__xludf.DUMMYFUNCTION("""COMPUTED_VALUE"""),1500000.0)</f>
        <v>1500000</v>
      </c>
      <c r="R26" s="20">
        <f>IFERROR(__xludf.DUMMYFUNCTION("""COMPUTED_VALUE"""),2.5E7)</f>
        <v>25000000</v>
      </c>
      <c r="S26" s="20">
        <f>IFERROR(__xludf.DUMMYFUNCTION("""COMPUTED_VALUE"""),3.0E7)</f>
        <v>30000000</v>
      </c>
      <c r="T26" s="17"/>
      <c r="U26" s="20">
        <f>IFERROR(__xludf.DUMMYFUNCTION("""COMPUTED_VALUE"""),1.25E7)</f>
        <v>12500000</v>
      </c>
      <c r="V26" s="20">
        <f>IFERROR(__xludf.DUMMYFUNCTION("""COMPUTED_VALUE"""),2000000.0)</f>
        <v>2000000</v>
      </c>
      <c r="W26" s="20">
        <f>IFERROR(__xludf.DUMMYFUNCTION("""COMPUTED_VALUE"""),1500000.0)</f>
        <v>1500000</v>
      </c>
      <c r="X26" s="20">
        <f>IFERROR(__xludf.DUMMYFUNCTION("""COMPUTED_VALUE"""),1.0000009E7)</f>
        <v>10000009</v>
      </c>
      <c r="Y26" s="17"/>
    </row>
    <row r="27">
      <c r="A27" s="17">
        <f>IFERROR(__xludf.DUMMYFUNCTION("""COMPUTED_VALUE"""),24.0)</f>
        <v>24</v>
      </c>
      <c r="B27" s="18" t="str">
        <f>IFERROR(__xludf.DUMMYFUNCTION("""COMPUTED_VALUE"""),"carlenedoraa")</f>
        <v>carlenedoraa</v>
      </c>
      <c r="C27" s="23">
        <f>IFERROR(__xludf.DUMMYFUNCTION("""COMPUTED_VALUE"""),100000.0)</f>
        <v>100000</v>
      </c>
      <c r="D27" s="17" t="str">
        <f>IFERROR(__xludf.DUMMYFUNCTION("""COMPUTED_VALUE"""),"Micro")</f>
        <v>Micro</v>
      </c>
      <c r="E27" s="18" t="str">
        <f>IFERROR(__xludf.DUMMYFUNCTION("""COMPUTED_VALUE"""),"carlenedoraa")</f>
        <v>carlenedoraa</v>
      </c>
      <c r="F27" s="23">
        <f>IFERROR(__xludf.DUMMYFUNCTION("""COMPUTED_VALUE"""),409000.0)</f>
        <v>409000</v>
      </c>
      <c r="G27" s="17" t="str">
        <f>IFERROR(__xludf.DUMMYFUNCTION("""COMPUTED_VALUE"""),"Mid")</f>
        <v>Mid</v>
      </c>
      <c r="H27" s="17" t="str">
        <f>IFERROR(__xludf.DUMMYFUNCTION("""COMPUTED_VALUE"""),"Batang")</f>
        <v>Batang</v>
      </c>
      <c r="I27" s="17" t="str">
        <f>IFERROR(__xludf.DUMMYFUNCTION("""COMPUTED_VALUE"""),"- Homeliving
- Family
- Mom &amp; Kids")</f>
        <v>- Homeliving
- Family
- Mom &amp; Kids</v>
      </c>
      <c r="J27" s="17"/>
      <c r="K27" s="20">
        <f>IFERROR(__xludf.DUMMYFUNCTION("""COMPUTED_VALUE"""),1000000.0)</f>
        <v>1000000</v>
      </c>
      <c r="L27" s="17"/>
      <c r="M27" s="17"/>
      <c r="N27" s="20">
        <f>IFERROR(__xludf.DUMMYFUNCTION("""COMPUTED_VALUE"""),3000000.0)</f>
        <v>3000000</v>
      </c>
      <c r="O27" s="17"/>
      <c r="P27" s="20">
        <f>IFERROR(__xludf.DUMMYFUNCTION("""COMPUTED_VALUE"""),2000000.0)</f>
        <v>2000000</v>
      </c>
      <c r="Q27" s="17"/>
      <c r="R27" s="20">
        <f>IFERROR(__xludf.DUMMYFUNCTION("""COMPUTED_VALUE"""),3000000.0)</f>
        <v>3000000</v>
      </c>
      <c r="S27" s="20">
        <f>IFERROR(__xludf.DUMMYFUNCTION("""COMPUTED_VALUE"""),5000000.0)</f>
        <v>5000000</v>
      </c>
      <c r="T27" s="17"/>
      <c r="U27" s="17"/>
      <c r="V27" s="17"/>
      <c r="W27" s="17"/>
      <c r="X27" s="17"/>
      <c r="Y27" s="17"/>
    </row>
    <row r="28">
      <c r="A28" s="17">
        <f>IFERROR(__xludf.DUMMYFUNCTION("""COMPUTED_VALUE"""),25.0)</f>
        <v>25</v>
      </c>
      <c r="B28" s="18" t="str">
        <f>IFERROR(__xludf.DUMMYFUNCTION("""COMPUTED_VALUE"""),"galyasgeulis")</f>
        <v>galyasgeulis</v>
      </c>
      <c r="C28" s="25">
        <f>IFERROR(__xludf.DUMMYFUNCTION("""COMPUTED_VALUE"""),1300000.0)</f>
        <v>1300000</v>
      </c>
      <c r="D28" s="17" t="str">
        <f>IFERROR(__xludf.DUMMYFUNCTION("""COMPUTED_VALUE"""),"Mega")</f>
        <v>Mega</v>
      </c>
      <c r="E28" s="18" t="str">
        <f>IFERROR(__xludf.DUMMYFUNCTION("""COMPUTED_VALUE"""),"galyasgeulis")</f>
        <v>galyasgeulis</v>
      </c>
      <c r="F28" s="26">
        <f>IFERROR(__xludf.DUMMYFUNCTION("""COMPUTED_VALUE"""),3300000.0)</f>
        <v>3300000</v>
      </c>
      <c r="G28" s="17" t="str">
        <f>IFERROR(__xludf.DUMMYFUNCTION("""COMPUTED_VALUE"""),"Mega")</f>
        <v>Mega</v>
      </c>
      <c r="H28" s="17" t="str">
        <f>IFERROR(__xludf.DUMMYFUNCTION("""COMPUTED_VALUE"""),"Karawang")</f>
        <v>Karawang</v>
      </c>
      <c r="I28" s="17" t="str">
        <f>IFERROR(__xludf.DUMMYFUNCTION("""COMPUTED_VALUE"""),"- Lifestyle Female
- Family
- Mom &amp; Kids")</f>
        <v>- Lifestyle Female
- Family
- Mom &amp; Kids</v>
      </c>
      <c r="J28" s="20">
        <f>IFERROR(__xludf.DUMMYFUNCTION("""COMPUTED_VALUE"""),3000000.0)</f>
        <v>3000000</v>
      </c>
      <c r="K28" s="20">
        <f>IFERROR(__xludf.DUMMYFUNCTION("""COMPUTED_VALUE"""),6000000.0)</f>
        <v>6000000</v>
      </c>
      <c r="L28" s="17"/>
      <c r="M28" s="20" t="str">
        <f>IFERROR(__xludf.DUMMYFUNCTION("""COMPUTED_VALUE"""),"FREE")</f>
        <v>FREE</v>
      </c>
      <c r="N28" s="20">
        <f>IFERROR(__xludf.DUMMYFUNCTION("""COMPUTED_VALUE"""),7000000.0)</f>
        <v>7000000</v>
      </c>
      <c r="O28" s="17"/>
      <c r="P28" s="20">
        <f>IFERROR(__xludf.DUMMYFUNCTION("""COMPUTED_VALUE"""),1.0E7)</f>
        <v>10000000</v>
      </c>
      <c r="Q28" s="20">
        <f>IFERROR(__xludf.DUMMYFUNCTION("""COMPUTED_VALUE"""),2500000.0)</f>
        <v>2500000</v>
      </c>
      <c r="R28" s="20">
        <f>IFERROR(__xludf.DUMMYFUNCTION("""COMPUTED_VALUE"""),1.5E7)</f>
        <v>15000000</v>
      </c>
      <c r="S28" s="20">
        <f>IFERROR(__xludf.DUMMYFUNCTION("""COMPUTED_VALUE"""),2.0E7)</f>
        <v>20000000</v>
      </c>
      <c r="T28" s="20">
        <f>IFERROR(__xludf.DUMMYFUNCTION("""COMPUTED_VALUE"""),2.0E7)</f>
        <v>20000000</v>
      </c>
      <c r="U28" s="20">
        <f>IFERROR(__xludf.DUMMYFUNCTION("""COMPUTED_VALUE"""),3.0E7)</f>
        <v>30000000</v>
      </c>
      <c r="V28" s="20" t="str">
        <f>IFERROR(__xludf.DUMMYFUNCTION("""COMPUTED_VALUE"""),"FREE")</f>
        <v>FREE</v>
      </c>
      <c r="W28" s="20">
        <f>IFERROR(__xludf.DUMMYFUNCTION("""COMPUTED_VALUE"""),2500000.0)</f>
        <v>2500000</v>
      </c>
      <c r="X28" s="20">
        <f>IFERROR(__xludf.DUMMYFUNCTION("""COMPUTED_VALUE"""),2500000.0)</f>
        <v>2500000</v>
      </c>
      <c r="Y28" s="17"/>
    </row>
    <row r="29">
      <c r="A29" s="17">
        <f>IFERROR(__xludf.DUMMYFUNCTION("""COMPUTED_VALUE"""),26.0)</f>
        <v>26</v>
      </c>
      <c r="B29" s="18" t="str">
        <f>IFERROR(__xludf.DUMMYFUNCTION("""COMPUTED_VALUE"""),"syafira_hdd")</f>
        <v>syafira_hdd</v>
      </c>
      <c r="C29" s="19">
        <f>IFERROR(__xludf.DUMMYFUNCTION("""COMPUTED_VALUE"""),2100000.0)</f>
        <v>2100000</v>
      </c>
      <c r="D29" s="17" t="str">
        <f>IFERROR(__xludf.DUMMYFUNCTION("""COMPUTED_VALUE"""),"Mega")</f>
        <v>Mega</v>
      </c>
      <c r="E29" s="24" t="str">
        <f>IFERROR(__xludf.DUMMYFUNCTION("""COMPUTED_VALUE"""),"ndhiraa07")</f>
        <v>ndhiraa07</v>
      </c>
      <c r="F29" s="19">
        <f>IFERROR(__xludf.DUMMYFUNCTION("""COMPUTED_VALUE"""),9200000.0)</f>
        <v>9200000</v>
      </c>
      <c r="G29" s="17" t="str">
        <f>IFERROR(__xludf.DUMMYFUNCTION("""COMPUTED_VALUE"""),"Mega")</f>
        <v>Mega</v>
      </c>
      <c r="H29" s="17" t="str">
        <f>IFERROR(__xludf.DUMMYFUNCTION("""COMPUTED_VALUE"""),"Tangerang Selatan")</f>
        <v>Tangerang Selatan</v>
      </c>
      <c r="I29" s="17" t="str">
        <f>IFERROR(__xludf.DUMMYFUNCTION("""COMPUTED_VALUE"""),"-  Lifestyle Female
- Family
- Mom &amp; Kids")</f>
        <v>-  Lifestyle Female
- Family
- Mom &amp; Kids</v>
      </c>
      <c r="J29" s="17"/>
      <c r="K29" s="20">
        <f>IFERROR(__xludf.DUMMYFUNCTION("""COMPUTED_VALUE"""),1.5E7)</f>
        <v>15000000</v>
      </c>
      <c r="L29" s="20">
        <f>IFERROR(__xludf.DUMMYFUNCTION("""COMPUTED_VALUE"""),2.7E7)</f>
        <v>27000000</v>
      </c>
      <c r="M29" s="20" t="str">
        <f>IFERROR(__xludf.DUMMYFUNCTION("""COMPUTED_VALUE"""),"FREE")</f>
        <v>FREE</v>
      </c>
      <c r="N29" s="20">
        <f>IFERROR(__xludf.DUMMYFUNCTION("""COMPUTED_VALUE"""),3.0E7)</f>
        <v>30000000</v>
      </c>
      <c r="O29" s="20">
        <f>IFERROR(__xludf.DUMMYFUNCTION("""COMPUTED_VALUE"""),3.1E7)</f>
        <v>31000000</v>
      </c>
      <c r="P29" s="20">
        <f>IFERROR(__xludf.DUMMYFUNCTION("""COMPUTED_VALUE"""),4.0E7)</f>
        <v>40000000</v>
      </c>
      <c r="Q29" s="20">
        <f>IFERROR(__xludf.DUMMYFUNCTION("""COMPUTED_VALUE"""),2.5E7)</f>
        <v>25000000</v>
      </c>
      <c r="R29" s="20">
        <f>IFERROR(__xludf.DUMMYFUNCTION("""COMPUTED_VALUE"""),6.0E7)</f>
        <v>60000000</v>
      </c>
      <c r="S29" s="20">
        <f>IFERROR(__xludf.DUMMYFUNCTION("""COMPUTED_VALUE"""),2.5E7)</f>
        <v>25000000</v>
      </c>
      <c r="T29" s="20">
        <f>IFERROR(__xludf.DUMMYFUNCTION("""COMPUTED_VALUE"""),5.5E7)</f>
        <v>55000000</v>
      </c>
      <c r="U29" s="21">
        <f>IFERROR(__xludf.DUMMYFUNCTION("""COMPUTED_VALUE"""),1.0)</f>
        <v>1</v>
      </c>
      <c r="V29" s="20">
        <f>IFERROR(__xludf.DUMMYFUNCTION("""COMPUTED_VALUE"""),1.5E7)</f>
        <v>15000000</v>
      </c>
      <c r="W29" s="17"/>
      <c r="X29" s="17"/>
      <c r="Y29" s="17"/>
    </row>
    <row r="30">
      <c r="A30" s="17">
        <f>IFERROR(__xludf.DUMMYFUNCTION("""COMPUTED_VALUE"""),27.0)</f>
        <v>27</v>
      </c>
      <c r="B30" s="18" t="str">
        <f>IFERROR(__xludf.DUMMYFUNCTION("""COMPUTED_VALUE"""),"violenziajean")</f>
        <v>violenziajean</v>
      </c>
      <c r="C30" s="19">
        <f>IFERROR(__xludf.DUMMYFUNCTION("""COMPUTED_VALUE"""),1400000.0)</f>
        <v>1400000</v>
      </c>
      <c r="D30" s="17" t="str">
        <f>IFERROR(__xludf.DUMMYFUNCTION("""COMPUTED_VALUE"""),"Mega")</f>
        <v>Mega</v>
      </c>
      <c r="E30" s="24" t="str">
        <f>IFERROR(__xludf.DUMMYFUNCTION("""COMPUTED_VALUE"""),"violenziajeanette")</f>
        <v>violenziajeanette</v>
      </c>
      <c r="F30" s="19">
        <f>IFERROR(__xludf.DUMMYFUNCTION("""COMPUTED_VALUE"""),1500000.0)</f>
        <v>1500000</v>
      </c>
      <c r="G30" s="17" t="str">
        <f>IFERROR(__xludf.DUMMYFUNCTION("""COMPUTED_VALUE"""),"Mega")</f>
        <v>Mega</v>
      </c>
      <c r="H30" s="17" t="str">
        <f>IFERROR(__xludf.DUMMYFUNCTION("""COMPUTED_VALUE"""),"Jakarta")</f>
        <v>Jakarta</v>
      </c>
      <c r="I30" s="17" t="str">
        <f>IFERROR(__xludf.DUMMYFUNCTION("""COMPUTED_VALUE"""),"-  Lifestyle Female
- Mom &amp; Kids")</f>
        <v>-  Lifestyle Female
- Mom &amp; Kids</v>
      </c>
      <c r="J30" s="17"/>
      <c r="K30" s="20">
        <f>IFERROR(__xludf.DUMMYFUNCTION("""COMPUTED_VALUE"""),1.0E7)</f>
        <v>10000000</v>
      </c>
      <c r="L30" s="20">
        <f>IFERROR(__xludf.DUMMYFUNCTION("""COMPUTED_VALUE"""),2.0E7)</f>
        <v>20000000</v>
      </c>
      <c r="M30" s="20" t="str">
        <f>IFERROR(__xludf.DUMMYFUNCTION("""COMPUTED_VALUE"""),"FREE")</f>
        <v>FREE</v>
      </c>
      <c r="N30" s="20">
        <f>IFERROR(__xludf.DUMMYFUNCTION("""COMPUTED_VALUE"""),2.0E7)</f>
        <v>20000000</v>
      </c>
      <c r="O30" s="20">
        <f>IFERROR(__xludf.DUMMYFUNCTION("""COMPUTED_VALUE"""),2.5E7)</f>
        <v>25000000</v>
      </c>
      <c r="P30" s="20">
        <f>IFERROR(__xludf.DUMMYFUNCTION("""COMPUTED_VALUE"""),2.8E7)</f>
        <v>28000000</v>
      </c>
      <c r="Q30" s="20">
        <f>IFERROR(__xludf.DUMMYFUNCTION("""COMPUTED_VALUE"""),5000000.0)</f>
        <v>5000000</v>
      </c>
      <c r="R30" s="20">
        <f>IFERROR(__xludf.DUMMYFUNCTION("""COMPUTED_VALUE"""),2.8E7)</f>
        <v>28000000</v>
      </c>
      <c r="S30" s="17"/>
      <c r="T30" s="20">
        <f>IFERROR(__xludf.DUMMYFUNCTION("""COMPUTED_VALUE"""),3.0E7)</f>
        <v>30000000</v>
      </c>
      <c r="U30" s="17"/>
      <c r="V30" s="17"/>
      <c r="W30" s="20">
        <f>IFERROR(__xludf.DUMMYFUNCTION("""COMPUTED_VALUE"""),3000000.0)</f>
        <v>3000000</v>
      </c>
      <c r="X30" s="17"/>
      <c r="Y30" s="17"/>
    </row>
    <row r="31">
      <c r="A31" s="17">
        <f>IFERROR(__xludf.DUMMYFUNCTION("""COMPUTED_VALUE"""),28.0)</f>
        <v>28</v>
      </c>
      <c r="B31" s="18" t="str">
        <f>IFERROR(__xludf.DUMMYFUNCTION("""COMPUTED_VALUE"""),"miskashf")</f>
        <v>miskashf</v>
      </c>
      <c r="C31" s="19">
        <f>IFERROR(__xludf.DUMMYFUNCTION("""COMPUTED_VALUE"""),2200000.0)</f>
        <v>2200000</v>
      </c>
      <c r="D31" s="20" t="str">
        <f>IFERROR(__xludf.DUMMYFUNCTION("""COMPUTED_VALUE"""),"Mega")</f>
        <v>Mega</v>
      </c>
      <c r="E31" s="24" t="str">
        <f>IFERROR(__xludf.DUMMYFUNCTION("""COMPUTED_VALUE"""),"miskashf")</f>
        <v>miskashf</v>
      </c>
      <c r="F31" s="23">
        <f>IFERROR(__xludf.DUMMYFUNCTION("""COMPUTED_VALUE"""),867100.0)</f>
        <v>867100</v>
      </c>
      <c r="G31" s="20" t="str">
        <f>IFERROR(__xludf.DUMMYFUNCTION("""COMPUTED_VALUE"""),"Macro")</f>
        <v>Macro</v>
      </c>
      <c r="H31" s="17" t="str">
        <f>IFERROR(__xludf.DUMMYFUNCTION("""COMPUTED_VALUE"""),"Bekasi")</f>
        <v>Bekasi</v>
      </c>
      <c r="I31" s="17" t="str">
        <f>IFERROR(__xludf.DUMMYFUNCTION("""COMPUTED_VALUE"""),"-  Lifestyle Female
- Mom &amp; Kids")</f>
        <v>-  Lifestyle Female
- Mom &amp; Kids</v>
      </c>
      <c r="J31" s="17"/>
      <c r="K31" s="20">
        <f>IFERROR(__xludf.DUMMYFUNCTION("""COMPUTED_VALUE"""),1.2E7)</f>
        <v>12000000</v>
      </c>
      <c r="L31" s="17"/>
      <c r="M31" s="20" t="str">
        <f>IFERROR(__xludf.DUMMYFUNCTION("""COMPUTED_VALUE"""),"FREE")</f>
        <v>FREE</v>
      </c>
      <c r="N31" s="20">
        <f>IFERROR(__xludf.DUMMYFUNCTION("""COMPUTED_VALUE"""),2.2E7)</f>
        <v>22000000</v>
      </c>
      <c r="O31" s="17"/>
      <c r="P31" s="20">
        <f>IFERROR(__xludf.DUMMYFUNCTION("""COMPUTED_VALUE"""),4.0E7)</f>
        <v>40000000</v>
      </c>
      <c r="Q31" s="17"/>
      <c r="R31" s="17"/>
      <c r="S31" s="17"/>
      <c r="T31" s="20">
        <f>IFERROR(__xludf.DUMMYFUNCTION("""COMPUTED_VALUE"""),4.0E7)</f>
        <v>40000000</v>
      </c>
      <c r="U31" s="17"/>
      <c r="V31" s="17"/>
      <c r="W31" s="17"/>
      <c r="X31" s="17"/>
      <c r="Y31" s="17"/>
    </row>
    <row r="32">
      <c r="A32" s="17">
        <f>IFERROR(__xludf.DUMMYFUNCTION("""COMPUTED_VALUE"""),29.0)</f>
        <v>29</v>
      </c>
      <c r="B32" s="18" t="str">
        <f>IFERROR(__xludf.DUMMYFUNCTION("""COMPUTED_VALUE"""),"jennifercoppenreal20")</f>
        <v>jennifercoppenreal20</v>
      </c>
      <c r="C32" s="19">
        <f>IFERROR(__xludf.DUMMYFUNCTION("""COMPUTED_VALUE"""),8000000.0)</f>
        <v>8000000</v>
      </c>
      <c r="D32" s="20" t="str">
        <f>IFERROR(__xludf.DUMMYFUNCTION("""COMPUTED_VALUE"""),"Mega")</f>
        <v>Mega</v>
      </c>
      <c r="E32" s="24" t="str">
        <f>IFERROR(__xludf.DUMMYFUNCTION("""COMPUTED_VALUE"""),"jennifer.coppen")</f>
        <v>jennifer.coppen</v>
      </c>
      <c r="F32" s="19">
        <f>IFERROR(__xludf.DUMMYFUNCTION("""COMPUTED_VALUE"""),1.62E7)</f>
        <v>16200000</v>
      </c>
      <c r="G32" s="20" t="str">
        <f>IFERROR(__xludf.DUMMYFUNCTION("""COMPUTED_VALUE"""),"Mega")</f>
        <v>Mega</v>
      </c>
      <c r="H32" s="17" t="str">
        <f>IFERROR(__xludf.DUMMYFUNCTION("""COMPUTED_VALUE"""),"Bali")</f>
        <v>Bali</v>
      </c>
      <c r="I32" s="17" t="str">
        <f>IFERROR(__xludf.DUMMYFUNCTION("""COMPUTED_VALUE"""),"- Lifestyle Female
- Mom &amp; Kids")</f>
        <v>- Lifestyle Female
- Mom &amp; Kids</v>
      </c>
      <c r="J32" s="17"/>
      <c r="K32" s="20">
        <f>IFERROR(__xludf.DUMMYFUNCTION("""COMPUTED_VALUE"""),1.5E7)</f>
        <v>15000000</v>
      </c>
      <c r="L32" s="17"/>
      <c r="M32" s="20">
        <f>IFERROR(__xludf.DUMMYFUNCTION("""COMPUTED_VALUE"""),2500000.0)</f>
        <v>2500000</v>
      </c>
      <c r="N32" s="20">
        <f>IFERROR(__xludf.DUMMYFUNCTION("""COMPUTED_VALUE"""),5.0E7)</f>
        <v>50000000</v>
      </c>
      <c r="O32" s="17"/>
      <c r="P32" s="20">
        <f>IFERROR(__xludf.DUMMYFUNCTION("""COMPUTED_VALUE"""),8.0E7)</f>
        <v>80000000</v>
      </c>
      <c r="Q32" s="17"/>
      <c r="R32" s="20">
        <f>IFERROR(__xludf.DUMMYFUNCTION("""COMPUTED_VALUE"""),1.0E8)</f>
        <v>100000000</v>
      </c>
      <c r="S32" s="17"/>
      <c r="T32" s="17"/>
      <c r="U32" s="17"/>
      <c r="V32" s="17"/>
      <c r="W32" s="20">
        <f>IFERROR(__xludf.DUMMYFUNCTION("""COMPUTED_VALUE"""),1.5E7)</f>
        <v>15000000</v>
      </c>
      <c r="X32" s="17"/>
      <c r="Y32" s="17"/>
    </row>
    <row r="33">
      <c r="A33" s="17"/>
      <c r="B33" s="18" t="str">
        <f>IFERROR(__xludf.DUMMYFUNCTION("""COMPUTED_VALUE"""),"afifahriyad")</f>
        <v>afifahriyad</v>
      </c>
      <c r="C33" s="23">
        <f>IFERROR(__xludf.DUMMYFUNCTION("""COMPUTED_VALUE"""),527000.0)</f>
        <v>527000</v>
      </c>
      <c r="D33" s="20" t="str">
        <f>IFERROR(__xludf.DUMMYFUNCTION("""COMPUTED_VALUE"""),"Macro")</f>
        <v>Macro</v>
      </c>
      <c r="E33" s="18" t="str">
        <f>IFERROR(__xludf.DUMMYFUNCTION("""COMPUTED_VALUE"""),"afifahriyad")</f>
        <v>afifahriyad</v>
      </c>
      <c r="F33" s="23" t="str">
        <f>IFERROR(__xludf.DUMMYFUNCTION("""COMPUTED_VALUE"""),"3M")</f>
        <v>3M</v>
      </c>
      <c r="G33" s="20" t="str">
        <f>IFERROR(__xludf.DUMMYFUNCTION("""COMPUTED_VALUE"""),"Mega")</f>
        <v>Mega</v>
      </c>
      <c r="H33" s="17"/>
      <c r="I33" s="17" t="str">
        <f>IFERROR(__xludf.DUMMYFUNCTION("""COMPUTED_VALUE"""),"- Lifestyle Female
- Mom &amp; Kids
- Beauty")</f>
        <v>- Lifestyle Female
- Mom &amp; Kids
- Beauty</v>
      </c>
      <c r="J33" s="20">
        <f>IFERROR(__xludf.DUMMYFUNCTION("""COMPUTED_VALUE"""),4000000.0)</f>
        <v>4000000</v>
      </c>
      <c r="K33" s="20">
        <f>IFERROR(__xludf.DUMMYFUNCTION("""COMPUTED_VALUE"""),4000000.0)</f>
        <v>4000000</v>
      </c>
      <c r="L33" s="20">
        <f>IFERROR(__xludf.DUMMYFUNCTION("""COMPUTED_VALUE"""),6000000.0)</f>
        <v>6000000</v>
      </c>
      <c r="M33" s="20" t="str">
        <f>IFERROR(__xludf.DUMMYFUNCTION("""COMPUTED_VALUE"""),"FREE")</f>
        <v>FREE</v>
      </c>
      <c r="N33" s="20">
        <f>IFERROR(__xludf.DUMMYFUNCTION("""COMPUTED_VALUE"""),1.5E7)</f>
        <v>15000000</v>
      </c>
      <c r="O33" s="20">
        <f>IFERROR(__xludf.DUMMYFUNCTION("""COMPUTED_VALUE"""),1.5E7)</f>
        <v>15000000</v>
      </c>
      <c r="P33" s="20">
        <f>IFERROR(__xludf.DUMMYFUNCTION("""COMPUTED_VALUE"""),1.8E7)</f>
        <v>18000000</v>
      </c>
      <c r="Q33" s="20" t="str">
        <f>IFERROR(__xludf.DUMMYFUNCTION("""COMPUTED_VALUE"""),"FREE")</f>
        <v>FREE</v>
      </c>
      <c r="R33" s="20">
        <f>IFERROR(__xludf.DUMMYFUNCTION("""COMPUTED_VALUE"""),3.0E7)</f>
        <v>30000000</v>
      </c>
      <c r="S33" s="20">
        <f>IFERROR(__xludf.DUMMYFUNCTION("""COMPUTED_VALUE"""),4.8E7)</f>
        <v>48000000</v>
      </c>
      <c r="T33" s="20">
        <f>IFERROR(__xludf.DUMMYFUNCTION("""COMPUTED_VALUE"""),2.5E7)</f>
        <v>25000000</v>
      </c>
      <c r="U33" s="20" t="str">
        <f>IFERROR(__xludf.DUMMYFUNCTION("""COMPUTED_VALUE"""),"FREE")</f>
        <v>FREE</v>
      </c>
      <c r="V33" s="20" t="str">
        <f>IFERROR(__xludf.DUMMYFUNCTION("""COMPUTED_VALUE"""),"FREE")</f>
        <v>FREE</v>
      </c>
      <c r="W33" s="20" t="str">
        <f>IFERROR(__xludf.DUMMYFUNCTION("""COMPUTED_VALUE"""),"FREE")</f>
        <v>FREE</v>
      </c>
      <c r="X33" s="20">
        <f>IFERROR(__xludf.DUMMYFUNCTION("""COMPUTED_VALUE"""),2.5E7)</f>
        <v>25000000</v>
      </c>
      <c r="Y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 t="str">
        <f>IFERROR(__xludf.DUMMYFUNCTION("""COMPUTED_VALUE"""),"No")</f>
        <v>No</v>
      </c>
      <c r="B38" s="17" t="str">
        <f>IFERROR(__xludf.DUMMYFUNCTION("""COMPUTED_VALUE"""),"Nama ibu (username IG)")</f>
        <v>Nama ibu (username IG)</v>
      </c>
      <c r="C38" s="17" t="str">
        <f>IFERROR(__xludf.DUMMYFUNCTION("""COMPUTED_VALUE"""),"Nama anak")</f>
        <v>Nama anak</v>
      </c>
      <c r="D38" s="285" t="str">
        <f>IFERROR(__xludf.DUMMYFUNCTION("""COMPUTED_VALUE"""),"TTL")</f>
        <v>TTL</v>
      </c>
      <c r="E38" s="17" t="str">
        <f>IFERROR(__xludf.DUMMYFUNCTION("""COMPUTED_VALUE"""),"Umur")</f>
        <v>Umur</v>
      </c>
      <c r="F38" s="17"/>
      <c r="G38" s="17" t="str">
        <f>IFERROR(__xludf.DUMMYFUNCTION("""COMPUTED_VALUE"""),"Jenis kelamin")</f>
        <v>Jenis kelamin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>
        <f>IFERROR(__xludf.DUMMYFUNCTION("""COMPUTED_VALUE"""),1.0)</f>
        <v>1</v>
      </c>
      <c r="B39" s="17" t="str">
        <f>IFERROR(__xludf.DUMMYFUNCTION("""COMPUTED_VALUE"""),"keziagc")</f>
        <v>keziagc</v>
      </c>
      <c r="C39" s="17" t="str">
        <f>IFERROR(__xludf.DUMMYFUNCTION("""COMPUTED_VALUE"""),"Arkael Keith Lo")</f>
        <v>Arkael Keith Lo</v>
      </c>
      <c r="D39" s="17" t="str">
        <f>IFERROR(__xludf.DUMMYFUNCTION("""COMPUTED_VALUE"""),"Oktober 2020")</f>
        <v>Oktober 2020</v>
      </c>
      <c r="E39" s="17">
        <f>IFERROR(__xludf.DUMMYFUNCTION("""COMPUTED_VALUE"""),4.0)</f>
        <v>4</v>
      </c>
      <c r="F39" s="17" t="str">
        <f>IFERROR(__xludf.DUMMYFUNCTION("""COMPUTED_VALUE"""),"tahun")</f>
        <v>tahun</v>
      </c>
      <c r="G39" s="17" t="str">
        <f>IFERROR(__xludf.DUMMYFUNCTION("""COMPUTED_VALUE"""),"Laki-Laki")</f>
        <v>Laki-Laki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>
        <f>IFERROR(__xludf.DUMMYFUNCTION("""COMPUTED_VALUE"""),2.0)</f>
        <v>2</v>
      </c>
      <c r="B40" s="17"/>
      <c r="C40" s="17" t="str">
        <f>IFERROR(__xludf.DUMMYFUNCTION("""COMPUTED_VALUE"""),"Kairy")</f>
        <v>Kairy</v>
      </c>
      <c r="D40" s="17" t="str">
        <f>IFERROR(__xludf.DUMMYFUNCTION("""COMPUTED_VALUE"""),"Maret 2024")</f>
        <v>Maret 2024</v>
      </c>
      <c r="E40" s="17" t="str">
        <f>IFERROR(__xludf.DUMMYFUNCTION("""COMPUTED_VALUE"""),"&lt;1")</f>
        <v>&lt;1</v>
      </c>
      <c r="F40" s="17" t="str">
        <f>IFERROR(__xludf.DUMMYFUNCTION("""COMPUTED_VALUE"""),"tahun")</f>
        <v>tahun</v>
      </c>
      <c r="G40" s="17" t="str">
        <f>IFERROR(__xludf.DUMMYFUNCTION("""COMPUTED_VALUE"""),"Perempuan")</f>
        <v>Perempuan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>
        <f>IFERROR(__xludf.DUMMYFUNCTION("""COMPUTED_VALUE"""),3.0)</f>
        <v>3</v>
      </c>
      <c r="B41" s="17" t="str">
        <f>IFERROR(__xludf.DUMMYFUNCTION("""COMPUTED_VALUE"""),"kekevaangelista")</f>
        <v>kekevaangelista</v>
      </c>
      <c r="C41" s="286" t="str">
        <f>IFERROR(__xludf.DUMMYFUNCTION("""COMPUTED_VALUE"""),"Zaline Ankeefa Ceisya")</f>
        <v>Zaline Ankeefa Ceisya</v>
      </c>
      <c r="D41" s="285">
        <f>IFERROR(__xludf.DUMMYFUNCTION("""COMPUTED_VALUE"""),45114.0)</f>
        <v>45114</v>
      </c>
      <c r="E41" s="17">
        <f>IFERROR(__xludf.DUMMYFUNCTION("""COMPUTED_VALUE"""),2.0)</f>
        <v>2</v>
      </c>
      <c r="F41" s="17" t="str">
        <f>IFERROR(__xludf.DUMMYFUNCTION("""COMPUTED_VALUE"""),"tahun")</f>
        <v>tahun</v>
      </c>
      <c r="G41" s="17" t="str">
        <f>IFERROR(__xludf.DUMMYFUNCTION("""COMPUTED_VALUE"""),"Perempuan")</f>
        <v>Perempuan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>
        <f>IFERROR(__xludf.DUMMYFUNCTION("""COMPUTED_VALUE"""),4.0)</f>
        <v>4</v>
      </c>
      <c r="B42" s="17" t="str">
        <f>IFERROR(__xludf.DUMMYFUNCTION("""COMPUTED_VALUE"""),"viaazulviani")</f>
        <v>viaazulviani</v>
      </c>
      <c r="C42" s="17" t="str">
        <f>IFERROR(__xludf.DUMMYFUNCTION("""COMPUTED_VALUE"""),"Mahesa")</f>
        <v>Mahesa</v>
      </c>
      <c r="D42" s="285">
        <f>IFERROR(__xludf.DUMMYFUNCTION("""COMPUTED_VALUE"""),45410.0)</f>
        <v>45410</v>
      </c>
      <c r="E42" s="17" t="str">
        <f>IFERROR(__xludf.DUMMYFUNCTION("""COMPUTED_VALUE"""),"&lt;1")</f>
        <v>&lt;1</v>
      </c>
      <c r="F42" s="17" t="str">
        <f>IFERROR(__xludf.DUMMYFUNCTION("""COMPUTED_VALUE"""),"tahun")</f>
        <v>tahun</v>
      </c>
      <c r="G42" s="17" t="str">
        <f>IFERROR(__xludf.DUMMYFUNCTION("""COMPUTED_VALUE"""),"Laki-Laki")</f>
        <v>Laki-Laki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>
        <f>IFERROR(__xludf.DUMMYFUNCTION("""COMPUTED_VALUE"""),5.0)</f>
        <v>5</v>
      </c>
      <c r="B43" s="17" t="str">
        <f>IFERROR(__xludf.DUMMYFUNCTION("""COMPUTED_VALUE"""),"nennyzoe")</f>
        <v>nennyzoe</v>
      </c>
      <c r="C43" s="17" t="str">
        <f>IFERROR(__xludf.DUMMYFUNCTION("""COMPUTED_VALUE"""),"Almineta")</f>
        <v>Almineta</v>
      </c>
      <c r="D43" s="285">
        <f>IFERROR(__xludf.DUMMYFUNCTION("""COMPUTED_VALUE"""),36525.0)</f>
        <v>36525</v>
      </c>
      <c r="E43" s="17">
        <f>IFERROR(__xludf.DUMMYFUNCTION("""COMPUTED_VALUE"""),26.0)</f>
        <v>26</v>
      </c>
      <c r="F43" s="17" t="str">
        <f>IFERROR(__xludf.DUMMYFUNCTION("""COMPUTED_VALUE"""),"tahun")</f>
        <v>tahun</v>
      </c>
      <c r="G43" s="17" t="str">
        <f>IFERROR(__xludf.DUMMYFUNCTION("""COMPUTED_VALUE"""),"Perempuan")</f>
        <v>Perempuan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27">
        <f>IFERROR(__xludf.DUMMYFUNCTION("""COMPUTED_VALUE"""),6.0)</f>
        <v>6</v>
      </c>
      <c r="B44" s="27"/>
      <c r="C44" s="27" t="str">
        <f>IFERROR(__xludf.DUMMYFUNCTION("""COMPUTED_VALUE"""),"Rahardika")</f>
        <v>Rahardika</v>
      </c>
      <c r="D44" s="287">
        <f>IFERROR(__xludf.DUMMYFUNCTION("""COMPUTED_VALUE"""),38008.0)</f>
        <v>38008</v>
      </c>
      <c r="E44" s="27">
        <f>IFERROR(__xludf.DUMMYFUNCTION("""COMPUTED_VALUE"""),22.0)</f>
        <v>22</v>
      </c>
      <c r="F44" s="27" t="str">
        <f>IFERROR(__xludf.DUMMYFUNCTION("""COMPUTED_VALUE"""),"tahun")</f>
        <v>tahun</v>
      </c>
      <c r="G44" s="27" t="str">
        <f>IFERROR(__xludf.DUMMYFUNCTION("""COMPUTED_VALUE"""),"Laki-Laki")</f>
        <v>Laki-Laki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>
        <f>IFERROR(__xludf.DUMMYFUNCTION("""COMPUTED_VALUE"""),7.0)</f>
        <v>7</v>
      </c>
      <c r="B45" s="27"/>
      <c r="C45" s="27" t="str">
        <f>IFERROR(__xludf.DUMMYFUNCTION("""COMPUTED_VALUE"""),"Arshandy")</f>
        <v>Arshandy</v>
      </c>
      <c r="D45" s="287">
        <f>IFERROR(__xludf.DUMMYFUNCTION("""COMPUTED_VALUE"""),38853.0)</f>
        <v>38853</v>
      </c>
      <c r="E45" s="27">
        <f>IFERROR(__xludf.DUMMYFUNCTION("""COMPUTED_VALUE"""),19.0)</f>
        <v>19</v>
      </c>
      <c r="F45" s="27" t="str">
        <f>IFERROR(__xludf.DUMMYFUNCTION("""COMPUTED_VALUE"""),"tahun")</f>
        <v>tahun</v>
      </c>
      <c r="G45" s="27" t="str">
        <f>IFERROR(__xludf.DUMMYFUNCTION("""COMPUTED_VALUE"""),"Laki-Laki")</f>
        <v>Laki-Laki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>
        <f>IFERROR(__xludf.DUMMYFUNCTION("""COMPUTED_VALUE"""),8.0)</f>
        <v>8</v>
      </c>
      <c r="B46" s="27" t="str">
        <f>IFERROR(__xludf.DUMMYFUNCTION("""COMPUTED_VALUE"""),"gelialinn")</f>
        <v>gelialinn</v>
      </c>
      <c r="C46" s="27" t="str">
        <f>IFERROR(__xludf.DUMMYFUNCTION("""COMPUTED_VALUE"""),"Gama")</f>
        <v>Gama</v>
      </c>
      <c r="D46" s="287">
        <f>IFERROR(__xludf.DUMMYFUNCTION("""COMPUTED_VALUE"""),44735.0)</f>
        <v>44735</v>
      </c>
      <c r="E46" s="27">
        <f>IFERROR(__xludf.DUMMYFUNCTION("""COMPUTED_VALUE"""),3.0)</f>
        <v>3</v>
      </c>
      <c r="F46" s="27" t="str">
        <f>IFERROR(__xludf.DUMMYFUNCTION("""COMPUTED_VALUE"""),"tahun")</f>
        <v>tahun</v>
      </c>
      <c r="G46" s="27" t="str">
        <f>IFERROR(__xludf.DUMMYFUNCTION("""COMPUTED_VALUE"""),"Laki-Laki")</f>
        <v>Laki-Laki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>
        <f>IFERROR(__xludf.DUMMYFUNCTION("""COMPUTED_VALUE"""),9.0)</f>
        <v>9</v>
      </c>
      <c r="B47" s="27"/>
      <c r="C47" s="27" t="str">
        <f>IFERROR(__xludf.DUMMYFUNCTION("""COMPUTED_VALUE"""),"Hima")</f>
        <v>Hima</v>
      </c>
      <c r="D47" s="287">
        <f>IFERROR(__xludf.DUMMYFUNCTION("""COMPUTED_VALUE"""),45130.0)</f>
        <v>45130</v>
      </c>
      <c r="E47" s="27">
        <f>IFERROR(__xludf.DUMMYFUNCTION("""COMPUTED_VALUE"""),2.0)</f>
        <v>2</v>
      </c>
      <c r="F47" s="27" t="str">
        <f>IFERROR(__xludf.DUMMYFUNCTION("""COMPUTED_VALUE"""),"tahun")</f>
        <v>tahun</v>
      </c>
      <c r="G47" s="27" t="str">
        <f>IFERROR(__xludf.DUMMYFUNCTION("""COMPUTED_VALUE"""),"Perempuan")</f>
        <v>Perempuan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>
        <f>IFERROR(__xludf.DUMMYFUNCTION("""COMPUTED_VALUE"""),10.0)</f>
        <v>10</v>
      </c>
      <c r="B48" s="27"/>
      <c r="C48" s="27" t="str">
        <f>IFERROR(__xludf.DUMMYFUNCTION("""COMPUTED_VALUE"""),"Gelmara")</f>
        <v>Gelmara</v>
      </c>
      <c r="D48" s="287">
        <f>IFERROR(__xludf.DUMMYFUNCTION("""COMPUTED_VALUE"""),45542.0)</f>
        <v>45542</v>
      </c>
      <c r="E48" s="27" t="str">
        <f>IFERROR(__xludf.DUMMYFUNCTION("""COMPUTED_VALUE"""),"&lt;1")</f>
        <v>&lt;1</v>
      </c>
      <c r="F48" s="27" t="str">
        <f>IFERROR(__xludf.DUMMYFUNCTION("""COMPUTED_VALUE"""),"tahun")</f>
        <v>tahun</v>
      </c>
      <c r="G48" s="27" t="str">
        <f>IFERROR(__xludf.DUMMYFUNCTION("""COMPUTED_VALUE"""),"Perempuan")</f>
        <v>Perempuan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>
        <f>IFERROR(__xludf.DUMMYFUNCTION("""COMPUTED_VALUE"""),11.0)</f>
        <v>11</v>
      </c>
      <c r="B49" s="27" t="str">
        <f>IFERROR(__xludf.DUMMYFUNCTION("""COMPUTED_VALUE"""),"galyasgeulis")</f>
        <v>galyasgeulis</v>
      </c>
      <c r="C49" s="27" t="str">
        <f>IFERROR(__xludf.DUMMYFUNCTION("""COMPUTED_VALUE"""),"Arthala")</f>
        <v>Arthala</v>
      </c>
      <c r="D49" s="287">
        <f>IFERROR(__xludf.DUMMYFUNCTION("""COMPUTED_VALUE"""),44379.0)</f>
        <v>44379</v>
      </c>
      <c r="E49" s="27">
        <f>IFERROR(__xludf.DUMMYFUNCTION("""COMPUTED_VALUE"""),4.0)</f>
        <v>4</v>
      </c>
      <c r="F49" s="27" t="str">
        <f>IFERROR(__xludf.DUMMYFUNCTION("""COMPUTED_VALUE"""),"tahun")</f>
        <v>tahun</v>
      </c>
      <c r="G49" s="27" t="str">
        <f>IFERROR(__xludf.DUMMYFUNCTION("""COMPUTED_VALUE"""),"Laki-Laki")</f>
        <v>Laki-Laki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>
        <f>IFERROR(__xludf.DUMMYFUNCTION("""COMPUTED_VALUE"""),12.0)</f>
        <v>12</v>
      </c>
      <c r="B50" s="27" t="str">
        <f>IFERROR(__xludf.DUMMYFUNCTION("""COMPUTED_VALUE"""),"trishaazia")</f>
        <v>trishaazia</v>
      </c>
      <c r="C50" s="27" t="str">
        <f>IFERROR(__xludf.DUMMYFUNCTION("""COMPUTED_VALUE"""),"Muhamad Zafran Eiji")</f>
        <v>Muhamad Zafran Eiji</v>
      </c>
      <c r="D50" s="288" t="str">
        <f>IFERROR(__xludf.DUMMYFUNCTION("""COMPUTED_VALUE"""),"07/06/2023")</f>
        <v>07/06/2023</v>
      </c>
      <c r="E50" s="27">
        <f>IFERROR(__xludf.DUMMYFUNCTION("""COMPUTED_VALUE"""),2.0)</f>
        <v>2</v>
      </c>
      <c r="F50" s="27" t="str">
        <f>IFERROR(__xludf.DUMMYFUNCTION("""COMPUTED_VALUE"""),"tahun")</f>
        <v>tahun</v>
      </c>
      <c r="G50" s="27" t="str">
        <f>IFERROR(__xludf.DUMMYFUNCTION("""COMPUTED_VALUE"""),"Laki-Laki")</f>
        <v>Laki-Laki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>
        <f>IFERROR(__xludf.DUMMYFUNCTION("""COMPUTED_VALUE"""),13.0)</f>
        <v>13</v>
      </c>
      <c r="B51" s="27" t="str">
        <f>IFERROR(__xludf.DUMMYFUNCTION("""COMPUTED_VALUE"""),"mewindahttyas")</f>
        <v>mewindahttyas</v>
      </c>
      <c r="C51" s="27" t="str">
        <f>IFERROR(__xludf.DUMMYFUNCTION("""COMPUTED_VALUE"""),"Arsha Auriga Khairath Alldindra")</f>
        <v>Arsha Auriga Khairath Alldindra</v>
      </c>
      <c r="D51" s="287">
        <f>IFERROR(__xludf.DUMMYFUNCTION("""COMPUTED_VALUE"""),44404.0)</f>
        <v>44404</v>
      </c>
      <c r="E51" s="27">
        <f>IFERROR(__xludf.DUMMYFUNCTION("""COMPUTED_VALUE"""),4.0)</f>
        <v>4</v>
      </c>
      <c r="F51" s="27" t="str">
        <f>IFERROR(__xludf.DUMMYFUNCTION("""COMPUTED_VALUE"""),"tahun")</f>
        <v>tahun</v>
      </c>
      <c r="G51" s="27" t="str">
        <f>IFERROR(__xludf.DUMMYFUNCTION("""COMPUTED_VALUE"""),"Laki-Laki")</f>
        <v>Laki-Laki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>
        <f>IFERROR(__xludf.DUMMYFUNCTION("""COMPUTED_VALUE"""),14.0)</f>
        <v>14</v>
      </c>
      <c r="B52" s="27" t="str">
        <f>IFERROR(__xludf.DUMMYFUNCTION("""COMPUTED_VALUE"""),"ka.reys")</f>
        <v>ka.reys</v>
      </c>
      <c r="C52" s="27" t="str">
        <f>IFERROR(__xludf.DUMMYFUNCTION("""COMPUTED_VALUE"""),"Khansa Aurelia")</f>
        <v>Khansa Aurelia</v>
      </c>
      <c r="D52" s="287">
        <f>IFERROR(__xludf.DUMMYFUNCTION("""COMPUTED_VALUE"""),44891.0)</f>
        <v>44891</v>
      </c>
      <c r="E52" s="27">
        <f>IFERROR(__xludf.DUMMYFUNCTION("""COMPUTED_VALUE"""),3.0)</f>
        <v>3</v>
      </c>
      <c r="F52" s="27" t="str">
        <f>IFERROR(__xludf.DUMMYFUNCTION("""COMPUTED_VALUE"""),"tahun")</f>
        <v>tahun</v>
      </c>
      <c r="G52" s="27" t="str">
        <f>IFERROR(__xludf.DUMMYFUNCTION("""COMPUTED_VALUE"""),"Perempuan")</f>
        <v>Perempuan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>
        <f>IFERROR(__xludf.DUMMYFUNCTION("""COMPUTED_VALUE"""),15.0)</f>
        <v>15</v>
      </c>
      <c r="B53" s="27" t="str">
        <f>IFERROR(__xludf.DUMMYFUNCTION("""COMPUTED_VALUE"""),"aisyafputri")</f>
        <v>aisyafputri</v>
      </c>
      <c r="C53" s="27" t="str">
        <f>IFERROR(__xludf.DUMMYFUNCTION("""COMPUTED_VALUE"""),"Dasya Zerina Dreira")</f>
        <v>Dasya Zerina Dreira</v>
      </c>
      <c r="D53" s="287">
        <f>IFERROR(__xludf.DUMMYFUNCTION("""COMPUTED_VALUE"""),44825.0)</f>
        <v>44825</v>
      </c>
      <c r="E53" s="27">
        <f>IFERROR(__xludf.DUMMYFUNCTION("""COMPUTED_VALUE"""),3.0)</f>
        <v>3</v>
      </c>
      <c r="F53" s="27" t="str">
        <f>IFERROR(__xludf.DUMMYFUNCTION("""COMPUTED_VALUE"""),"tahun")</f>
        <v>tahun</v>
      </c>
      <c r="G53" s="27" t="str">
        <f>IFERROR(__xludf.DUMMYFUNCTION("""COMPUTED_VALUE"""),"Perempuan")</f>
        <v>Perempuan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>
        <f>IFERROR(__xludf.DUMMYFUNCTION("""COMPUTED_VALUE"""),16.0)</f>
        <v>16</v>
      </c>
      <c r="B54" s="27" t="str">
        <f>IFERROR(__xludf.DUMMYFUNCTION("""COMPUTED_VALUE"""),"nadianraulya")</f>
        <v>nadianraulya</v>
      </c>
      <c r="C54" s="27" t="str">
        <f>IFERROR(__xludf.DUMMYFUNCTION("""COMPUTED_VALUE"""),"Nakia")</f>
        <v>Nakia</v>
      </c>
      <c r="D54" s="289">
        <f>IFERROR(__xludf.DUMMYFUNCTION("""COMPUTED_VALUE"""),44941.0)</f>
        <v>44941</v>
      </c>
      <c r="E54" s="27">
        <f>IFERROR(__xludf.DUMMYFUNCTION("""COMPUTED_VALUE"""),1.0)</f>
        <v>1</v>
      </c>
      <c r="F54" s="27" t="str">
        <f>IFERROR(__xludf.DUMMYFUNCTION("""COMPUTED_VALUE"""),"tahun")</f>
        <v>tahun</v>
      </c>
      <c r="G54" s="27" t="str">
        <f>IFERROR(__xludf.DUMMYFUNCTION("""COMPUTED_VALUE"""),"Perempuan")</f>
        <v>Perempuan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>
        <f>IFERROR(__xludf.DUMMYFUNCTION("""COMPUTED_VALUE"""),17.0)</f>
        <v>17</v>
      </c>
      <c r="B55" s="27" t="str">
        <f>IFERROR(__xludf.DUMMYFUNCTION("""COMPUTED_VALUE"""),"seviqfebinita")</f>
        <v>seviqfebinita</v>
      </c>
      <c r="C55" s="288" t="str">
        <f>IFERROR(__xludf.DUMMYFUNCTION("""COMPUTED_VALUE"""),"Jennie")</f>
        <v>Jennie</v>
      </c>
      <c r="D55" s="287">
        <f>IFERROR(__xludf.DUMMYFUNCTION("""COMPUTED_VALUE"""),44467.0)</f>
        <v>44467</v>
      </c>
      <c r="E55" s="27">
        <f>IFERROR(__xludf.DUMMYFUNCTION("""COMPUTED_VALUE"""),4.0)</f>
        <v>4</v>
      </c>
      <c r="F55" s="27" t="str">
        <f>IFERROR(__xludf.DUMMYFUNCTION("""COMPUTED_VALUE"""),"tahun")</f>
        <v>tahun</v>
      </c>
      <c r="G55" s="27" t="str">
        <f>IFERROR(__xludf.DUMMYFUNCTION("""COMPUTED_VALUE"""),"Perempuan")</f>
        <v>Perempuan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>
        <f>IFERROR(__xludf.DUMMYFUNCTION("""COMPUTED_VALUE"""),18.0)</f>
        <v>18</v>
      </c>
      <c r="B56" s="27"/>
      <c r="C56" s="27" t="str">
        <f>IFERROR(__xludf.DUMMYFUNCTION("""COMPUTED_VALUE"""),"Bentley")</f>
        <v>Bentley</v>
      </c>
      <c r="D56" s="287">
        <f>IFERROR(__xludf.DUMMYFUNCTION("""COMPUTED_VALUE"""),44887.0)</f>
        <v>44887</v>
      </c>
      <c r="E56" s="27">
        <f>IFERROR(__xludf.DUMMYFUNCTION("""COMPUTED_VALUE"""),3.0)</f>
        <v>3</v>
      </c>
      <c r="F56" s="27" t="str">
        <f>IFERROR(__xludf.DUMMYFUNCTION("""COMPUTED_VALUE"""),"tahun")</f>
        <v>tahun</v>
      </c>
      <c r="G56" s="27" t="str">
        <f>IFERROR(__xludf.DUMMYFUNCTION("""COMPUTED_VALUE"""),"Laki-Laki")</f>
        <v>Laki-Laki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>
        <f>IFERROR(__xludf.DUMMYFUNCTION("""COMPUTED_VALUE"""),19.0)</f>
        <v>19</v>
      </c>
      <c r="B57" s="27" t="str">
        <f>IFERROR(__xludf.DUMMYFUNCTION("""COMPUTED_VALUE"""),"nabilabellai_")</f>
        <v>nabilabellai_</v>
      </c>
      <c r="C57" s="27" t="str">
        <f>IFERROR(__xludf.DUMMYFUNCTION("""COMPUTED_VALUE"""),"Shahmeer")</f>
        <v>Shahmeer</v>
      </c>
      <c r="D57" s="290">
        <f>IFERROR(__xludf.DUMMYFUNCTION("""COMPUTED_VALUE"""),45097.0)</f>
        <v>45097</v>
      </c>
      <c r="E57" s="27">
        <f>IFERROR(__xludf.DUMMYFUNCTION("""COMPUTED_VALUE"""),2.0)</f>
        <v>2</v>
      </c>
      <c r="F57" s="27" t="str">
        <f>IFERROR(__xludf.DUMMYFUNCTION("""COMPUTED_VALUE"""),"tahun")</f>
        <v>tahun</v>
      </c>
      <c r="G57" s="27" t="str">
        <f>IFERROR(__xludf.DUMMYFUNCTION("""COMPUTED_VALUE"""),"Laki-Laki")</f>
        <v>Laki-Laki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>
        <f>IFERROR(__xludf.DUMMYFUNCTION("""COMPUTED_VALUE"""),20.0)</f>
        <v>20</v>
      </c>
      <c r="B58" s="27" t="str">
        <f>IFERROR(__xludf.DUMMYFUNCTION("""COMPUTED_VALUE"""),"angelicamanopo")</f>
        <v>angelicamanopo</v>
      </c>
      <c r="C58" s="288" t="str">
        <f>IFERROR(__xludf.DUMMYFUNCTION("""COMPUTED_VALUE"""),"Zerael Gracelynn Ariela Mawu ")</f>
        <v>Zerael Gracelynn Ariela Mawu </v>
      </c>
      <c r="D58" s="287">
        <f>IFERROR(__xludf.DUMMYFUNCTION("""COMPUTED_VALUE"""),45515.0)</f>
        <v>45515</v>
      </c>
      <c r="E58" s="27" t="str">
        <f>IFERROR(__xludf.DUMMYFUNCTION("""COMPUTED_VALUE"""),"&lt;1")</f>
        <v>&lt;1</v>
      </c>
      <c r="F58" s="27" t="str">
        <f>IFERROR(__xludf.DUMMYFUNCTION("""COMPUTED_VALUE"""),"tahun")</f>
        <v>tahun</v>
      </c>
      <c r="G58" s="27" t="str">
        <f>IFERROR(__xludf.DUMMYFUNCTION("""COMPUTED_VALUE"""),"Perempuan")</f>
        <v>Perempuan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53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  <hyperlink r:id="rId25" ref="B16"/>
    <hyperlink r:id="rId26" ref="E16"/>
    <hyperlink r:id="rId27" ref="B17"/>
    <hyperlink r:id="rId28" ref="E17"/>
    <hyperlink r:id="rId29" ref="B18"/>
    <hyperlink r:id="rId30" ref="E18"/>
    <hyperlink r:id="rId31" ref="B19"/>
    <hyperlink r:id="rId32" ref="E19"/>
    <hyperlink r:id="rId33" ref="B20"/>
    <hyperlink r:id="rId34" ref="E20"/>
    <hyperlink r:id="rId35" ref="B21"/>
    <hyperlink r:id="rId36" ref="E21"/>
    <hyperlink r:id="rId37" ref="B22"/>
    <hyperlink r:id="rId38" ref="E22"/>
    <hyperlink r:id="rId39" ref="B23"/>
    <hyperlink r:id="rId40" ref="E23"/>
    <hyperlink r:id="rId41" ref="B24"/>
    <hyperlink r:id="rId42" ref="E24"/>
    <hyperlink r:id="rId43" ref="B25"/>
    <hyperlink r:id="rId44" ref="E25"/>
    <hyperlink r:id="rId45" ref="B26"/>
    <hyperlink r:id="rId46" ref="E26"/>
    <hyperlink r:id="rId47" ref="B27"/>
    <hyperlink r:id="rId48" ref="E27"/>
    <hyperlink r:id="rId49" ref="B28"/>
    <hyperlink r:id="rId50" ref="E28"/>
    <hyperlink r:id="rId51" ref="B29"/>
    <hyperlink r:id="rId52" ref="E29"/>
    <hyperlink r:id="rId53" ref="B30"/>
    <hyperlink r:id="rId54" ref="E30"/>
    <hyperlink r:id="rId55" ref="B31"/>
    <hyperlink r:id="rId56" ref="E31"/>
    <hyperlink r:id="rId57" ref="B32"/>
    <hyperlink r:id="rId58" ref="E32"/>
    <hyperlink r:id="rId59" ref="B33"/>
    <hyperlink r:id="rId60" ref="E33"/>
  </hyperlinks>
  <drawing r:id="rId6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""Health &amp; Sport!A4:Y999"")"),1.0)</f>
        <v>1</v>
      </c>
      <c r="B4" s="18" t="str">
        <f>IFERROR(__xludf.DUMMYFUNCTION("""COMPUTED_VALUE"""),"juandadaly")</f>
        <v>juandadaly</v>
      </c>
      <c r="C4" s="23">
        <f>IFERROR(__xludf.DUMMYFUNCTION("""COMPUTED_VALUE"""),228000.0)</f>
        <v>228000</v>
      </c>
      <c r="D4" s="17" t="str">
        <f>IFERROR(__xludf.DUMMYFUNCTION("""COMPUTED_VALUE"""),"Mid")</f>
        <v>Mid</v>
      </c>
      <c r="E4" s="18" t="str">
        <f>IFERROR(__xludf.DUMMYFUNCTION("""COMPUTED_VALUE"""),"juandadaly")</f>
        <v>juandadaly</v>
      </c>
      <c r="F4" s="19">
        <f>IFERROR(__xludf.DUMMYFUNCTION("""COMPUTED_VALUE"""),1700000.0)</f>
        <v>1700000</v>
      </c>
      <c r="G4" s="17" t="str">
        <f>IFERROR(__xludf.DUMMYFUNCTION("""COMPUTED_VALUE"""),"Mega")</f>
        <v>Mega</v>
      </c>
      <c r="H4" s="17" t="str">
        <f>IFERROR(__xludf.DUMMYFUNCTION("""COMPUTED_VALUE"""),"Bogor ")</f>
        <v>Bogor </v>
      </c>
      <c r="I4" s="17" t="str">
        <f>IFERROR(__xludf.DUMMYFUNCTION("""COMPUTED_VALUE"""),"- Lifestyle Male, 
- Health &amp; Sport
- Family")</f>
        <v>- Lifestyle Male, 
- Health &amp; Sport
- Family</v>
      </c>
      <c r="J4" s="17"/>
      <c r="K4" s="20">
        <f>IFERROR(__xludf.DUMMYFUNCTION("""COMPUTED_VALUE"""),1000000.0)</f>
        <v>1000000</v>
      </c>
      <c r="L4" s="20">
        <f>IFERROR(__xludf.DUMMYFUNCTION("""COMPUTED_VALUE"""),1500000.0)</f>
        <v>1500000</v>
      </c>
      <c r="M4" s="20" t="str">
        <f>IFERROR(__xludf.DUMMYFUNCTION("""COMPUTED_VALUE"""),"FREE")</f>
        <v>FREE</v>
      </c>
      <c r="N4" s="20">
        <f>IFERROR(__xludf.DUMMYFUNCTION("""COMPUTED_VALUE"""),2500000.0)</f>
        <v>2500000</v>
      </c>
      <c r="O4" s="20">
        <f>IFERROR(__xludf.DUMMYFUNCTION("""COMPUTED_VALUE"""),3000000.0)</f>
        <v>3000000</v>
      </c>
      <c r="P4" s="20">
        <f>IFERROR(__xludf.DUMMYFUNCTION("""COMPUTED_VALUE"""),4000000.0)</f>
        <v>4000000</v>
      </c>
      <c r="Q4" s="20" t="str">
        <f>IFERROR(__xludf.DUMMYFUNCTION("""COMPUTED_VALUE"""),"FREE")</f>
        <v>FREE</v>
      </c>
      <c r="R4" s="20">
        <f>IFERROR(__xludf.DUMMYFUNCTION("""COMPUTED_VALUE"""),4500000.0)</f>
        <v>4500000</v>
      </c>
      <c r="S4" s="20">
        <f>IFERROR(__xludf.DUMMYFUNCTION("""COMPUTED_VALUE"""),5500000.0)</f>
        <v>5500000</v>
      </c>
      <c r="T4" s="17"/>
      <c r="U4" s="20">
        <f>IFERROR(__xludf.DUMMYFUNCTION("""COMPUTED_VALUE"""),2000000.0)</f>
        <v>2000000</v>
      </c>
      <c r="V4" s="20">
        <f>IFERROR(__xludf.DUMMYFUNCTION("""COMPUTED_VALUE"""),500000.0)</f>
        <v>500000</v>
      </c>
      <c r="W4" s="20">
        <f>IFERROR(__xludf.DUMMYFUNCTION("""COMPUTED_VALUE"""),500000.0)</f>
        <v>500000</v>
      </c>
      <c r="X4" s="17" t="str">
        <f>IFERROR(__xludf.DUMMYFUNCTION("""COMPUTED_VALUE"""),"Rp1.000.000 (Jabodetabek)")</f>
        <v>Rp1.000.000 (Jabodetabek)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IFERROR(__xludf.DUMMYFUNCTION("""COMPUTED_VALUE"""),"hoveryponen12")</f>
        <v>hoveryponen12</v>
      </c>
      <c r="C5" s="23">
        <f>IFERROR(__xludf.DUMMYFUNCTION("""COMPUTED_VALUE"""),30300.0)</f>
        <v>30300</v>
      </c>
      <c r="D5" s="17" t="str">
        <f>IFERROR(__xludf.DUMMYFUNCTION("""COMPUTED_VALUE"""),"Micro")</f>
        <v>Micro</v>
      </c>
      <c r="E5" s="18" t="str">
        <f>IFERROR(__xludf.DUMMYFUNCTION("""COMPUTED_VALUE"""),"kenbun88")</f>
        <v>kenbun88</v>
      </c>
      <c r="F5" s="23">
        <f>IFERROR(__xludf.DUMMYFUNCTION("""COMPUTED_VALUE"""),342500.0)</f>
        <v>342500</v>
      </c>
      <c r="G5" s="17" t="str">
        <f>IFERROR(__xludf.DUMMYFUNCTION("""COMPUTED_VALUE"""),"Mid")</f>
        <v>Mid</v>
      </c>
      <c r="H5" s="17" t="str">
        <f>IFERROR(__xludf.DUMMYFUNCTION("""COMPUTED_VALUE"""),"Jakarta")</f>
        <v>Jakarta</v>
      </c>
      <c r="I5" s="17" t="str">
        <f>IFERROR(__xludf.DUMMYFUNCTION("""COMPUTED_VALUE"""),"- Lifestyle Male
- Health &amp; Sport")</f>
        <v>- Lifestyle Male
- Health &amp; Sport</v>
      </c>
      <c r="J5" s="20">
        <f>IFERROR(__xludf.DUMMYFUNCTION("""COMPUTED_VALUE"""),200000.0)</f>
        <v>200000</v>
      </c>
      <c r="K5" s="20">
        <f>IFERROR(__xludf.DUMMYFUNCTION("""COMPUTED_VALUE"""),200000.0)</f>
        <v>200000</v>
      </c>
      <c r="L5" s="20">
        <f>IFERROR(__xludf.DUMMYFUNCTION("""COMPUTED_VALUE"""),700000.0)</f>
        <v>700000</v>
      </c>
      <c r="M5" s="20" t="str">
        <f>IFERROR(__xludf.DUMMYFUNCTION("""COMPUTED_VALUE"""),"FREE")</f>
        <v>FREE</v>
      </c>
      <c r="N5" s="20">
        <f>IFERROR(__xludf.DUMMYFUNCTION("""COMPUTED_VALUE"""),350000.0)</f>
        <v>350000</v>
      </c>
      <c r="O5" s="20">
        <f>IFERROR(__xludf.DUMMYFUNCTION("""COMPUTED_VALUE"""),400000.0)</f>
        <v>400000</v>
      </c>
      <c r="P5" s="20">
        <f>IFERROR(__xludf.DUMMYFUNCTION("""COMPUTED_VALUE"""),1000000.0)</f>
        <v>1000000</v>
      </c>
      <c r="Q5" s="20" t="str">
        <f>IFERROR(__xludf.DUMMYFUNCTION("""COMPUTED_VALUE"""),"FREE")</f>
        <v>FREE</v>
      </c>
      <c r="R5" s="20">
        <f>IFERROR(__xludf.DUMMYFUNCTION("""COMPUTED_VALUE"""),2500000.0)</f>
        <v>2500000</v>
      </c>
      <c r="S5" s="20">
        <f>IFERROR(__xludf.DUMMYFUNCTION("""COMPUTED_VALUE"""),3000000.0)</f>
        <v>3000000</v>
      </c>
      <c r="T5" s="20">
        <f>IFERROR(__xludf.DUMMYFUNCTION("""COMPUTED_VALUE"""),500000.0)</f>
        <v>500000</v>
      </c>
      <c r="U5" s="20">
        <f>IFERROR(__xludf.DUMMYFUNCTION("""COMPUTED_VALUE"""),500000.0)</f>
        <v>500000</v>
      </c>
      <c r="V5" s="20" t="str">
        <f>IFERROR(__xludf.DUMMYFUNCTION("""COMPUTED_VALUE"""),"TBD")</f>
        <v>TBD</v>
      </c>
      <c r="W5" s="20" t="str">
        <f>IFERROR(__xludf.DUMMYFUNCTION("""COMPUTED_VALUE"""),"FREE")</f>
        <v>FREE</v>
      </c>
      <c r="X5" s="20">
        <f>IFERROR(__xludf.DUMMYFUNCTION("""COMPUTED_VALUE"""),1000000.0)</f>
        <v>1000000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IFERROR(__xludf.DUMMYFUNCTION("""COMPUTED_VALUE"""),"@fitbymilla_")</f>
        <v>@fitbymilla_</v>
      </c>
      <c r="C6" s="23">
        <f>IFERROR(__xludf.DUMMYFUNCTION("""COMPUTED_VALUE"""),287000.0)</f>
        <v>287000</v>
      </c>
      <c r="D6" s="17" t="str">
        <f>IFERROR(__xludf.DUMMYFUNCTION("""COMPUTED_VALUE"""),"Mid")</f>
        <v>Mid</v>
      </c>
      <c r="E6" s="18" t="str">
        <f>IFERROR(__xludf.DUMMYFUNCTION("""COMPUTED_VALUE"""),"@fitbymilla")</f>
        <v>@fitbymilla</v>
      </c>
      <c r="F6" s="23">
        <f>IFERROR(__xludf.DUMMYFUNCTION("""COMPUTED_VALUE"""),477000.0)</f>
        <v>477000</v>
      </c>
      <c r="G6" s="17" t="str">
        <f>IFERROR(__xludf.DUMMYFUNCTION("""COMPUTED_VALUE"""),"Mid")</f>
        <v>Mid</v>
      </c>
      <c r="H6" s="17" t="str">
        <f>IFERROR(__xludf.DUMMYFUNCTION("""COMPUTED_VALUE"""),"Bogor")</f>
        <v>Bogor</v>
      </c>
      <c r="I6" s="17" t="str">
        <f>IFERROR(__xludf.DUMMYFUNCTION("""COMPUTED_VALUE"""),"Health &amp; Sport")</f>
        <v>Health &amp; Sport</v>
      </c>
      <c r="J6" s="17"/>
      <c r="K6" s="20">
        <f>IFERROR(__xludf.DUMMYFUNCTION("""COMPUTED_VALUE"""),500000.0)</f>
        <v>500000</v>
      </c>
      <c r="L6" s="20">
        <f>IFERROR(__xludf.DUMMYFUNCTION("""COMPUTED_VALUE"""),1000000.0)</f>
        <v>1000000</v>
      </c>
      <c r="M6" s="20">
        <f>IFERROR(__xludf.DUMMYFUNCTION("""COMPUTED_VALUE"""),300000.0)</f>
        <v>300000</v>
      </c>
      <c r="N6" s="20">
        <f>IFERROR(__xludf.DUMMYFUNCTION("""COMPUTED_VALUE"""),800000.0)</f>
        <v>800000</v>
      </c>
      <c r="O6" s="20">
        <f>IFERROR(__xludf.DUMMYFUNCTION("""COMPUTED_VALUE"""),1600000.0)</f>
        <v>1600000</v>
      </c>
      <c r="P6" s="20">
        <f>IFERROR(__xludf.DUMMYFUNCTION("""COMPUTED_VALUE"""),2000000.0)</f>
        <v>2000000</v>
      </c>
      <c r="Q6" s="20">
        <f>IFERROR(__xludf.DUMMYFUNCTION("""COMPUTED_VALUE"""),300000.0)</f>
        <v>300000</v>
      </c>
      <c r="R6" s="20">
        <f>IFERROR(__xludf.DUMMYFUNCTION("""COMPUTED_VALUE"""),2000000.0)</f>
        <v>2000000</v>
      </c>
      <c r="S6" s="20">
        <f>IFERROR(__xludf.DUMMYFUNCTION("""COMPUTED_VALUE"""),3500000.0)</f>
        <v>3500000</v>
      </c>
      <c r="T6" s="20">
        <f>IFERROR(__xludf.DUMMYFUNCTION("""COMPUTED_VALUE"""),1000000.0)</f>
        <v>1000000</v>
      </c>
      <c r="U6" s="20">
        <f>IFERROR(__xludf.DUMMYFUNCTION("""COMPUTED_VALUE"""),1000000.0)</f>
        <v>1000000</v>
      </c>
      <c r="V6" s="20">
        <f>IFERROR(__xludf.DUMMYFUNCTION("""COMPUTED_VALUE"""),500000.0)</f>
        <v>500000</v>
      </c>
      <c r="W6" s="20">
        <f>IFERROR(__xludf.DUMMYFUNCTION("""COMPUTED_VALUE"""),500000.0)</f>
        <v>500000</v>
      </c>
      <c r="X6" s="20" t="str">
        <f>IFERROR(__xludf.DUMMYFUNCTION("""COMPUTED_VALUE"""),"Jabodetabek: Rp4,000,000")</f>
        <v>Jabodetabek: Rp4,000,000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IFERROR(__xludf.DUMMYFUNCTION("""COMPUTED_VALUE"""),"@bodyfitbyagus")</f>
        <v>@bodyfitbyagus</v>
      </c>
      <c r="C7" s="19">
        <f>IFERROR(__xludf.DUMMYFUNCTION("""COMPUTED_VALUE"""),2900000.0)</f>
        <v>2900000</v>
      </c>
      <c r="D7" s="17" t="str">
        <f>IFERROR(__xludf.DUMMYFUNCTION("""COMPUTED_VALUE"""),"Mega")</f>
        <v>Mega</v>
      </c>
      <c r="E7" s="18" t="str">
        <f>IFERROR(__xludf.DUMMYFUNCTION("""COMPUTED_VALUE"""),"@bodyfitbybagus")</f>
        <v>@bodyfitbybagus</v>
      </c>
      <c r="F7" s="19">
        <f>IFERROR(__xludf.DUMMYFUNCTION("""COMPUTED_VALUE"""),1600000.0)</f>
        <v>1600000</v>
      </c>
      <c r="G7" s="17" t="str">
        <f>IFERROR(__xludf.DUMMYFUNCTION("""COMPUTED_VALUE"""),"Mega")</f>
        <v>Mega</v>
      </c>
      <c r="H7" s="17" t="str">
        <f>IFERROR(__xludf.DUMMYFUNCTION("""COMPUTED_VALUE"""),"Bogor")</f>
        <v>Bogor</v>
      </c>
      <c r="I7" s="17" t="str">
        <f>IFERROR(__xludf.DUMMYFUNCTION("""COMPUTED_VALUE"""),"Health &amp; Sport")</f>
        <v>Health &amp; Sport</v>
      </c>
      <c r="J7" s="17"/>
      <c r="K7" s="20">
        <f>IFERROR(__xludf.DUMMYFUNCTION("""COMPUTED_VALUE"""),500000.0)</f>
        <v>500000</v>
      </c>
      <c r="L7" s="17"/>
      <c r="M7" s="17"/>
      <c r="N7" s="20">
        <f>IFERROR(__xludf.DUMMYFUNCTION("""COMPUTED_VALUE"""),1000000.0)</f>
        <v>1000000</v>
      </c>
      <c r="O7" s="20">
        <f>IFERROR(__xludf.DUMMYFUNCTION("""COMPUTED_VALUE"""),1500000.0)</f>
        <v>1500000</v>
      </c>
      <c r="P7" s="20">
        <f>IFERROR(__xludf.DUMMYFUNCTION("""COMPUTED_VALUE"""),1500000.0)</f>
        <v>1500000</v>
      </c>
      <c r="Q7" s="17"/>
      <c r="R7" s="20">
        <f>IFERROR(__xludf.DUMMYFUNCTION("""COMPUTED_VALUE"""),1500000.0)</f>
        <v>1500000</v>
      </c>
      <c r="S7" s="20">
        <f>IFERROR(__xludf.DUMMYFUNCTION("""COMPUTED_VALUE"""),2000000.0)</f>
        <v>2000000</v>
      </c>
      <c r="T7" s="20">
        <f>IFERROR(__xludf.DUMMYFUNCTION("""COMPUTED_VALUE"""),1000000.0)</f>
        <v>1000000</v>
      </c>
      <c r="U7" s="20">
        <f>IFERROR(__xludf.DUMMYFUNCTION("""COMPUTED_VALUE"""),500000.0)</f>
        <v>500000</v>
      </c>
      <c r="V7" s="17"/>
      <c r="W7" s="20" t="str">
        <f>IFERROR(__xludf.DUMMYFUNCTION("""COMPUTED_VALUE"""),"FREE")</f>
        <v>FREE</v>
      </c>
      <c r="X7" s="20">
        <f>IFERROR(__xludf.DUMMYFUNCTION("""COMPUTED_VALUE"""),3500000.0)</f>
        <v>3500000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IFERROR(__xludf.DUMMYFUNCTION("""COMPUTED_VALUE"""),"@mike__frans")</f>
        <v>@mike__frans</v>
      </c>
      <c r="C8" s="23">
        <f>IFERROR(__xludf.DUMMYFUNCTION("""COMPUTED_VALUE"""),30900.0)</f>
        <v>30900</v>
      </c>
      <c r="D8" s="17" t="str">
        <f>IFERROR(__xludf.DUMMYFUNCTION("""COMPUTED_VALUE"""),"Micro")</f>
        <v>Micro</v>
      </c>
      <c r="E8" s="18" t="str">
        <f>IFERROR(__xludf.DUMMYFUNCTION("""COMPUTED_VALUE"""),"@mike__frans")</f>
        <v>@mike__frans</v>
      </c>
      <c r="F8" s="23">
        <f>IFERROR(__xludf.DUMMYFUNCTION("""COMPUTED_VALUE"""),47800.0)</f>
        <v>47800</v>
      </c>
      <c r="G8" s="17" t="str">
        <f>IFERROR(__xludf.DUMMYFUNCTION("""COMPUTED_VALUE"""),"Micro")</f>
        <v>Micro</v>
      </c>
      <c r="H8" s="17" t="str">
        <f>IFERROR(__xludf.DUMMYFUNCTION("""COMPUTED_VALUE"""),"Jakarta")</f>
        <v>Jakarta</v>
      </c>
      <c r="I8" s="17" t="str">
        <f>IFERROR(__xludf.DUMMYFUNCTION("""COMPUTED_VALUE"""),"- Lifestyle Male
- Health &amp; Sport")</f>
        <v>- Lifestyle Male
- Health &amp; Sport</v>
      </c>
      <c r="J8" s="17"/>
      <c r="K8" s="20">
        <f>IFERROR(__xludf.DUMMYFUNCTION("""COMPUTED_VALUE"""),1000000.0)</f>
        <v>1000000</v>
      </c>
      <c r="L8" s="20">
        <f>IFERROR(__xludf.DUMMYFUNCTION("""COMPUTED_VALUE"""),1000000.0)</f>
        <v>1000000</v>
      </c>
      <c r="M8" s="17" t="str">
        <f>IFERROR(__xludf.DUMMYFUNCTION("""COMPUTED_VALUE"""),"-")</f>
        <v>-</v>
      </c>
      <c r="N8" s="20">
        <f>IFERROR(__xludf.DUMMYFUNCTION("""COMPUTED_VALUE"""),1500000.0)</f>
        <v>1500000</v>
      </c>
      <c r="O8" s="20">
        <f>IFERROR(__xludf.DUMMYFUNCTION("""COMPUTED_VALUE"""),1500000.0)</f>
        <v>1500000</v>
      </c>
      <c r="P8" s="20">
        <f>IFERROR(__xludf.DUMMYFUNCTION("""COMPUTED_VALUE"""),1500000.0)</f>
        <v>1500000</v>
      </c>
      <c r="Q8" s="20" t="str">
        <f>IFERROR(__xludf.DUMMYFUNCTION("""COMPUTED_VALUE"""),"-")</f>
        <v>-</v>
      </c>
      <c r="R8" s="20">
        <f>IFERROR(__xludf.DUMMYFUNCTION("""COMPUTED_VALUE"""),1.5E7)</f>
        <v>15000000</v>
      </c>
      <c r="S8" s="20">
        <f>IFERROR(__xludf.DUMMYFUNCTION("""COMPUTED_VALUE"""),1.5E7)</f>
        <v>15000000</v>
      </c>
      <c r="T8" s="20">
        <f>IFERROR(__xludf.DUMMYFUNCTION("""COMPUTED_VALUE"""),1500000.0)</f>
        <v>1500000</v>
      </c>
      <c r="U8" s="20">
        <f>IFERROR(__xludf.DUMMYFUNCTION("""COMPUTED_VALUE"""),500000.0)</f>
        <v>500000</v>
      </c>
      <c r="V8" s="20" t="str">
        <f>IFERROR(__xludf.DUMMYFUNCTION("""COMPUTED_VALUE"""),"-")</f>
        <v>-</v>
      </c>
      <c r="W8" s="20" t="str">
        <f>IFERROR(__xludf.DUMMYFUNCTION("""COMPUTED_VALUE"""),"-")</f>
        <v>-</v>
      </c>
      <c r="X8" s="20">
        <f>IFERROR(__xludf.DUMMYFUNCTION("""COMPUTED_VALUE"""),500000.0)</f>
        <v>500000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IFERROR(__xludf.DUMMYFUNCTION("""COMPUTED_VALUE"""),"ekidarehanf")</f>
        <v>ekidarehanf</v>
      </c>
      <c r="C9" s="23">
        <f>IFERROR(__xludf.DUMMYFUNCTION("""COMPUTED_VALUE"""),414000.0)</f>
        <v>414000</v>
      </c>
      <c r="D9" s="20" t="str">
        <f>IFERROR(__xludf.DUMMYFUNCTION("""COMPUTED_VALUE"""),"Mid")</f>
        <v>Mid</v>
      </c>
      <c r="E9" s="24" t="str">
        <f>IFERROR(__xludf.DUMMYFUNCTION("""COMPUTED_VALUE"""),"ekidarehanf")</f>
        <v>ekidarehanf</v>
      </c>
      <c r="F9" s="19">
        <f>IFERROR(__xludf.DUMMYFUNCTION("""COMPUTED_VALUE"""),1400000.0)</f>
        <v>1400000</v>
      </c>
      <c r="G9" s="20" t="str">
        <f>IFERROR(__xludf.DUMMYFUNCTION("""COMPUTED_VALUE"""),"Mega")</f>
        <v>Mega</v>
      </c>
      <c r="H9" s="17" t="str">
        <f>IFERROR(__xludf.DUMMYFUNCTION("""COMPUTED_VALUE"""),"Indonesia")</f>
        <v>Indonesia</v>
      </c>
      <c r="I9" s="17" t="str">
        <f>IFERROR(__xludf.DUMMYFUNCTION("""COMPUTED_VALUE"""),"Health &amp; Sport, Education")</f>
        <v>Health &amp; Sport, Education</v>
      </c>
      <c r="J9" s="17"/>
      <c r="K9" s="20">
        <f>IFERROR(__xludf.DUMMYFUNCTION("""COMPUTED_VALUE"""),5500000.0)</f>
        <v>5500000</v>
      </c>
      <c r="L9" s="20">
        <f>IFERROR(__xludf.DUMMYFUNCTION("""COMPUTED_VALUE"""),1.2E7)</f>
        <v>12000000</v>
      </c>
      <c r="M9" s="17"/>
      <c r="N9" s="20">
        <f>IFERROR(__xludf.DUMMYFUNCTION("""COMPUTED_VALUE"""),9000000.0)</f>
        <v>9000000</v>
      </c>
      <c r="O9" s="17"/>
      <c r="P9" s="20">
        <f>IFERROR(__xludf.DUMMYFUNCTION("""COMPUTED_VALUE"""),1.65E7)</f>
        <v>16500000</v>
      </c>
      <c r="Q9" s="17"/>
      <c r="R9" s="20">
        <f>IFERROR(__xludf.DUMMYFUNCTION("""COMPUTED_VALUE"""),1.7E7)</f>
        <v>17000000</v>
      </c>
      <c r="S9" s="20">
        <f>IFERROR(__xludf.DUMMYFUNCTION("""COMPUTED_VALUE"""),2.25E7)</f>
        <v>22500000</v>
      </c>
      <c r="T9" s="20">
        <f>IFERROR(__xludf.DUMMYFUNCTION("""COMPUTED_VALUE"""),7500000.0)</f>
        <v>7500000</v>
      </c>
      <c r="U9" s="17"/>
      <c r="V9" s="17"/>
      <c r="W9" s="17"/>
      <c r="X9" s="17"/>
      <c r="Y9" s="17"/>
    </row>
    <row r="10">
      <c r="A10" s="27"/>
      <c r="B10" s="33" t="str">
        <f>IFERROR(__xludf.DUMMYFUNCTION("""COMPUTED_VALUE"""),"farhanfirms")</f>
        <v>farhanfirms</v>
      </c>
      <c r="C10" s="34">
        <f>IFERROR(__xludf.DUMMYFUNCTION("""COMPUTED_VALUE"""),279000.0)</f>
        <v>279000</v>
      </c>
      <c r="D10" s="35" t="str">
        <f>IFERROR(__xludf.DUMMYFUNCTION("""COMPUTED_VALUE"""),"Mid")</f>
        <v>Mid</v>
      </c>
      <c r="E10" s="36" t="str">
        <f>IFERROR(__xludf.DUMMYFUNCTION("""COMPUTED_VALUE"""),"farhanfirms")</f>
        <v>farhanfirms</v>
      </c>
      <c r="F10" s="34">
        <f>IFERROR(__xludf.DUMMYFUNCTION("""COMPUTED_VALUE"""),628300.0)</f>
        <v>628300</v>
      </c>
      <c r="G10" s="35" t="str">
        <f>IFERROR(__xludf.DUMMYFUNCTION("""COMPUTED_VALUE"""),"Macro")</f>
        <v>Macro</v>
      </c>
      <c r="H10" s="27" t="str">
        <f>IFERROR(__xludf.DUMMYFUNCTION("""COMPUTED_VALUE"""),"Indonesia")</f>
        <v>Indonesia</v>
      </c>
      <c r="I10" s="27" t="str">
        <f>IFERROR(__xludf.DUMMYFUNCTION("""COMPUTED_VALUE"""),"Health &amp; Sport, Education")</f>
        <v>Health &amp; Sport, Education</v>
      </c>
      <c r="J10" s="27"/>
      <c r="K10" s="35">
        <f>IFERROR(__xludf.DUMMYFUNCTION("""COMPUTED_VALUE"""),3500000.0)</f>
        <v>3500000</v>
      </c>
      <c r="L10" s="35">
        <f>IFERROR(__xludf.DUMMYFUNCTION("""COMPUTED_VALUE"""),500000.0)</f>
        <v>500000</v>
      </c>
      <c r="M10" s="27"/>
      <c r="N10" s="35">
        <f>IFERROR(__xludf.DUMMYFUNCTION("""COMPUTED_VALUE"""),5000000.0)</f>
        <v>5000000</v>
      </c>
      <c r="O10" s="27"/>
      <c r="P10" s="35">
        <f>IFERROR(__xludf.DUMMYFUNCTION("""COMPUTED_VALUE"""),6000000.0)</f>
        <v>6000000</v>
      </c>
      <c r="Q10" s="27"/>
      <c r="R10" s="35">
        <f>IFERROR(__xludf.DUMMYFUNCTION("""COMPUTED_VALUE"""),7000000.0)</f>
        <v>7000000</v>
      </c>
      <c r="S10" s="35">
        <f>IFERROR(__xludf.DUMMYFUNCTION("""COMPUTED_VALUE"""),8500000.0)</f>
        <v>8500000</v>
      </c>
      <c r="T10" s="35">
        <f>IFERROR(__xludf.DUMMYFUNCTION("""COMPUTED_VALUE"""),5000000.0)</f>
        <v>5000000</v>
      </c>
      <c r="U10" s="27"/>
      <c r="V10" s="27"/>
      <c r="W10" s="35">
        <f>IFERROR(__xludf.DUMMYFUNCTION("""COMPUTED_VALUE"""),2000000.0)</f>
        <v>2000000</v>
      </c>
      <c r="X10" s="27"/>
      <c r="Y10" s="27"/>
    </row>
    <row r="11">
      <c r="A11" s="27"/>
      <c r="B11" s="33" t="str">
        <f>IFERROR(__xludf.DUMMYFUNCTION("""COMPUTED_VALUE"""),"juliobowi")</f>
        <v>juliobowi</v>
      </c>
      <c r="C11" s="281">
        <f>IFERROR(__xludf.DUMMYFUNCTION("""COMPUTED_VALUE"""),55200.0)</f>
        <v>55200</v>
      </c>
      <c r="D11" s="35" t="str">
        <f>IFERROR(__xludf.DUMMYFUNCTION("""COMPUTED_VALUE"""),"Micro")</f>
        <v>Micro</v>
      </c>
      <c r="E11" s="36" t="str">
        <f>IFERROR(__xludf.DUMMYFUNCTION("""COMPUTED_VALUE"""),"juliobowi")</f>
        <v>juliobowi</v>
      </c>
      <c r="F11" s="281">
        <f>IFERROR(__xludf.DUMMYFUNCTION("""COMPUTED_VALUE"""),12300.0)</f>
        <v>12300</v>
      </c>
      <c r="G11" s="35" t="str">
        <f>IFERROR(__xludf.DUMMYFUNCTION("""COMPUTED_VALUE"""),"Micro")</f>
        <v>Micro</v>
      </c>
      <c r="H11" s="27" t="str">
        <f>IFERROR(__xludf.DUMMYFUNCTION("""COMPUTED_VALUE"""),"Bekasi")</f>
        <v>Bekasi</v>
      </c>
      <c r="I11" s="27" t="str">
        <f>IFERROR(__xludf.DUMMYFUNCTION("""COMPUTED_VALUE"""),"- Lifestyle Male
- Health &amp; Sport")</f>
        <v>- Lifestyle Male
- Health &amp; Sport</v>
      </c>
      <c r="J11" s="27"/>
      <c r="K11" s="35" t="str">
        <f>IFERROR(__xludf.DUMMYFUNCTION("""COMPUTED_VALUE"""),"Rp1,000,000 (2 photos + 1 video)")</f>
        <v>Rp1,000,000 (2 photos + 1 video)</v>
      </c>
      <c r="L11" s="27"/>
      <c r="M11" s="27"/>
      <c r="N11" s="27"/>
      <c r="O11" s="27"/>
      <c r="P11" s="35">
        <f>IFERROR(__xludf.DUMMYFUNCTION("""COMPUTED_VALUE"""),3500000.0)</f>
        <v>3500000</v>
      </c>
      <c r="Q11" s="27"/>
      <c r="R11" s="35">
        <f>IFERROR(__xludf.DUMMYFUNCTION("""COMPUTED_VALUE"""),1800000.0)</f>
        <v>1800000</v>
      </c>
      <c r="S11" s="35">
        <f>IFERROR(__xludf.DUMMYFUNCTION("""COMPUTED_VALUE"""),4500000.0)</f>
        <v>4500000</v>
      </c>
      <c r="T11" s="27"/>
      <c r="U11" s="35">
        <f>IFERROR(__xludf.DUMMYFUNCTION("""COMPUTED_VALUE"""),800000.0)</f>
        <v>800000</v>
      </c>
      <c r="V11" s="27"/>
      <c r="W11" s="27"/>
      <c r="X11" s="27"/>
      <c r="Y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10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</hyperlinks>
  <drawing r:id="rId17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""Cooking!A4:Y999"")"),1.0)</f>
        <v>1</v>
      </c>
      <c r="B4" s="18" t="str">
        <f>IFERROR(__xludf.DUMMYFUNCTION("""COMPUTED_VALUE"""),"dapur_mamika30")</f>
        <v>dapur_mamika30</v>
      </c>
      <c r="C4" s="23">
        <f>IFERROR(__xludf.DUMMYFUNCTION("""COMPUTED_VALUE"""),833000.0)</f>
        <v>833000</v>
      </c>
      <c r="D4" s="17" t="str">
        <f>IFERROR(__xludf.DUMMYFUNCTION("""COMPUTED_VALUE"""),"Macro")</f>
        <v>Macro</v>
      </c>
      <c r="E4" s="18" t="str">
        <f>IFERROR(__xludf.DUMMYFUNCTION("""COMPUTED_VALUE"""),"dapurmamika_")</f>
        <v>dapurmamika_</v>
      </c>
      <c r="F4" s="19">
        <f>IFERROR(__xludf.DUMMYFUNCTION("""COMPUTED_VALUE"""),1900000.0)</f>
        <v>1900000</v>
      </c>
      <c r="G4" s="17" t="str">
        <f>IFERROR(__xludf.DUMMYFUNCTION("""COMPUTED_VALUE"""),"Mega")</f>
        <v>Mega</v>
      </c>
      <c r="H4" s="17"/>
      <c r="I4" s="17" t="str">
        <f>IFERROR(__xludf.DUMMYFUNCTION("""COMPUTED_VALUE"""),"Cooking")</f>
        <v>Cooking</v>
      </c>
      <c r="J4" s="17"/>
      <c r="K4" s="20">
        <f>IFERROR(__xludf.DUMMYFUNCTION("""COMPUTED_VALUE"""),3000000.0)</f>
        <v>3000000</v>
      </c>
      <c r="L4" s="20">
        <f>IFERROR(__xludf.DUMMYFUNCTION("""COMPUTED_VALUE"""),4000000.0)</f>
        <v>4000000</v>
      </c>
      <c r="M4" s="20" t="str">
        <f>IFERROR(__xludf.DUMMYFUNCTION("""COMPUTED_VALUE"""),"FREE")</f>
        <v>FREE</v>
      </c>
      <c r="N4" s="20">
        <f>IFERROR(__xludf.DUMMYFUNCTION("""COMPUTED_VALUE"""),4000000.0)</f>
        <v>4000000</v>
      </c>
      <c r="O4" s="20">
        <f>IFERROR(__xludf.DUMMYFUNCTION("""COMPUTED_VALUE"""),4700000.0)</f>
        <v>4700000</v>
      </c>
      <c r="P4" s="20">
        <f>IFERROR(__xludf.DUMMYFUNCTION("""COMPUTED_VALUE"""),5000000.0)</f>
        <v>5000000</v>
      </c>
      <c r="Q4" s="17"/>
      <c r="R4" s="20">
        <f>IFERROR(__xludf.DUMMYFUNCTION("""COMPUTED_VALUE"""),5000000.0)</f>
        <v>5000000</v>
      </c>
      <c r="S4" s="20">
        <f>IFERROR(__xludf.DUMMYFUNCTION("""COMPUTED_VALUE"""),1500000.0)</f>
        <v>1500000</v>
      </c>
      <c r="T4" s="20">
        <f>IFERROR(__xludf.DUMMYFUNCTION("""COMPUTED_VALUE"""),3500000.0)</f>
        <v>3500000</v>
      </c>
      <c r="U4" s="21">
        <f>IFERROR(__xludf.DUMMYFUNCTION("""COMPUTED_VALUE"""),1.0)</f>
        <v>1</v>
      </c>
      <c r="V4" s="17"/>
      <c r="W4" s="20">
        <f>IFERROR(__xludf.DUMMYFUNCTION("""COMPUTED_VALUE"""),500000.0)</f>
        <v>500000</v>
      </c>
      <c r="X4" s="17"/>
      <c r="Y4" s="17"/>
    </row>
    <row r="5">
      <c r="A5" s="17">
        <f>IFERROR(__xludf.DUMMYFUNCTION("""COMPUTED_VALUE"""),2.0)</f>
        <v>2</v>
      </c>
      <c r="B5" s="18" t="str">
        <f>IFERROR(__xludf.DUMMYFUNCTION("""COMPUTED_VALUE"""),"michelealex")</f>
        <v>michelealex</v>
      </c>
      <c r="C5" s="19">
        <f>IFERROR(__xludf.DUMMYFUNCTION("""COMPUTED_VALUE"""),1600000.0)</f>
        <v>1600000</v>
      </c>
      <c r="D5" s="17" t="str">
        <f>IFERROR(__xludf.DUMMYFUNCTION("""COMPUTED_VALUE"""),"Mega")</f>
        <v>Mega</v>
      </c>
      <c r="E5" s="18" t="str">
        <f>IFERROR(__xludf.DUMMYFUNCTION("""COMPUTED_VALUE"""),"cheekykiddo")</f>
        <v>cheekykiddo</v>
      </c>
      <c r="F5" s="19">
        <f>IFERROR(__xludf.DUMMYFUNCTION("""COMPUTED_VALUE"""),5900000.0)</f>
        <v>5900000</v>
      </c>
      <c r="G5" s="17" t="str">
        <f>IFERROR(__xludf.DUMMYFUNCTION("""COMPUTED_VALUE"""),"Mega")</f>
        <v>Mega</v>
      </c>
      <c r="H5" s="17" t="str">
        <f>IFERROR(__xludf.DUMMYFUNCTION("""COMPUTED_VALUE"""),"BSD")</f>
        <v>BSD</v>
      </c>
      <c r="I5" s="17" t="str">
        <f>IFERROR(__xludf.DUMMYFUNCTION("""COMPUTED_VALUE"""),"Cooking")</f>
        <v>Cooking</v>
      </c>
      <c r="J5" s="17"/>
      <c r="K5" s="20">
        <f>IFERROR(__xludf.DUMMYFUNCTION("""COMPUTED_VALUE"""),2000000.0)</f>
        <v>2000000</v>
      </c>
      <c r="L5" s="20">
        <f>IFERROR(__xludf.DUMMYFUNCTION("""COMPUTED_VALUE"""),6000000.0)</f>
        <v>6000000</v>
      </c>
      <c r="M5" s="17"/>
      <c r="N5" s="20">
        <f>IFERROR(__xludf.DUMMYFUNCTION("""COMPUTED_VALUE"""),3.0E7)</f>
        <v>30000000</v>
      </c>
      <c r="O5" s="20">
        <f>IFERROR(__xludf.DUMMYFUNCTION("""COMPUTED_VALUE"""),3.2E7)</f>
        <v>32000000</v>
      </c>
      <c r="P5" s="20">
        <f>IFERROR(__xludf.DUMMYFUNCTION("""COMPUTED_VALUE"""),4.0E7)</f>
        <v>40000000</v>
      </c>
      <c r="Q5" s="17"/>
      <c r="R5" s="20">
        <f>IFERROR(__xludf.DUMMYFUNCTION("""COMPUTED_VALUE"""),4.0E7)</f>
        <v>40000000</v>
      </c>
      <c r="S5" s="20">
        <f>IFERROR(__xludf.DUMMYFUNCTION("""COMPUTED_VALUE"""),5.0E7)</f>
        <v>50000000</v>
      </c>
      <c r="T5" s="17"/>
      <c r="U5" s="17"/>
      <c r="V5" s="17"/>
      <c r="W5" s="17"/>
      <c r="X5" s="20">
        <f>IFERROR(__xludf.DUMMYFUNCTION("""COMPUTED_VALUE"""),600000.0)</f>
        <v>600000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IFERROR(__xludf.DUMMYFUNCTION("""COMPUTED_VALUE"""),"adelscooking")</f>
        <v>adelscooking</v>
      </c>
      <c r="C6" s="23">
        <f>IFERROR(__xludf.DUMMYFUNCTION("""COMPUTED_VALUE"""),271000.0)</f>
        <v>271000</v>
      </c>
      <c r="D6" s="17" t="str">
        <f>IFERROR(__xludf.DUMMYFUNCTION("""COMPUTED_VALUE"""),"Mid")</f>
        <v>Mid</v>
      </c>
      <c r="E6" s="24" t="str">
        <f>IFERROR(__xludf.DUMMYFUNCTION("""COMPUTED_VALUE"""),"adelscooking")</f>
        <v>adelscooking</v>
      </c>
      <c r="F6" s="23">
        <f>IFERROR(__xludf.DUMMYFUNCTION("""COMPUTED_VALUE"""),104000.0)</f>
        <v>104000</v>
      </c>
      <c r="G6" s="17" t="str">
        <f>IFERROR(__xludf.DUMMYFUNCTION("""COMPUTED_VALUE"""),"Mid")</f>
        <v>Mid</v>
      </c>
      <c r="H6" s="17" t="str">
        <f>IFERROR(__xludf.DUMMYFUNCTION("""COMPUTED_VALUE"""),"Tangerang")</f>
        <v>Tangerang</v>
      </c>
      <c r="I6" s="17" t="str">
        <f>IFERROR(__xludf.DUMMYFUNCTION("""COMPUTED_VALUE"""),"Cooking")</f>
        <v>Cooking</v>
      </c>
      <c r="J6" s="17"/>
      <c r="K6" s="20">
        <f>IFERROR(__xludf.DUMMYFUNCTION("""COMPUTED_VALUE"""),850000.0)</f>
        <v>850000</v>
      </c>
      <c r="L6" s="17"/>
      <c r="M6" s="20" t="str">
        <f>IFERROR(__xludf.DUMMYFUNCTION("""COMPUTED_VALUE"""),"FREE")</f>
        <v>FREE</v>
      </c>
      <c r="N6" s="20">
        <f>IFERROR(__xludf.DUMMYFUNCTION("""COMPUTED_VALUE"""),1500000.0)</f>
        <v>1500000</v>
      </c>
      <c r="O6" s="20">
        <f>IFERROR(__xludf.DUMMYFUNCTION("""COMPUTED_VALUE"""),1600000.0)</f>
        <v>1600000</v>
      </c>
      <c r="P6" s="20">
        <f>IFERROR(__xludf.DUMMYFUNCTION("""COMPUTED_VALUE"""),2500000.0)</f>
        <v>2500000</v>
      </c>
      <c r="Q6" s="20">
        <f>IFERROR(__xludf.DUMMYFUNCTION("""COMPUTED_VALUE"""),350000.0)</f>
        <v>350000</v>
      </c>
      <c r="R6" s="17"/>
      <c r="S6" s="17"/>
      <c r="T6" s="17"/>
      <c r="U6" s="20">
        <f>IFERROR(__xludf.DUMMYFUNCTION("""COMPUTED_VALUE"""),750000.0)</f>
        <v>750000</v>
      </c>
      <c r="V6" s="20">
        <f>IFERROR(__xludf.DUMMYFUNCTION("""COMPUTED_VALUE"""),300000.0)</f>
        <v>300000</v>
      </c>
      <c r="W6" s="20">
        <f>IFERROR(__xludf.DUMMYFUNCTION("""COMPUTED_VALUE"""),200000.0)</f>
        <v>200000</v>
      </c>
      <c r="X6" s="20">
        <f>IFERROR(__xludf.DUMMYFUNCTION("""COMPUTED_VALUE"""),5000000.0)</f>
        <v>5000000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IFERROR(__xludf.DUMMYFUNCTION("""COMPUTED_VALUE"""),"riniandriyanii")</f>
        <v>riniandriyanii</v>
      </c>
      <c r="C7" s="23">
        <f>IFERROR(__xludf.DUMMYFUNCTION("""COMPUTED_VALUE"""),198000.0)</f>
        <v>198000</v>
      </c>
      <c r="D7" s="17" t="str">
        <f>IFERROR(__xludf.DUMMYFUNCTION("""COMPUTED_VALUE"""),"Mid")</f>
        <v>Mid</v>
      </c>
      <c r="E7" s="24" t="str">
        <f>IFERROR(__xludf.DUMMYFUNCTION("""COMPUTED_VALUE"""),"riniandriyanii")</f>
        <v>riniandriyanii</v>
      </c>
      <c r="F7" s="23">
        <f>IFERROR(__xludf.DUMMYFUNCTION("""COMPUTED_VALUE"""),11000.0)</f>
        <v>11000</v>
      </c>
      <c r="G7" s="17" t="str">
        <f>IFERROR(__xludf.DUMMYFUNCTION("""COMPUTED_VALUE"""),"Micro")</f>
        <v>Micro</v>
      </c>
      <c r="H7" s="17" t="str">
        <f>IFERROR(__xludf.DUMMYFUNCTION("""COMPUTED_VALUE"""),"Samarinda")</f>
        <v>Samarinda</v>
      </c>
      <c r="I7" s="17" t="str">
        <f>IFERROR(__xludf.DUMMYFUNCTION("""COMPUTED_VALUE"""),"Cooking")</f>
        <v>Cooking</v>
      </c>
      <c r="J7" s="17"/>
      <c r="K7" s="20">
        <f>IFERROR(__xludf.DUMMYFUNCTION("""COMPUTED_VALUE"""),500000.0)</f>
        <v>500000</v>
      </c>
      <c r="L7" s="17"/>
      <c r="M7" s="20" t="str">
        <f>IFERROR(__xludf.DUMMYFUNCTION("""COMPUTED_VALUE"""),"FREE")</f>
        <v>FREE</v>
      </c>
      <c r="N7" s="20">
        <f>IFERROR(__xludf.DUMMYFUNCTION("""COMPUTED_VALUE"""),700000.0)</f>
        <v>700000</v>
      </c>
      <c r="O7" s="17"/>
      <c r="P7" s="20">
        <f>IFERROR(__xludf.DUMMYFUNCTION("""COMPUTED_VALUE"""),1500000.0)</f>
        <v>1500000</v>
      </c>
      <c r="Q7" s="17"/>
      <c r="R7" s="17"/>
      <c r="S7" s="17"/>
      <c r="T7" s="17"/>
      <c r="U7" s="20">
        <f>IFERROR(__xludf.DUMMYFUNCTION("""COMPUTED_VALUE"""),1000000.0)</f>
        <v>1000000</v>
      </c>
      <c r="V7" s="17"/>
      <c r="W7" s="17"/>
      <c r="X7" s="17"/>
      <c r="Y7" s="17"/>
    </row>
    <row r="8">
      <c r="A8" s="17">
        <f>IFERROR(__xludf.DUMMYFUNCTION("""COMPUTED_VALUE"""),5.0)</f>
        <v>5</v>
      </c>
      <c r="B8" s="18" t="str">
        <f>IFERROR(__xludf.DUMMYFUNCTION("""COMPUTED_VALUE"""),"dapurmukbang99")</f>
        <v>dapurmukbang99</v>
      </c>
      <c r="C8" s="23">
        <f>IFERROR(__xludf.DUMMYFUNCTION("""COMPUTED_VALUE"""),138000.0)</f>
        <v>138000</v>
      </c>
      <c r="D8" s="17" t="str">
        <f>IFERROR(__xludf.DUMMYFUNCTION("""COMPUTED_VALUE"""),"Mid")</f>
        <v>Mid</v>
      </c>
      <c r="E8" s="24" t="str">
        <f>IFERROR(__xludf.DUMMYFUNCTION("""COMPUTED_VALUE"""),"dapurmukbang")</f>
        <v>dapurmukbang</v>
      </c>
      <c r="F8" s="23">
        <f>IFERROR(__xludf.DUMMYFUNCTION("""COMPUTED_VALUE"""),49000.0)</f>
        <v>49000</v>
      </c>
      <c r="G8" s="17" t="str">
        <f>IFERROR(__xludf.DUMMYFUNCTION("""COMPUTED_VALUE"""),"Micro")</f>
        <v>Micro</v>
      </c>
      <c r="H8" s="17" t="str">
        <f>IFERROR(__xludf.DUMMYFUNCTION("""COMPUTED_VALUE"""),"Tangerang")</f>
        <v>Tangerang</v>
      </c>
      <c r="I8" s="17" t="str">
        <f>IFERROR(__xludf.DUMMYFUNCTION("""COMPUTED_VALUE"""),"Cooking")</f>
        <v>Cooking</v>
      </c>
      <c r="J8" s="17"/>
      <c r="K8" s="17"/>
      <c r="L8" s="17"/>
      <c r="M8" s="17"/>
      <c r="N8" s="17"/>
      <c r="O8" s="20">
        <f>IFERROR(__xludf.DUMMYFUNCTION("""COMPUTED_VALUE"""),400000.0)</f>
        <v>400000</v>
      </c>
      <c r="P8" s="20" t="str">
        <f>IFERROR(__xludf.DUMMYFUNCTION("""COMPUTED_VALUE"""),"Reels + Story: Rp800,000")</f>
        <v>Reels + Story: Rp800,000</v>
      </c>
      <c r="Q8" s="17"/>
      <c r="R8" s="20">
        <f>IFERROR(__xludf.DUMMYFUNCTION("""COMPUTED_VALUE"""),500000.0)</f>
        <v>500000</v>
      </c>
      <c r="S8" s="17"/>
      <c r="T8" s="17"/>
      <c r="U8" s="20">
        <f>IFERROR(__xludf.DUMMYFUNCTION("""COMPUTED_VALUE"""),800000.0)</f>
        <v>800000</v>
      </c>
      <c r="V8" s="17"/>
      <c r="W8" s="17"/>
      <c r="X8" s="17"/>
      <c r="Y8" s="17"/>
    </row>
    <row r="9">
      <c r="A9" s="17">
        <f>IFERROR(__xludf.DUMMYFUNCTION("""COMPUTED_VALUE"""),6.0)</f>
        <v>6</v>
      </c>
      <c r="B9" s="18" t="str">
        <f>IFERROR(__xludf.DUMMYFUNCTION("""COMPUTED_VALUE"""),"putrihabibie")</f>
        <v>putrihabibie</v>
      </c>
      <c r="C9" s="23">
        <f>IFERROR(__xludf.DUMMYFUNCTION("""COMPUTED_VALUE"""),629000.0)</f>
        <v>629000</v>
      </c>
      <c r="D9" s="17" t="str">
        <f>IFERROR(__xludf.DUMMYFUNCTION("""COMPUTED_VALUE"""),"Macro")</f>
        <v>Macro</v>
      </c>
      <c r="E9" s="24" t="str">
        <f>IFERROR(__xludf.DUMMYFUNCTION("""COMPUTED_VALUE"""),"putrihabibierecipes")</f>
        <v>putrihabibierecipes</v>
      </c>
      <c r="F9" s="23">
        <f>IFERROR(__xludf.DUMMYFUNCTION("""COMPUTED_VALUE"""),160000.0)</f>
        <v>160000</v>
      </c>
      <c r="G9" s="17" t="str">
        <f>IFERROR(__xludf.DUMMYFUNCTION("""COMPUTED_VALUE"""),"Mid")</f>
        <v>Mid</v>
      </c>
      <c r="H9" s="17" t="str">
        <f>IFERROR(__xludf.DUMMYFUNCTION("""COMPUTED_VALUE"""),"Jakarta")</f>
        <v>Jakarta</v>
      </c>
      <c r="I9" s="17" t="str">
        <f>IFERROR(__xludf.DUMMYFUNCTION("""COMPUTED_VALUE"""),"Cooking")</f>
        <v>Cooking</v>
      </c>
      <c r="J9" s="17"/>
      <c r="K9" s="20">
        <f>IFERROR(__xludf.DUMMYFUNCTION("""COMPUTED_VALUE"""),3600000.0)</f>
        <v>3600000</v>
      </c>
      <c r="L9" s="20">
        <f>IFERROR(__xludf.DUMMYFUNCTION("""COMPUTED_VALUE"""),1.3E7)</f>
        <v>13000000</v>
      </c>
      <c r="M9" s="20">
        <f>IFERROR(__xludf.DUMMYFUNCTION("""COMPUTED_VALUE"""),900000.0)</f>
        <v>900000</v>
      </c>
      <c r="N9" s="20">
        <f>IFERROR(__xludf.DUMMYFUNCTION("""COMPUTED_VALUE"""),1.8E7)</f>
        <v>18000000</v>
      </c>
      <c r="O9" s="20">
        <f>IFERROR(__xludf.DUMMYFUNCTION("""COMPUTED_VALUE"""),2.1E7)</f>
        <v>21000000</v>
      </c>
      <c r="P9" s="20">
        <f>IFERROR(__xludf.DUMMYFUNCTION("""COMPUTED_VALUE"""),2.5E7)</f>
        <v>25000000</v>
      </c>
      <c r="Q9" s="17"/>
      <c r="R9" s="20">
        <f>IFERROR(__xludf.DUMMYFUNCTION("""COMPUTED_VALUE"""),2.1E7)</f>
        <v>21000000</v>
      </c>
      <c r="S9" s="20">
        <f>IFERROR(__xludf.DUMMYFUNCTION("""COMPUTED_VALUE"""),1.0E7)</f>
        <v>10000000</v>
      </c>
      <c r="T9" s="17"/>
      <c r="U9" s="20">
        <f>IFERROR(__xludf.DUMMYFUNCTION("""COMPUTED_VALUE"""),2.5E7)</f>
        <v>25000000</v>
      </c>
      <c r="V9" s="17"/>
      <c r="W9" s="17"/>
      <c r="X9" s="17"/>
      <c r="Y9" s="17"/>
    </row>
    <row r="10">
      <c r="A10" s="17">
        <f>IFERROR(__xludf.DUMMYFUNCTION("""COMPUTED_VALUE"""),7.0)</f>
        <v>7</v>
      </c>
      <c r="B10" s="18" t="str">
        <f>IFERROR(__xludf.DUMMYFUNCTION("""COMPUTED_VALUE"""),"winnibarus")</f>
        <v>winnibarus</v>
      </c>
      <c r="C10" s="23">
        <f>IFERROR(__xludf.DUMMYFUNCTION("""COMPUTED_VALUE"""),116000.0)</f>
        <v>116000</v>
      </c>
      <c r="D10" s="17" t="str">
        <f>IFERROR(__xludf.DUMMYFUNCTION("""COMPUTED_VALUE"""),"Mid")</f>
        <v>Mid</v>
      </c>
      <c r="E10" s="24" t="str">
        <f>IFERROR(__xludf.DUMMYFUNCTION("""COMPUTED_VALUE"""),"winnibarus")</f>
        <v>winnibarus</v>
      </c>
      <c r="F10" s="23">
        <f>IFERROR(__xludf.DUMMYFUNCTION("""COMPUTED_VALUE"""),47000.0)</f>
        <v>47000</v>
      </c>
      <c r="G10" s="17" t="str">
        <f>IFERROR(__xludf.DUMMYFUNCTION("""COMPUTED_VALUE"""),"Micro")</f>
        <v>Micro</v>
      </c>
      <c r="H10" s="17" t="str">
        <f>IFERROR(__xludf.DUMMYFUNCTION("""COMPUTED_VALUE"""),"Bekasi")</f>
        <v>Bekasi</v>
      </c>
      <c r="I10" s="17" t="str">
        <f>IFERROR(__xludf.DUMMYFUNCTION("""COMPUTED_VALUE"""),"Cooking")</f>
        <v>Cooking</v>
      </c>
      <c r="J10" s="17"/>
      <c r="K10" s="17"/>
      <c r="L10" s="17"/>
      <c r="M10" s="17"/>
      <c r="N10" s="17"/>
      <c r="O10" s="17"/>
      <c r="P10" s="20">
        <f>IFERROR(__xludf.DUMMYFUNCTION("""COMPUTED_VALUE"""),1000000.0)</f>
        <v>1000000</v>
      </c>
      <c r="Q10" s="17"/>
      <c r="R10" s="20">
        <f>IFERROR(__xludf.DUMMYFUNCTION("""COMPUTED_VALUE"""),1000000.0)</f>
        <v>1000000</v>
      </c>
      <c r="S10" s="17"/>
      <c r="T10" s="17"/>
      <c r="U10" s="20">
        <f>IFERROR(__xludf.DUMMYFUNCTION("""COMPUTED_VALUE"""),2000000.0)</f>
        <v>2000000</v>
      </c>
      <c r="V10" s="17"/>
      <c r="W10" s="17"/>
      <c r="X10" s="17"/>
      <c r="Y10" s="17"/>
    </row>
    <row r="11">
      <c r="A11" s="17">
        <f>IFERROR(__xludf.DUMMYFUNCTION("""COMPUTED_VALUE"""),8.0)</f>
        <v>8</v>
      </c>
      <c r="B11" s="18" t="str">
        <f>IFERROR(__xludf.DUMMYFUNCTION("""COMPUTED_VALUE"""),"mardatillahika")</f>
        <v>mardatillahika</v>
      </c>
      <c r="C11" s="23">
        <f>IFERROR(__xludf.DUMMYFUNCTION("""COMPUTED_VALUE"""),491000.0)</f>
        <v>491000</v>
      </c>
      <c r="D11" s="17" t="str">
        <f>IFERROR(__xludf.DUMMYFUNCTION("""COMPUTED_VALUE"""),"Mid")</f>
        <v>Mid</v>
      </c>
      <c r="E11" s="24" t="str">
        <f>IFERROR(__xludf.DUMMYFUNCTION("""COMPUTED_VALUE"""),"mardatillahika")</f>
        <v>mardatillahika</v>
      </c>
      <c r="F11" s="19">
        <f>IFERROR(__xludf.DUMMYFUNCTION("""COMPUTED_VALUE"""),1200000.0)</f>
        <v>1200000</v>
      </c>
      <c r="G11" s="17" t="str">
        <f>IFERROR(__xludf.DUMMYFUNCTION("""COMPUTED_VALUE"""),"Mega")</f>
        <v>Mega</v>
      </c>
      <c r="H11" s="17" t="str">
        <f>IFERROR(__xludf.DUMMYFUNCTION("""COMPUTED_VALUE"""),"Lumajang")</f>
        <v>Lumajang</v>
      </c>
      <c r="I11" s="17" t="str">
        <f>IFERROR(__xludf.DUMMYFUNCTION("""COMPUTED_VALUE"""),"Cooking")</f>
        <v>Cooking</v>
      </c>
      <c r="J11" s="17"/>
      <c r="K11" s="17"/>
      <c r="L11" s="17"/>
      <c r="M11" s="17"/>
      <c r="N11" s="17"/>
      <c r="O11" s="17"/>
      <c r="P11" s="20">
        <f>IFERROR(__xludf.DUMMYFUNCTION("""COMPUTED_VALUE"""),3500000.0)</f>
        <v>3500000</v>
      </c>
      <c r="Q11" s="17"/>
      <c r="R11" s="20">
        <f>IFERROR(__xludf.DUMMYFUNCTION("""COMPUTED_VALUE"""),3500000.0)</f>
        <v>3500000</v>
      </c>
      <c r="S11" s="20">
        <f>IFERROR(__xludf.DUMMYFUNCTION("""COMPUTED_VALUE"""),4000000.0)</f>
        <v>4000000</v>
      </c>
      <c r="T11" s="17"/>
      <c r="U11" s="17"/>
      <c r="V11" s="17"/>
      <c r="W11" s="17"/>
      <c r="X11" s="17"/>
      <c r="Y11" s="17"/>
    </row>
    <row r="12">
      <c r="A12" s="17">
        <f>IFERROR(__xludf.DUMMYFUNCTION("""COMPUTED_VALUE"""),9.0)</f>
        <v>9</v>
      </c>
      <c r="B12" s="18" t="str">
        <f>IFERROR(__xludf.DUMMYFUNCTION("""COMPUTED_VALUE"""),"amihandmade")</f>
        <v>amihandmade</v>
      </c>
      <c r="C12" s="23">
        <f>IFERROR(__xludf.DUMMYFUNCTION("""COMPUTED_VALUE"""),193000.0)</f>
        <v>193000</v>
      </c>
      <c r="D12" s="17" t="str">
        <f>IFERROR(__xludf.DUMMYFUNCTION("""COMPUTED_VALUE"""),"Mid")</f>
        <v>Mid</v>
      </c>
      <c r="E12" s="17"/>
      <c r="F12" s="17"/>
      <c r="G12" s="17"/>
      <c r="H12" s="17" t="str">
        <f>IFERROR(__xludf.DUMMYFUNCTION("""COMPUTED_VALUE"""),"Yogyakarta")</f>
        <v>Yogyakarta</v>
      </c>
      <c r="I12" s="17" t="str">
        <f>IFERROR(__xludf.DUMMYFUNCTION("""COMPUTED_VALUE"""),"Cooking")</f>
        <v>Cooking</v>
      </c>
      <c r="J12" s="17"/>
      <c r="K12" s="17"/>
      <c r="L12" s="17"/>
      <c r="M12" s="17"/>
      <c r="N12" s="17"/>
      <c r="O12" s="17"/>
      <c r="P12" s="20">
        <f>IFERROR(__xludf.DUMMYFUNCTION("""COMPUTED_VALUE"""),800000.0)</f>
        <v>800000</v>
      </c>
      <c r="Q12" s="17"/>
      <c r="R12" s="17"/>
      <c r="S12" s="17"/>
      <c r="T12" s="17"/>
      <c r="U12" s="20">
        <f>IFERROR(__xludf.DUMMYFUNCTION("""COMPUTED_VALUE"""),700000.0)</f>
        <v>700000</v>
      </c>
      <c r="V12" s="17"/>
      <c r="W12" s="17"/>
      <c r="X12" s="17"/>
      <c r="Y12" s="1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12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</hyperlinks>
  <drawing r:id="rId18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2.13"/>
    <col customWidth="1" min="3" max="3" width="8.75"/>
    <col customWidth="1" min="4" max="4" width="5.13"/>
    <col customWidth="1" min="5" max="5" width="14.0"/>
    <col customWidth="1" min="6" max="6" width="8.75"/>
    <col customWidth="1" min="7" max="7" width="5.63"/>
    <col customWidth="1" min="8" max="8" width="8.88"/>
    <col customWidth="1" min="9" max="9" width="16.13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""Homeliving!A4:Y999"")"),1.0)</f>
        <v>1</v>
      </c>
      <c r="B4" s="18" t="str">
        <f>IFERROR(__xludf.DUMMYFUNCTION("""COMPUTED_VALUE"""),"keziagc")</f>
        <v>keziagc</v>
      </c>
      <c r="C4" s="23">
        <f>IFERROR(__xludf.DUMMYFUNCTION("""COMPUTED_VALUE"""),148000.0)</f>
        <v>148000</v>
      </c>
      <c r="D4" s="17" t="str">
        <f>IFERROR(__xludf.DUMMYFUNCTION("""COMPUTED_VALUE"""),"Mid")</f>
        <v>Mid</v>
      </c>
      <c r="E4" s="18" t="str">
        <f>IFERROR(__xludf.DUMMYFUNCTION("""COMPUTED_VALUE"""),"keziagc")</f>
        <v>keziagc</v>
      </c>
      <c r="F4" s="23">
        <f>IFERROR(__xludf.DUMMYFUNCTION("""COMPUTED_VALUE"""),14000.0)</f>
        <v>14000</v>
      </c>
      <c r="G4" s="17" t="str">
        <f>IFERROR(__xludf.DUMMYFUNCTION("""COMPUTED_VALUE"""),"Micro")</f>
        <v>Micro</v>
      </c>
      <c r="H4" s="17" t="str">
        <f>IFERROR(__xludf.DUMMYFUNCTION("""COMPUTED_VALUE"""),"Tangerang")</f>
        <v>Tangerang</v>
      </c>
      <c r="I4" s="17" t="str">
        <f>IFERROR(__xludf.DUMMYFUNCTION("""COMPUTED_VALUE"""),"- Mom &amp; Kids
- Homeliving
- Lifestyle Female")</f>
        <v>- Mom &amp; Kids
- Homeliving
- Lifestyle Female</v>
      </c>
      <c r="J4" s="17"/>
      <c r="K4" s="20">
        <f>IFERROR(__xludf.DUMMYFUNCTION("""COMPUTED_VALUE"""),780000.0)</f>
        <v>780000</v>
      </c>
      <c r="L4" s="20">
        <f>IFERROR(__xludf.DUMMYFUNCTION("""COMPUTED_VALUE"""),1480000.0)</f>
        <v>1480000</v>
      </c>
      <c r="M4" s="20" t="str">
        <f>IFERROR(__xludf.DUMMYFUNCTION("""COMPUTED_VALUE"""),"FREE")</f>
        <v>FREE</v>
      </c>
      <c r="N4" s="20">
        <f>IFERROR(__xludf.DUMMYFUNCTION("""COMPUTED_VALUE"""),2980000.0)</f>
        <v>2980000</v>
      </c>
      <c r="O4" s="17"/>
      <c r="P4" s="20">
        <f>IFERROR(__xludf.DUMMYFUNCTION("""COMPUTED_VALUE"""),4580000.0)</f>
        <v>4580000</v>
      </c>
      <c r="Q4" s="20" t="str">
        <f>IFERROR(__xludf.DUMMYFUNCTION("""COMPUTED_VALUE"""),"FREE")</f>
        <v>FREE</v>
      </c>
      <c r="R4" s="17"/>
      <c r="S4" s="17"/>
      <c r="T4" s="20">
        <f>IFERROR(__xludf.DUMMYFUNCTION("""COMPUTED_VALUE"""),1980000.0)</f>
        <v>1980000</v>
      </c>
      <c r="U4" s="20" t="str">
        <f>IFERROR(__xludf.DUMMYFUNCTION("""COMPUTED_VALUE"""),"FREE")</f>
        <v>FREE</v>
      </c>
      <c r="V4" s="17"/>
      <c r="W4" s="20" t="str">
        <f>IFERROR(__xludf.DUMMYFUNCTION("""COMPUTED_VALUE"""),"FREE")</f>
        <v>FREE</v>
      </c>
      <c r="X4" s="20">
        <f>IFERROR(__xludf.DUMMYFUNCTION("""COMPUTED_VALUE"""),2980000.0)</f>
        <v>2980000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IFERROR(__xludf.DUMMYFUNCTION("""COMPUTED_VALUE"""),"racunyaamos_")</f>
        <v>racunyaamos_</v>
      </c>
      <c r="C5" s="23">
        <f>IFERROR(__xludf.DUMMYFUNCTION("""COMPUTED_VALUE"""),96000.0)</f>
        <v>96000</v>
      </c>
      <c r="D5" s="17" t="str">
        <f>IFERROR(__xludf.DUMMYFUNCTION("""COMPUTED_VALUE"""),"Micro")</f>
        <v>Micro</v>
      </c>
      <c r="E5" s="18" t="str">
        <f>IFERROR(__xludf.DUMMYFUNCTION("""COMPUTED_VALUE"""),"racunyaamos_")</f>
        <v>racunyaamos_</v>
      </c>
      <c r="F5" s="23">
        <f>IFERROR(__xludf.DUMMYFUNCTION("""COMPUTED_VALUE"""),315200.0)</f>
        <v>315200</v>
      </c>
      <c r="G5" s="17" t="str">
        <f>IFERROR(__xludf.DUMMYFUNCTION("""COMPUTED_VALUE"""),"Mid")</f>
        <v>Mid</v>
      </c>
      <c r="H5" s="17" t="str">
        <f>IFERROR(__xludf.DUMMYFUNCTION("""COMPUTED_VALUE"""),"Tangerang")</f>
        <v>Tangerang</v>
      </c>
      <c r="I5" s="17" t="str">
        <f>IFERROR(__xludf.DUMMYFUNCTION("""COMPUTED_VALUE"""),"- Homeliving")</f>
        <v>- Homeliving</v>
      </c>
      <c r="J5" s="17"/>
      <c r="K5" s="20" t="str">
        <f>IFERROR(__xludf.DUMMYFUNCTION("""COMPUTED_VALUE"""),"TikTok + IG Reels (free tag collab) + IG Story+ Shopee Video
Rp3,300,000")</f>
        <v>TikTok + IG Reels (free tag collab) + IG Story+ Shopee Video
Rp3,300,000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7">
        <f>IFERROR(__xludf.DUMMYFUNCTION("""COMPUTED_VALUE"""),3.0)</f>
        <v>3</v>
      </c>
      <c r="B6" s="18" t="str">
        <f>IFERROR(__xludf.DUMMYFUNCTION("""COMPUTED_VALUE"""),"mewindahttyas")</f>
        <v>mewindahttyas</v>
      </c>
      <c r="C6" s="23">
        <f>IFERROR(__xludf.DUMMYFUNCTION("""COMPUTED_VALUE"""),48900.0)</f>
        <v>48900</v>
      </c>
      <c r="D6" s="17" t="str">
        <f>IFERROR(__xludf.DUMMYFUNCTION("""COMPUTED_VALUE"""),"Micro")</f>
        <v>Micro</v>
      </c>
      <c r="E6" s="18" t="str">
        <f>IFERROR(__xludf.DUMMYFUNCTION("""COMPUTED_VALUE"""),"mewindaaahttyas")</f>
        <v>mewindaaahttyas</v>
      </c>
      <c r="F6" s="23">
        <f>IFERROR(__xludf.DUMMYFUNCTION("""COMPUTED_VALUE"""),4083.0)</f>
        <v>4083</v>
      </c>
      <c r="G6" s="17" t="str">
        <f>IFERROR(__xludf.DUMMYFUNCTION("""COMPUTED_VALUE"""),"Nano")</f>
        <v>Nano</v>
      </c>
      <c r="H6" s="17" t="str">
        <f>IFERROR(__xludf.DUMMYFUNCTION("""COMPUTED_VALUE"""),"Bengkulu")</f>
        <v>Bengkulu</v>
      </c>
      <c r="I6" s="17" t="str">
        <f>IFERROR(__xludf.DUMMYFUNCTION("""COMPUTED_VALUE"""),"- Mom &amp; Kids
- Homeliving")</f>
        <v>- Mom &amp; Kids
- Homeliving</v>
      </c>
      <c r="J6" s="20">
        <f>IFERROR(__xludf.DUMMYFUNCTION("""COMPUTED_VALUE"""),100000.0)</f>
        <v>100000</v>
      </c>
      <c r="K6" s="20">
        <f>IFERROR(__xludf.DUMMYFUNCTION("""COMPUTED_VALUE"""),150000.0)</f>
        <v>150000</v>
      </c>
      <c r="L6" s="17"/>
      <c r="M6" s="20" t="str">
        <f>IFERROR(__xludf.DUMMYFUNCTION("""COMPUTED_VALUE"""),"FREE")</f>
        <v>FREE</v>
      </c>
      <c r="N6" s="20">
        <f>IFERROR(__xludf.DUMMYFUNCTION("""COMPUTED_VALUE"""),300000.0)</f>
        <v>300000</v>
      </c>
      <c r="O6" s="20">
        <f>IFERROR(__xludf.DUMMYFUNCTION("""COMPUTED_VALUE"""),350000.0)</f>
        <v>350000</v>
      </c>
      <c r="P6" s="20">
        <f>IFERROR(__xludf.DUMMYFUNCTION("""COMPUTED_VALUE"""),400000.0)</f>
        <v>400000</v>
      </c>
      <c r="Q6" s="20" t="str">
        <f>IFERROR(__xludf.DUMMYFUNCTION("""COMPUTED_VALUE"""),"FREE")</f>
        <v>FREE</v>
      </c>
      <c r="R6" s="17"/>
      <c r="S6" s="20">
        <f>IFERROR(__xludf.DUMMYFUNCTION("""COMPUTED_VALUE"""),500000.0)</f>
        <v>500000</v>
      </c>
      <c r="T6" s="17"/>
      <c r="U6" s="20">
        <f>IFERROR(__xludf.DUMMYFUNCTION("""COMPUTED_VALUE"""),300000.0)</f>
        <v>300000</v>
      </c>
      <c r="V6" s="20">
        <f>IFERROR(__xludf.DUMMYFUNCTION("""COMPUTED_VALUE"""),300000.0)</f>
        <v>300000</v>
      </c>
      <c r="W6" s="20" t="str">
        <f>IFERROR(__xludf.DUMMYFUNCTION("""COMPUTED_VALUE"""),"FREE")</f>
        <v>FREE</v>
      </c>
      <c r="X6" s="17"/>
      <c r="Y6" s="17"/>
    </row>
    <row r="7">
      <c r="A7" s="17">
        <f>IFERROR(__xludf.DUMMYFUNCTION("""COMPUTED_VALUE"""),4.0)</f>
        <v>4</v>
      </c>
      <c r="B7" s="18" t="str">
        <f>IFERROR(__xludf.DUMMYFUNCTION("""COMPUTED_VALUE"""),"carlenedoraa")</f>
        <v>carlenedoraa</v>
      </c>
      <c r="C7" s="23">
        <f>IFERROR(__xludf.DUMMYFUNCTION("""COMPUTED_VALUE"""),100000.0)</f>
        <v>100000</v>
      </c>
      <c r="D7" s="17" t="str">
        <f>IFERROR(__xludf.DUMMYFUNCTION("""COMPUTED_VALUE"""),"Micro")</f>
        <v>Micro</v>
      </c>
      <c r="E7" s="18" t="str">
        <f>IFERROR(__xludf.DUMMYFUNCTION("""COMPUTED_VALUE"""),"carlenedoraa")</f>
        <v>carlenedoraa</v>
      </c>
      <c r="F7" s="23">
        <f>IFERROR(__xludf.DUMMYFUNCTION("""COMPUTED_VALUE"""),409000.0)</f>
        <v>409000</v>
      </c>
      <c r="G7" s="17" t="str">
        <f>IFERROR(__xludf.DUMMYFUNCTION("""COMPUTED_VALUE"""),"Mid")</f>
        <v>Mid</v>
      </c>
      <c r="H7" s="17" t="str">
        <f>IFERROR(__xludf.DUMMYFUNCTION("""COMPUTED_VALUE"""),"Batang")</f>
        <v>Batang</v>
      </c>
      <c r="I7" s="17" t="str">
        <f>IFERROR(__xludf.DUMMYFUNCTION("""COMPUTED_VALUE"""),"- Homeliving
- Family
- Mom &amp; Kids")</f>
        <v>- Homeliving
- Family
- Mom &amp; Kids</v>
      </c>
      <c r="J7" s="17"/>
      <c r="K7" s="20">
        <f>IFERROR(__xludf.DUMMYFUNCTION("""COMPUTED_VALUE"""),1000000.0)</f>
        <v>1000000</v>
      </c>
      <c r="L7" s="17"/>
      <c r="M7" s="17"/>
      <c r="N7" s="20">
        <f>IFERROR(__xludf.DUMMYFUNCTION("""COMPUTED_VALUE"""),3000000.0)</f>
        <v>3000000</v>
      </c>
      <c r="O7" s="17"/>
      <c r="P7" s="20">
        <f>IFERROR(__xludf.DUMMYFUNCTION("""COMPUTED_VALUE"""),2000000.0)</f>
        <v>2000000</v>
      </c>
      <c r="Q7" s="17"/>
      <c r="R7" s="20">
        <f>IFERROR(__xludf.DUMMYFUNCTION("""COMPUTED_VALUE"""),3000000.0)</f>
        <v>3000000</v>
      </c>
      <c r="S7" s="20">
        <f>IFERROR(__xludf.DUMMYFUNCTION("""COMPUTED_VALUE"""),5000000.0)</f>
        <v>5000000</v>
      </c>
      <c r="T7" s="17"/>
      <c r="U7" s="17"/>
      <c r="V7" s="17"/>
      <c r="W7" s="17"/>
      <c r="X7" s="17"/>
      <c r="Y7" s="17"/>
    </row>
    <row r="8">
      <c r="A8" s="17">
        <f>IFERROR(__xludf.DUMMYFUNCTION("""COMPUTED_VALUE"""),5.0)</f>
        <v>5</v>
      </c>
      <c r="B8" s="18" t="str">
        <f>IFERROR(__xludf.DUMMYFUNCTION("""COMPUTED_VALUE"""),"veyalvia22")</f>
        <v>veyalvia22</v>
      </c>
      <c r="C8" s="23">
        <f>IFERROR(__xludf.DUMMYFUNCTION("""COMPUTED_VALUE"""),198000.0)</f>
        <v>198000</v>
      </c>
      <c r="D8" s="17" t="str">
        <f>IFERROR(__xludf.DUMMYFUNCTION("""COMPUTED_VALUE"""),"Mid")</f>
        <v>Mid</v>
      </c>
      <c r="E8" s="24" t="str">
        <f>IFERROR(__xludf.DUMMYFUNCTION("""COMPUTED_VALUE"""),"veyalvia22")</f>
        <v>veyalvia22</v>
      </c>
      <c r="F8" s="23">
        <f>IFERROR(__xludf.DUMMYFUNCTION("""COMPUTED_VALUE"""),428600.0)</f>
        <v>428600</v>
      </c>
      <c r="G8" s="17" t="str">
        <f>IFERROR(__xludf.DUMMYFUNCTION("""COMPUTED_VALUE"""),"Mid")</f>
        <v>Mid</v>
      </c>
      <c r="H8" s="17" t="str">
        <f>IFERROR(__xludf.DUMMYFUNCTION("""COMPUTED_VALUE"""),"Bandung")</f>
        <v>Bandung</v>
      </c>
      <c r="I8" s="17" t="str">
        <f>IFERROR(__xludf.DUMMYFUNCTION("""COMPUTED_VALUE"""),"Homeliving")</f>
        <v>Homeliving</v>
      </c>
      <c r="J8" s="17"/>
      <c r="K8" s="20" t="str">
        <f>IFERROR(__xludf.DUMMYFUNCTION("""COMPUTED_VALUE"""),"Rp1,500,000 (3 frame)")</f>
        <v>Rp1,500,000 (3 frame)</v>
      </c>
      <c r="L8" s="17"/>
      <c r="M8" s="17"/>
      <c r="N8" s="20">
        <f>IFERROR(__xludf.DUMMYFUNCTION("""COMPUTED_VALUE"""),3000000.0)</f>
        <v>3000000</v>
      </c>
      <c r="O8" s="17"/>
      <c r="P8" s="20" t="str">
        <f>IFERROR(__xludf.DUMMYFUNCTION("""COMPUTED_VALUE"""),"Rp3,000,000
Reels + Story: Rp4,000,000")</f>
        <v>Rp3,000,000
Reels + Story: Rp4,000,000</v>
      </c>
      <c r="Q8" s="17"/>
      <c r="R8" s="20">
        <f>IFERROR(__xludf.DUMMYFUNCTION("""COMPUTED_VALUE"""),2000000.0)</f>
        <v>2000000</v>
      </c>
      <c r="S8" s="17"/>
      <c r="T8" s="17"/>
      <c r="U8" s="20">
        <f>IFERROR(__xludf.DUMMYFUNCTION("""COMPUTED_VALUE"""),500000.0)</f>
        <v>500000</v>
      </c>
      <c r="V8" s="17"/>
      <c r="W8" s="17"/>
      <c r="X8" s="17"/>
      <c r="Y8" s="17"/>
    </row>
    <row r="9">
      <c r="A9" s="17">
        <f>IFERROR(__xludf.DUMMYFUNCTION("""COMPUTED_VALUE"""),6.0)</f>
        <v>6</v>
      </c>
      <c r="B9" s="18" t="str">
        <f>IFERROR(__xludf.DUMMYFUNCTION("""COMPUTED_VALUE"""),"amadeaseptia")</f>
        <v>amadeaseptia</v>
      </c>
      <c r="C9" s="23">
        <f>IFERROR(__xludf.DUMMYFUNCTION("""COMPUTED_VALUE"""),42500.0)</f>
        <v>42500</v>
      </c>
      <c r="D9" s="20" t="str">
        <f>IFERROR(__xludf.DUMMYFUNCTION("""COMPUTED_VALUE"""),"Micro")</f>
        <v>Micro</v>
      </c>
      <c r="E9" s="24" t="str">
        <f>IFERROR(__xludf.DUMMYFUNCTION("""COMPUTED_VALUE"""),"amadeaseptiaa")</f>
        <v>amadeaseptiaa</v>
      </c>
      <c r="F9" s="23">
        <f>IFERROR(__xludf.DUMMYFUNCTION("""COMPUTED_VALUE"""),932000.0)</f>
        <v>932000</v>
      </c>
      <c r="G9" s="20" t="str">
        <f>IFERROR(__xludf.DUMMYFUNCTION("""COMPUTED_VALUE"""),"Macro")</f>
        <v>Macro</v>
      </c>
      <c r="H9" s="17" t="str">
        <f>IFERROR(__xludf.DUMMYFUNCTION("""COMPUTED_VALUE"""),"Jakarta")</f>
        <v>Jakarta</v>
      </c>
      <c r="I9" s="17" t="str">
        <f>IFERROR(__xludf.DUMMYFUNCTION("""COMPUTED_VALUE"""),"Homeliving")</f>
        <v>Homeliving</v>
      </c>
      <c r="J9" s="17"/>
      <c r="K9" s="20">
        <f>IFERROR(__xludf.DUMMYFUNCTION("""COMPUTED_VALUE"""),1500000.0)</f>
        <v>1500000</v>
      </c>
      <c r="L9" s="20">
        <f>IFERROR(__xludf.DUMMYFUNCTION("""COMPUTED_VALUE"""),2000000.0)</f>
        <v>2000000</v>
      </c>
      <c r="M9" s="17"/>
      <c r="N9" s="20">
        <f>IFERROR(__xludf.DUMMYFUNCTION("""COMPUTED_VALUE"""),2500000.0)</f>
        <v>2500000</v>
      </c>
      <c r="O9" s="17"/>
      <c r="P9" s="20">
        <f>IFERROR(__xludf.DUMMYFUNCTION("""COMPUTED_VALUE"""),5000000.0)</f>
        <v>5000000</v>
      </c>
      <c r="Q9" s="17"/>
      <c r="R9" s="20">
        <f>IFERROR(__xludf.DUMMYFUNCTION("""COMPUTED_VALUE"""),1.0E7)</f>
        <v>10000000</v>
      </c>
      <c r="S9" s="20">
        <f>IFERROR(__xludf.DUMMYFUNCTION("""COMPUTED_VALUE"""),1.2E7)</f>
        <v>12000000</v>
      </c>
      <c r="T9" s="17"/>
      <c r="U9" s="20">
        <f>IFERROR(__xludf.DUMMYFUNCTION("""COMPUTED_VALUE"""),5000000.0)</f>
        <v>5000000</v>
      </c>
      <c r="V9" s="17"/>
      <c r="W9" s="17"/>
      <c r="X9" s="17"/>
      <c r="Y9" s="1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9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</hyperlinks>
  <drawing r:id="rId1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""Comedy!A4:Y999"")"),1.0)</f>
        <v>1</v>
      </c>
      <c r="B4" s="18" t="str">
        <f>IFERROR(__xludf.DUMMYFUNCTION("""COMPUTED_VALUE"""),"aisyah_putri17")</f>
        <v>aisyah_putri17</v>
      </c>
      <c r="C4" s="23">
        <f>IFERROR(__xludf.DUMMYFUNCTION("""COMPUTED_VALUE"""),440000.0)</f>
        <v>440000</v>
      </c>
      <c r="D4" s="17" t="str">
        <f>IFERROR(__xludf.DUMMYFUNCTION("""COMPUTED_VALUE"""),"Mid")</f>
        <v>Mid</v>
      </c>
      <c r="E4" s="18" t="str">
        <f>IFERROR(__xludf.DUMMYFUNCTION("""COMPUTED_VALUE"""),"aisyah_wanitakalem")</f>
        <v>aisyah_wanitakalem</v>
      </c>
      <c r="F4" s="19">
        <f>IFERROR(__xludf.DUMMYFUNCTION("""COMPUTED_VALUE"""),2200000.0)</f>
        <v>2200000</v>
      </c>
      <c r="G4" s="17" t="str">
        <f>IFERROR(__xludf.DUMMYFUNCTION("""COMPUTED_VALUE"""),"Mega")</f>
        <v>Mega</v>
      </c>
      <c r="H4" s="17" t="str">
        <f>IFERROR(__xludf.DUMMYFUNCTION("""COMPUTED_VALUE"""),"Jakarta")</f>
        <v>Jakarta</v>
      </c>
      <c r="I4" s="17" t="str">
        <f>IFERROR(__xludf.DUMMYFUNCTION("""COMPUTED_VALUE"""),"- Lifestyle Female
- Comedy")</f>
        <v>- Lifestyle Female
- Comedy</v>
      </c>
      <c r="J4" s="17"/>
      <c r="K4" s="20">
        <f>IFERROR(__xludf.DUMMYFUNCTION("""COMPUTED_VALUE"""),2000000.0)</f>
        <v>2000000</v>
      </c>
      <c r="L4" s="20">
        <f>IFERROR(__xludf.DUMMYFUNCTION("""COMPUTED_VALUE"""),3500000.0)</f>
        <v>3500000</v>
      </c>
      <c r="M4" s="20" t="str">
        <f>IFERROR(__xludf.DUMMYFUNCTION("""COMPUTED_VALUE"""),"FREE")</f>
        <v>FREE</v>
      </c>
      <c r="N4" s="20">
        <f>IFERROR(__xludf.DUMMYFUNCTION("""COMPUTED_VALUE"""),5000000.0)</f>
        <v>5000000</v>
      </c>
      <c r="O4" s="20">
        <f>IFERROR(__xludf.DUMMYFUNCTION("""COMPUTED_VALUE"""),7000000.0)</f>
        <v>7000000</v>
      </c>
      <c r="P4" s="20">
        <f>IFERROR(__xludf.DUMMYFUNCTION("""COMPUTED_VALUE"""),1.0E7)</f>
        <v>10000000</v>
      </c>
      <c r="Q4" s="20">
        <f>IFERROR(__xludf.DUMMYFUNCTION("""COMPUTED_VALUE"""),1000000.0)</f>
        <v>1000000</v>
      </c>
      <c r="R4" s="20">
        <f>IFERROR(__xludf.DUMMYFUNCTION("""COMPUTED_VALUE"""),1.5E7)</f>
        <v>15000000</v>
      </c>
      <c r="S4" s="20">
        <f>IFERROR(__xludf.DUMMYFUNCTION("""COMPUTED_VALUE"""),2.0E7)</f>
        <v>20000000</v>
      </c>
      <c r="T4" s="20">
        <f>IFERROR(__xludf.DUMMYFUNCTION("""COMPUTED_VALUE"""),6000000.0)</f>
        <v>6000000</v>
      </c>
      <c r="U4" s="21">
        <f>IFERROR(__xludf.DUMMYFUNCTION("""COMPUTED_VALUE"""),1.0)</f>
        <v>1</v>
      </c>
      <c r="V4" s="20">
        <f>IFERROR(__xludf.DUMMYFUNCTION("""COMPUTED_VALUE"""),1000000.0)</f>
        <v>1000000</v>
      </c>
      <c r="W4" s="20">
        <f>IFERROR(__xludf.DUMMYFUNCTION("""COMPUTED_VALUE"""),1000000.0)</f>
        <v>1000000</v>
      </c>
      <c r="X4" s="20">
        <f>IFERROR(__xludf.DUMMYFUNCTION("""COMPUTED_VALUE"""),3000000.0)</f>
        <v>3000000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IFERROR(__xludf.DUMMYFUNCTION("""COMPUTED_VALUE"""),"faridnuralimm_")</f>
        <v>faridnuralimm_</v>
      </c>
      <c r="C5" s="23">
        <f>IFERROR(__xludf.DUMMYFUNCTION("""COMPUTED_VALUE"""),303000.0)</f>
        <v>303000</v>
      </c>
      <c r="D5" s="17" t="str">
        <f>IFERROR(__xludf.DUMMYFUNCTION("""COMPUTED_VALUE"""),"Mid")</f>
        <v>Mid</v>
      </c>
      <c r="E5" s="18" t="str">
        <f>IFERROR(__xludf.DUMMYFUNCTION("""COMPUTED_VALUE"""),"aidnnn2")</f>
        <v>aidnnn2</v>
      </c>
      <c r="F5" s="23">
        <f>IFERROR(__xludf.DUMMYFUNCTION("""COMPUTED_VALUE"""),238100.0)</f>
        <v>238100</v>
      </c>
      <c r="G5" s="17" t="str">
        <f>IFERROR(__xludf.DUMMYFUNCTION("""COMPUTED_VALUE"""),"Mid")</f>
        <v>Mid</v>
      </c>
      <c r="H5" s="17" t="str">
        <f>IFERROR(__xludf.DUMMYFUNCTION("""COMPUTED_VALUE"""),"Bandung")</f>
        <v>Bandung</v>
      </c>
      <c r="I5" s="17" t="str">
        <f>IFERROR(__xludf.DUMMYFUNCTION("""COMPUTED_VALUE"""),"- Lifestyle Male
- Comedy
- FnB")</f>
        <v>- Lifestyle Male
- Comedy
- FnB</v>
      </c>
      <c r="J5" s="20">
        <f>IFERROR(__xludf.DUMMYFUNCTION("""COMPUTED_VALUE"""),500000.0)</f>
        <v>500000</v>
      </c>
      <c r="K5" s="20">
        <f>IFERROR(__xludf.DUMMYFUNCTION("""COMPUTED_VALUE"""),1500000.0)</f>
        <v>1500000</v>
      </c>
      <c r="L5" s="20">
        <f>IFERROR(__xludf.DUMMYFUNCTION("""COMPUTED_VALUE"""),2500000.0)</f>
        <v>2500000</v>
      </c>
      <c r="M5" s="20" t="str">
        <f>IFERROR(__xludf.DUMMYFUNCTION("""COMPUTED_VALUE"""),"FREE")</f>
        <v>FREE</v>
      </c>
      <c r="N5" s="20">
        <f>IFERROR(__xludf.DUMMYFUNCTION("""COMPUTED_VALUE"""),5000000.0)</f>
        <v>5000000</v>
      </c>
      <c r="O5" s="20" t="str">
        <f>IFERROR(__xludf.DUMMYFUNCTION("""COMPUTED_VALUE"""),"FREE")</f>
        <v>FREE</v>
      </c>
      <c r="P5" s="20">
        <f>IFERROR(__xludf.DUMMYFUNCTION("""COMPUTED_VALUE"""),7500000.0)</f>
        <v>7500000</v>
      </c>
      <c r="Q5" s="20">
        <f>IFERROR(__xludf.DUMMYFUNCTION("""COMPUTED_VALUE"""),2500000.0)</f>
        <v>2500000</v>
      </c>
      <c r="R5" s="20">
        <f>IFERROR(__xludf.DUMMYFUNCTION("""COMPUTED_VALUE"""),1.0E7)</f>
        <v>10000000</v>
      </c>
      <c r="S5" s="20">
        <f>IFERROR(__xludf.DUMMYFUNCTION("""COMPUTED_VALUE"""),1.2E7)</f>
        <v>12000000</v>
      </c>
      <c r="T5" s="20" t="str">
        <f>IFERROR(__xludf.DUMMYFUNCTION("""COMPUTED_VALUE"""),"Akun brand: Rp7.000.000
Akun sendiri: Rp5.000.000")</f>
        <v>Akun brand: Rp7.000.000
Akun sendiri: Rp5.000.000</v>
      </c>
      <c r="U5" s="17" t="str">
        <f>IFERROR(__xludf.DUMMYFUNCTION("""COMPUTED_VALUE"""),"100% rate")</f>
        <v>100% rate</v>
      </c>
      <c r="V5" s="20">
        <f>IFERROR(__xludf.DUMMYFUNCTION("""COMPUTED_VALUE"""),2500000.0)</f>
        <v>2500000</v>
      </c>
      <c r="W5" s="20" t="str">
        <f>IFERROR(__xludf.DUMMYFUNCTION("""COMPUTED_VALUE"""),"FREE")</f>
        <v>FREE</v>
      </c>
      <c r="X5" s="20">
        <f>IFERROR(__xludf.DUMMYFUNCTION("""COMPUTED_VALUE"""),6500000.0)</f>
        <v>6500000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IFERROR(__xludf.DUMMYFUNCTION("""COMPUTED_VALUE"""),"ficrafth")</f>
        <v>ficrafth</v>
      </c>
      <c r="C6" s="23">
        <f>IFERROR(__xludf.DUMMYFUNCTION("""COMPUTED_VALUE"""),77000.0)</f>
        <v>77000</v>
      </c>
      <c r="D6" s="17" t="str">
        <f>IFERROR(__xludf.DUMMYFUNCTION("""COMPUTED_VALUE"""),"Micro")</f>
        <v>Micro</v>
      </c>
      <c r="E6" s="18" t="str">
        <f>IFERROR(__xludf.DUMMYFUNCTION("""COMPUTED_VALUE"""),"ficrafth")</f>
        <v>ficrafth</v>
      </c>
      <c r="F6" s="19">
        <f>IFERROR(__xludf.DUMMYFUNCTION("""COMPUTED_VALUE"""),2200000.0)</f>
        <v>2200000</v>
      </c>
      <c r="G6" s="17" t="str">
        <f>IFERROR(__xludf.DUMMYFUNCTION("""COMPUTED_VALUE"""),"Mega")</f>
        <v>Mega</v>
      </c>
      <c r="H6" s="17" t="str">
        <f>IFERROR(__xludf.DUMMYFUNCTION("""COMPUTED_VALUE"""),"Jakarta")</f>
        <v>Jakarta</v>
      </c>
      <c r="I6" s="17" t="str">
        <f>IFERROR(__xludf.DUMMYFUNCTION("""COMPUTED_VALUE"""),"- Lifestyle Male
- Comedy
- FnB")</f>
        <v>- Lifestyle Male
- Comedy
- FnB</v>
      </c>
      <c r="J6" s="17"/>
      <c r="K6" s="20">
        <f>IFERROR(__xludf.DUMMYFUNCTION("""COMPUTED_VALUE"""),500000.0)</f>
        <v>500000</v>
      </c>
      <c r="L6" s="20">
        <f>IFERROR(__xludf.DUMMYFUNCTION("""COMPUTED_VALUE"""),1500000.0)</f>
        <v>1500000</v>
      </c>
      <c r="M6" s="20" t="str">
        <f>IFERROR(__xludf.DUMMYFUNCTION("""COMPUTED_VALUE"""),"FREE")</f>
        <v>FREE</v>
      </c>
      <c r="N6" s="20">
        <f>IFERROR(__xludf.DUMMYFUNCTION("""COMPUTED_VALUE"""),2500000.0)</f>
        <v>2500000</v>
      </c>
      <c r="O6" s="20">
        <f>IFERROR(__xludf.DUMMYFUNCTION("""COMPUTED_VALUE"""),3000000.0)</f>
        <v>3000000</v>
      </c>
      <c r="P6" s="20">
        <f>IFERROR(__xludf.DUMMYFUNCTION("""COMPUTED_VALUE"""),4000000.0)</f>
        <v>4000000</v>
      </c>
      <c r="Q6" s="20">
        <f>IFERROR(__xludf.DUMMYFUNCTION("""COMPUTED_VALUE"""),3000000.0)</f>
        <v>3000000</v>
      </c>
      <c r="R6" s="20" t="str">
        <f>IFERROR(__xludf.DUMMYFUNCTION("""COMPUTED_VALUE"""),"Rp7.000.000 - Rp10.000.000")</f>
        <v>Rp7.000.000 - Rp10.000.000</v>
      </c>
      <c r="S6" s="20">
        <f>IFERROR(__xludf.DUMMYFUNCTION("""COMPUTED_VALUE"""),1.2E7)</f>
        <v>12000000</v>
      </c>
      <c r="T6" s="20" t="str">
        <f>IFERROR(__xludf.DUMMYFUNCTION("""COMPUTED_VALUE"""),"Rp3.500.000 - Rp5.000.000")</f>
        <v>Rp3.500.000 - Rp5.000.000</v>
      </c>
      <c r="U6" s="20">
        <f>IFERROR(__xludf.DUMMYFUNCTION("""COMPUTED_VALUE"""),4000000.0)</f>
        <v>4000000</v>
      </c>
      <c r="V6" s="20">
        <f>IFERROR(__xludf.DUMMYFUNCTION("""COMPUTED_VALUE"""),1000000.0)</f>
        <v>1000000</v>
      </c>
      <c r="W6" s="20">
        <f>IFERROR(__xludf.DUMMYFUNCTION("""COMPUTED_VALUE"""),500000.0)</f>
        <v>500000</v>
      </c>
      <c r="X6" s="20" t="str">
        <f>IFERROR(__xludf.DUMMYFUNCTION("""COMPUTED_VALUE"""),"Rp1.500.000 - Rp2.000.000")</f>
        <v>Rp1.500.000 - Rp2.000.000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IFERROR(__xludf.DUMMYFUNCTION("""COMPUTED_VALUE"""),"salmaristiana")</f>
        <v>salmaristiana</v>
      </c>
      <c r="C7" s="23">
        <f>IFERROR(__xludf.DUMMYFUNCTION("""COMPUTED_VALUE"""),39000.0)</f>
        <v>39000</v>
      </c>
      <c r="D7" s="17" t="str">
        <f>IFERROR(__xludf.DUMMYFUNCTION("""COMPUTED_VALUE"""),"Micro")</f>
        <v>Micro</v>
      </c>
      <c r="E7" s="18" t="str">
        <f>IFERROR(__xludf.DUMMYFUNCTION("""COMPUTED_VALUE"""),"salmaaristiana")</f>
        <v>salmaaristiana</v>
      </c>
      <c r="F7" s="19">
        <f>IFERROR(__xludf.DUMMYFUNCTION("""COMPUTED_VALUE"""),2200000.0)</f>
        <v>2200000</v>
      </c>
      <c r="G7" s="17" t="str">
        <f>IFERROR(__xludf.DUMMYFUNCTION("""COMPUTED_VALUE"""),"Mega")</f>
        <v>Mega</v>
      </c>
      <c r="H7" s="17" t="str">
        <f>IFERROR(__xludf.DUMMYFUNCTION("""COMPUTED_VALUE"""),"Bogor")</f>
        <v>Bogor</v>
      </c>
      <c r="I7" s="17" t="str">
        <f>IFERROR(__xludf.DUMMYFUNCTION("""COMPUTED_VALUE"""),"- Lifestyle Female
- Comedy")</f>
        <v>- Lifestyle Female
- Comedy</v>
      </c>
      <c r="J7" s="20">
        <f>IFERROR(__xludf.DUMMYFUNCTION("""COMPUTED_VALUE"""),200000.0)</f>
        <v>200000</v>
      </c>
      <c r="K7" s="20">
        <f>IFERROR(__xludf.DUMMYFUNCTION("""COMPUTED_VALUE"""),200000.0)</f>
        <v>200000</v>
      </c>
      <c r="L7" s="20">
        <f>IFERROR(__xludf.DUMMYFUNCTION("""COMPUTED_VALUE"""),500000.0)</f>
        <v>500000</v>
      </c>
      <c r="M7" s="20" t="str">
        <f>IFERROR(__xludf.DUMMYFUNCTION("""COMPUTED_VALUE"""),"FREE")</f>
        <v>FREE</v>
      </c>
      <c r="N7" s="20">
        <f>IFERROR(__xludf.DUMMYFUNCTION("""COMPUTED_VALUE"""),800000.0)</f>
        <v>800000</v>
      </c>
      <c r="O7" s="20">
        <f>IFERROR(__xludf.DUMMYFUNCTION("""COMPUTED_VALUE"""),1000000.0)</f>
        <v>1000000</v>
      </c>
      <c r="P7" s="20">
        <f>IFERROR(__xludf.DUMMYFUNCTION("""COMPUTED_VALUE"""),1500000.0)</f>
        <v>1500000</v>
      </c>
      <c r="Q7" s="20" t="str">
        <f>IFERROR(__xludf.DUMMYFUNCTION("""COMPUTED_VALUE"""),"FREE")</f>
        <v>FREE</v>
      </c>
      <c r="R7" s="20">
        <f>IFERROR(__xludf.DUMMYFUNCTION("""COMPUTED_VALUE"""),6000000.0)</f>
        <v>6000000</v>
      </c>
      <c r="S7" s="20">
        <f>IFERROR(__xludf.DUMMYFUNCTION("""COMPUTED_VALUE"""),7000000.0)</f>
        <v>7000000</v>
      </c>
      <c r="T7" s="20">
        <f>IFERROR(__xludf.DUMMYFUNCTION("""COMPUTED_VALUE"""),2000000.0)</f>
        <v>2000000</v>
      </c>
      <c r="U7" s="20">
        <f>IFERROR(__xludf.DUMMYFUNCTION("""COMPUTED_VALUE"""),1000000.0)</f>
        <v>1000000</v>
      </c>
      <c r="V7" s="20" t="str">
        <f>IFERROR(__xludf.DUMMYFUNCTION("""COMPUTED_VALUE"""),"FREE")</f>
        <v>FREE</v>
      </c>
      <c r="W7" s="20" t="str">
        <f>IFERROR(__xludf.DUMMYFUNCTION("""COMPUTED_VALUE"""),"FREE")</f>
        <v>FREE</v>
      </c>
      <c r="X7" s="20">
        <f>IFERROR(__xludf.DUMMYFUNCTION("""COMPUTED_VALUE"""),8000000.0)</f>
        <v>8000000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IFERROR(__xludf.DUMMYFUNCTION("""COMPUTED_VALUE"""),"@yourminbite")</f>
        <v>@yourminbite</v>
      </c>
      <c r="C8" s="23">
        <f>IFERROR(__xludf.DUMMYFUNCTION("""COMPUTED_VALUE"""),259000.0)</f>
        <v>259000</v>
      </c>
      <c r="D8" s="17" t="str">
        <f>IFERROR(__xludf.DUMMYFUNCTION("""COMPUTED_VALUE"""),"Mid")</f>
        <v>Mid</v>
      </c>
      <c r="E8" s="18" t="str">
        <f>IFERROR(__xludf.DUMMYFUNCTION("""COMPUTED_VALUE"""),"@yourminbite")</f>
        <v>@yourminbite</v>
      </c>
      <c r="F8" s="19">
        <f>IFERROR(__xludf.DUMMYFUNCTION("""COMPUTED_VALUE"""),1100000.0)</f>
        <v>1100000</v>
      </c>
      <c r="G8" s="17" t="str">
        <f>IFERROR(__xludf.DUMMYFUNCTION("""COMPUTED_VALUE"""),"Mega")</f>
        <v>Mega</v>
      </c>
      <c r="H8" s="17" t="str">
        <f>IFERROR(__xludf.DUMMYFUNCTION("""COMPUTED_VALUE"""),"Jakarta")</f>
        <v>Jakarta</v>
      </c>
      <c r="I8" s="17" t="str">
        <f>IFERROR(__xludf.DUMMYFUNCTION("""COMPUTED_VALUE"""),"- Lifestyle Female
- Comedy")</f>
        <v>- Lifestyle Female
- Comedy</v>
      </c>
      <c r="J8" s="17"/>
      <c r="K8" s="20">
        <f>IFERROR(__xludf.DUMMYFUNCTION("""COMPUTED_VALUE"""),5500000.0)</f>
        <v>5500000</v>
      </c>
      <c r="L8" s="20">
        <f>IFERROR(__xludf.DUMMYFUNCTION("""COMPUTED_VALUE"""),6500000.0)</f>
        <v>6500000</v>
      </c>
      <c r="M8" s="17"/>
      <c r="N8" s="20">
        <f>IFERROR(__xludf.DUMMYFUNCTION("""COMPUTED_VALUE"""),5000000.0)</f>
        <v>5000000</v>
      </c>
      <c r="O8" s="17"/>
      <c r="P8" s="20">
        <f>IFERROR(__xludf.DUMMYFUNCTION("""COMPUTED_VALUE"""),9000000.0)</f>
        <v>9000000</v>
      </c>
      <c r="Q8" s="17"/>
      <c r="R8" s="20">
        <f>IFERROR(__xludf.DUMMYFUNCTION("""COMPUTED_VALUE"""),2.5E7)</f>
        <v>25000000</v>
      </c>
      <c r="S8" s="17"/>
      <c r="T8" s="20">
        <f>IFERROR(__xludf.DUMMYFUNCTION("""COMPUTED_VALUE"""),1.8E7)</f>
        <v>18000000</v>
      </c>
      <c r="U8" s="20" t="str">
        <f>IFERROR(__xludf.DUMMYFUNCTION("""COMPUTED_VALUE"""),"1x rate")</f>
        <v>1x rate</v>
      </c>
      <c r="V8" s="21">
        <f>IFERROR(__xludf.DUMMYFUNCTION("""COMPUTED_VALUE"""),0.3)</f>
        <v>0.3</v>
      </c>
      <c r="W8" s="20">
        <f>IFERROR(__xludf.DUMMYFUNCTION("""COMPUTED_VALUE"""),3500000.0)</f>
        <v>3500000</v>
      </c>
      <c r="X8" s="17"/>
      <c r="Y8" s="17"/>
    </row>
    <row r="9">
      <c r="A9" s="17">
        <f>IFERROR(__xludf.DUMMYFUNCTION("""COMPUTED_VALUE"""),6.0)</f>
        <v>6</v>
      </c>
      <c r="B9" s="18" t="str">
        <f>IFERROR(__xludf.DUMMYFUNCTION("""COMPUTED_VALUE"""),"ayunghadid")</f>
        <v>ayunghadid</v>
      </c>
      <c r="C9" s="23">
        <f>IFERROR(__xludf.DUMMYFUNCTION("""COMPUTED_VALUE"""),238000.0)</f>
        <v>238000</v>
      </c>
      <c r="D9" s="17" t="str">
        <f>IFERROR(__xludf.DUMMYFUNCTION("""COMPUTED_VALUE"""),"Mid")</f>
        <v>Mid</v>
      </c>
      <c r="E9" s="18" t="str">
        <f>IFERROR(__xludf.DUMMYFUNCTION("""COMPUTED_VALUE"""),"fachrulhadid")</f>
        <v>fachrulhadid</v>
      </c>
      <c r="F9" s="26">
        <f>IFERROR(__xludf.DUMMYFUNCTION("""COMPUTED_VALUE"""),2700000.0)</f>
        <v>2700000</v>
      </c>
      <c r="G9" s="17" t="str">
        <f>IFERROR(__xludf.DUMMYFUNCTION("""COMPUTED_VALUE"""),"Mega")</f>
        <v>Mega</v>
      </c>
      <c r="H9" s="17" t="str">
        <f>IFERROR(__xludf.DUMMYFUNCTION("""COMPUTED_VALUE"""),"Jakarta")</f>
        <v>Jakarta</v>
      </c>
      <c r="I9" s="17" t="str">
        <f>IFERROR(__xludf.DUMMYFUNCTION("""COMPUTED_VALUE"""),"- Lifestyle Male
- Comedy")</f>
        <v>- Lifestyle Male
- Comedy</v>
      </c>
      <c r="J9" s="17"/>
      <c r="K9" s="20">
        <f>IFERROR(__xludf.DUMMYFUNCTION("""COMPUTED_VALUE"""),5000000.0)</f>
        <v>5000000</v>
      </c>
      <c r="L9" s="20">
        <f>IFERROR(__xludf.DUMMYFUNCTION("""COMPUTED_VALUE"""),1.3E7)</f>
        <v>13000000</v>
      </c>
      <c r="M9" s="20" t="str">
        <f>IFERROR(__xludf.DUMMYFUNCTION("""COMPUTED_VALUE"""),"Rp1,000,000 (Story)
Rp2,000,000 (Session)")</f>
        <v>Rp1,000,000 (Story)
Rp2,000,000 (Session)</v>
      </c>
      <c r="N9" s="20">
        <f>IFERROR(__xludf.DUMMYFUNCTION("""COMPUTED_VALUE"""),9000000.0)</f>
        <v>9000000</v>
      </c>
      <c r="O9" s="20">
        <f>IFERROR(__xludf.DUMMYFUNCTION("""COMPUTED_VALUE"""),2.5E7)</f>
        <v>25000000</v>
      </c>
      <c r="P9" s="20">
        <f>IFERROR(__xludf.DUMMYFUNCTION("""COMPUTED_VALUE"""),1.8E7)</f>
        <v>18000000</v>
      </c>
      <c r="Q9" s="21" t="str">
        <f>IFERROR(__xludf.DUMMYFUNCTION("""COMPUTED_VALUE"""),"FREE")</f>
        <v>FREE</v>
      </c>
      <c r="R9" s="20">
        <f>IFERROR(__xludf.DUMMYFUNCTION("""COMPUTED_VALUE"""),3.5E7)</f>
        <v>35000000</v>
      </c>
      <c r="S9" s="17"/>
      <c r="T9" s="20">
        <f>IFERROR(__xludf.DUMMYFUNCTION("""COMPUTED_VALUE"""),3.5E7)</f>
        <v>35000000</v>
      </c>
      <c r="U9" s="21">
        <f>IFERROR(__xludf.DUMMYFUNCTION("""COMPUTED_VALUE"""),1.0)</f>
        <v>1</v>
      </c>
      <c r="V9" s="21">
        <f>IFERROR(__xludf.DUMMYFUNCTION("""COMPUTED_VALUE"""),0.3)</f>
        <v>0.3</v>
      </c>
      <c r="W9" s="21">
        <f>IFERROR(__xludf.DUMMYFUNCTION("""COMPUTED_VALUE"""),0.3)</f>
        <v>0.3</v>
      </c>
      <c r="X9" s="20">
        <f>IFERROR(__xludf.DUMMYFUNCTION("""COMPUTED_VALUE"""),1.5E7)</f>
        <v>15000000</v>
      </c>
      <c r="Y9" s="17"/>
    </row>
    <row r="10">
      <c r="A10" s="17">
        <f>IFERROR(__xludf.DUMMYFUNCTION("""COMPUTED_VALUE"""),7.0)</f>
        <v>7</v>
      </c>
      <c r="B10" s="17" t="str">
        <f>IFERROR(__xludf.DUMMYFUNCTION("""COMPUTED_VALUE"""),"TikTok Only")</f>
        <v>TikTok Only</v>
      </c>
      <c r="C10" s="17"/>
      <c r="D10" s="17"/>
      <c r="E10" s="18" t="str">
        <f>IFERROR(__xludf.DUMMYFUNCTION("""COMPUTED_VALUE"""),"anaknya_mas_joko")</f>
        <v>anaknya_mas_joko</v>
      </c>
      <c r="F10" s="23">
        <f>IFERROR(__xludf.DUMMYFUNCTION("""COMPUTED_VALUE"""),862900.0)</f>
        <v>862900</v>
      </c>
      <c r="G10" s="17" t="str">
        <f>IFERROR(__xludf.DUMMYFUNCTION("""COMPUTED_VALUE"""),"Macro")</f>
        <v>Macro</v>
      </c>
      <c r="H10" s="17" t="str">
        <f>IFERROR(__xludf.DUMMYFUNCTION("""COMPUTED_VALUE"""),"Jakarta Selatan")</f>
        <v>Jakarta Selatan</v>
      </c>
      <c r="I10" s="17" t="str">
        <f>IFERROR(__xludf.DUMMYFUNCTION("""COMPUTED_VALUE"""),"Comedy")</f>
        <v>Comedy</v>
      </c>
      <c r="J10" s="17"/>
      <c r="K10" s="17"/>
      <c r="L10" s="17"/>
      <c r="M10" s="17"/>
      <c r="N10" s="17"/>
      <c r="O10" s="17"/>
      <c r="P10" s="17"/>
      <c r="Q10" s="17"/>
      <c r="R10" s="20">
        <f>IFERROR(__xludf.DUMMYFUNCTION("""COMPUTED_VALUE"""),6000000.0)</f>
        <v>6000000</v>
      </c>
      <c r="S10" s="17"/>
      <c r="T10" s="17"/>
      <c r="U10" s="17"/>
      <c r="V10" s="17"/>
      <c r="W10" s="17"/>
      <c r="X10" s="17"/>
      <c r="Y10" s="17"/>
    </row>
    <row r="11">
      <c r="A11" s="17">
        <f>IFERROR(__xludf.DUMMYFUNCTION("""COMPUTED_VALUE"""),8.0)</f>
        <v>8</v>
      </c>
      <c r="B11" s="18" t="str">
        <f>IFERROR(__xludf.DUMMYFUNCTION("""COMPUTED_VALUE"""),"alwifachry")</f>
        <v>alwifachry</v>
      </c>
      <c r="C11" s="19">
        <f>IFERROR(__xludf.DUMMYFUNCTION("""COMPUTED_VALUE"""),2400000.0)</f>
        <v>2400000</v>
      </c>
      <c r="D11" s="17" t="str">
        <f>IFERROR(__xludf.DUMMYFUNCTION("""COMPUTED_VALUE"""),"Mega")</f>
        <v>Mega</v>
      </c>
      <c r="E11" s="18" t="str">
        <f>IFERROR(__xludf.DUMMYFUNCTION("""COMPUTED_VALUE"""),"alwifahry")</f>
        <v>alwifahry</v>
      </c>
      <c r="F11" s="19">
        <f>IFERROR(__xludf.DUMMYFUNCTION("""COMPUTED_VALUE"""),1.36E7)</f>
        <v>13600000</v>
      </c>
      <c r="G11" s="17" t="str">
        <f>IFERROR(__xludf.DUMMYFUNCTION("""COMPUTED_VALUE"""),"Mega")</f>
        <v>Mega</v>
      </c>
      <c r="H11" s="17" t="str">
        <f>IFERROR(__xludf.DUMMYFUNCTION("""COMPUTED_VALUE"""),"Bandung")</f>
        <v>Bandung</v>
      </c>
      <c r="I11" s="17" t="str">
        <f>IFERROR(__xludf.DUMMYFUNCTION("""COMPUTED_VALUE"""),"- Lifestlye Male
- Comedy")</f>
        <v>- Lifestlye Male
- Comedy</v>
      </c>
      <c r="J11" s="20">
        <f>IFERROR(__xludf.DUMMYFUNCTION("""COMPUTED_VALUE"""),1000000.0)</f>
        <v>1000000</v>
      </c>
      <c r="K11" s="20">
        <f>IFERROR(__xludf.DUMMYFUNCTION("""COMPUTED_VALUE"""),5000000.0)</f>
        <v>5000000</v>
      </c>
      <c r="L11" s="20">
        <f>IFERROR(__xludf.DUMMYFUNCTION("""COMPUTED_VALUE"""),7000000.0)</f>
        <v>7000000</v>
      </c>
      <c r="M11" s="20" t="str">
        <f>IFERROR(__xludf.DUMMYFUNCTION("""COMPUTED_VALUE"""),"FREE")</f>
        <v>FREE</v>
      </c>
      <c r="N11" s="20">
        <f>IFERROR(__xludf.DUMMYFUNCTION("""COMPUTED_VALUE"""),2.0E7)</f>
        <v>20000000</v>
      </c>
      <c r="O11" s="20">
        <f>IFERROR(__xludf.DUMMYFUNCTION("""COMPUTED_VALUE"""),3.5E7)</f>
        <v>35000000</v>
      </c>
      <c r="P11" s="20">
        <f>IFERROR(__xludf.DUMMYFUNCTION("""COMPUTED_VALUE"""),4.5E7)</f>
        <v>45000000</v>
      </c>
      <c r="Q11" s="21">
        <f>IFERROR(__xludf.DUMMYFUNCTION("""COMPUTED_VALUE"""),0.1)</f>
        <v>0.1</v>
      </c>
      <c r="R11" s="20">
        <f>IFERROR(__xludf.DUMMYFUNCTION("""COMPUTED_VALUE"""),5.5E7)</f>
        <v>55000000</v>
      </c>
      <c r="S11" s="20">
        <f>IFERROR(__xludf.DUMMYFUNCTION("""COMPUTED_VALUE"""),8.5E7)</f>
        <v>85000000</v>
      </c>
      <c r="T11" s="17"/>
      <c r="U11" s="21">
        <f>IFERROR(__xludf.DUMMYFUNCTION("""COMPUTED_VALUE"""),0.5)</f>
        <v>0.5</v>
      </c>
      <c r="V11" s="20">
        <f>IFERROR(__xludf.DUMMYFUNCTION("""COMPUTED_VALUE"""),3000000.0)</f>
        <v>3000000</v>
      </c>
      <c r="W11" s="17"/>
      <c r="X11" s="20" t="str">
        <f>IFERROR(__xludf.DUMMYFUNCTION("""COMPUTED_VALUE"""),"Rp40,000,000 (Bandung)")</f>
        <v>Rp40,000,000 (Bandung)</v>
      </c>
      <c r="Y11" s="17"/>
    </row>
    <row r="12">
      <c r="A12" s="17">
        <f>IFERROR(__xludf.DUMMYFUNCTION("""COMPUTED_VALUE"""),9.0)</f>
        <v>9</v>
      </c>
      <c r="B12" s="18" t="str">
        <f>IFERROR(__xludf.DUMMYFUNCTION("""COMPUTED_VALUE"""),"rereanggara")</f>
        <v>rereanggara</v>
      </c>
      <c r="C12" s="23">
        <f>IFERROR(__xludf.DUMMYFUNCTION("""COMPUTED_VALUE"""),53000.0)</f>
        <v>53000</v>
      </c>
      <c r="D12" s="17" t="str">
        <f>IFERROR(__xludf.DUMMYFUNCTION("""COMPUTED_VALUE"""),"Micro")</f>
        <v>Micro</v>
      </c>
      <c r="E12" s="18" t="str">
        <f>IFERROR(__xludf.DUMMYFUNCTION("""COMPUTED_VALUE"""),"rereanggara")</f>
        <v>rereanggara</v>
      </c>
      <c r="F12" s="23">
        <f>IFERROR(__xludf.DUMMYFUNCTION("""COMPUTED_VALUE"""),824500.0)</f>
        <v>824500</v>
      </c>
      <c r="G12" s="17" t="str">
        <f>IFERROR(__xludf.DUMMYFUNCTION("""COMPUTED_VALUE"""),"Macro")</f>
        <v>Macro</v>
      </c>
      <c r="H12" s="17" t="str">
        <f>IFERROR(__xludf.DUMMYFUNCTION("""COMPUTED_VALUE"""),"Jakarta Selatan")</f>
        <v>Jakarta Selatan</v>
      </c>
      <c r="I12" s="17" t="str">
        <f>IFERROR(__xludf.DUMMYFUNCTION("""COMPUTED_VALUE"""),"- Lifestlye Male
- Comedy")</f>
        <v>- Lifestlye Male
- Comedy</v>
      </c>
      <c r="J12" s="17"/>
      <c r="K12" s="20">
        <f>IFERROR(__xludf.DUMMYFUNCTION("""COMPUTED_VALUE"""),4500000.0)</f>
        <v>4500000</v>
      </c>
      <c r="L12" s="20" t="str">
        <f>IFERROR(__xludf.DUMMYFUNCTION("""COMPUTED_VALUE"""),"Rp4,500,000/slide")</f>
        <v>Rp4,500,000/slide</v>
      </c>
      <c r="M12" s="20">
        <f>IFERROR(__xludf.DUMMYFUNCTION("""COMPUTED_VALUE"""),500000.0)</f>
        <v>500000</v>
      </c>
      <c r="N12" s="20">
        <f>IFERROR(__xludf.DUMMYFUNCTION("""COMPUTED_VALUE"""),4750000.0)</f>
        <v>4750000</v>
      </c>
      <c r="O12" s="20">
        <f>IFERROR(__xludf.DUMMYFUNCTION("""COMPUTED_VALUE"""),9500000.0)</f>
        <v>9500000</v>
      </c>
      <c r="P12" s="20">
        <f>IFERROR(__xludf.DUMMYFUNCTION("""COMPUTED_VALUE"""),9750000.0)</f>
        <v>9750000</v>
      </c>
      <c r="Q12" s="20">
        <f>IFERROR(__xludf.DUMMYFUNCTION("""COMPUTED_VALUE"""),1000000.0)</f>
        <v>1000000</v>
      </c>
      <c r="R12" s="20">
        <f>IFERROR(__xludf.DUMMYFUNCTION("""COMPUTED_VALUE"""),1.275E7)</f>
        <v>12750000</v>
      </c>
      <c r="S12" s="20">
        <f>IFERROR(__xludf.DUMMYFUNCTION("""COMPUTED_VALUE"""),4750000.0)</f>
        <v>4750000</v>
      </c>
      <c r="T12" s="20">
        <f>IFERROR(__xludf.DUMMYFUNCTION("""COMPUTED_VALUE"""),3500000.0)</f>
        <v>3500000</v>
      </c>
      <c r="U12" s="21">
        <f>IFERROR(__xludf.DUMMYFUNCTION("""COMPUTED_VALUE"""),0.5)</f>
        <v>0.5</v>
      </c>
      <c r="V12" s="20">
        <f>IFERROR(__xludf.DUMMYFUNCTION("""COMPUTED_VALUE"""),500000.0)</f>
        <v>500000</v>
      </c>
      <c r="W12" s="20">
        <f>IFERROR(__xludf.DUMMYFUNCTION("""COMPUTED_VALUE"""),500000.0)</f>
        <v>500000</v>
      </c>
      <c r="X12" s="20">
        <f>IFERROR(__xludf.DUMMYFUNCTION("""COMPUTED_VALUE"""),1000000.0)</f>
        <v>1000000</v>
      </c>
      <c r="Y12" s="17"/>
    </row>
    <row r="13">
      <c r="A13" s="17">
        <f>IFERROR(__xludf.DUMMYFUNCTION("""COMPUTED_VALUE"""),10.0)</f>
        <v>10</v>
      </c>
      <c r="B13" s="18" t="str">
        <f>IFERROR(__xludf.DUMMYFUNCTION("""COMPUTED_VALUE"""),"firamaringka")</f>
        <v>firamaringka</v>
      </c>
      <c r="C13" s="23">
        <f>IFERROR(__xludf.DUMMYFUNCTION("""COMPUTED_VALUE"""),98400.0)</f>
        <v>98400</v>
      </c>
      <c r="D13" s="17" t="str">
        <f>IFERROR(__xludf.DUMMYFUNCTION("""COMPUTED_VALUE"""),"Micro")</f>
        <v>Micro</v>
      </c>
      <c r="E13" s="18" t="str">
        <f>IFERROR(__xludf.DUMMYFUNCTION("""COMPUTED_VALUE"""),"firamaringka")</f>
        <v>firamaringka</v>
      </c>
      <c r="F13" s="23">
        <f>IFERROR(__xludf.DUMMYFUNCTION("""COMPUTED_VALUE"""),230600.0)</f>
        <v>230600</v>
      </c>
      <c r="G13" s="17" t="str">
        <f>IFERROR(__xludf.DUMMYFUNCTION("""COMPUTED_VALUE"""),"Mid")</f>
        <v>Mid</v>
      </c>
      <c r="H13" s="17" t="str">
        <f>IFERROR(__xludf.DUMMYFUNCTION("""COMPUTED_VALUE"""),"Tangerang")</f>
        <v>Tangerang</v>
      </c>
      <c r="I13" s="17" t="str">
        <f>IFERROR(__xludf.DUMMYFUNCTION("""COMPUTED_VALUE"""),"Comedy")</f>
        <v>Comedy</v>
      </c>
      <c r="J13" s="17"/>
      <c r="K13" s="20">
        <f>IFERROR(__xludf.DUMMYFUNCTION("""COMPUTED_VALUE"""),3000000.0)</f>
        <v>3000000</v>
      </c>
      <c r="L13" s="20">
        <f>IFERROR(__xludf.DUMMYFUNCTION("""COMPUTED_VALUE"""),5000000.0)</f>
        <v>5000000</v>
      </c>
      <c r="M13" s="20">
        <f>IFERROR(__xludf.DUMMYFUNCTION("""COMPUTED_VALUE"""),1500000.0)</f>
        <v>1500000</v>
      </c>
      <c r="N13" s="20">
        <f>IFERROR(__xludf.DUMMYFUNCTION("""COMPUTED_VALUE"""),8000000.0)</f>
        <v>8000000</v>
      </c>
      <c r="O13" s="20">
        <f>IFERROR(__xludf.DUMMYFUNCTION("""COMPUTED_VALUE"""),1.6E7)</f>
        <v>16000000</v>
      </c>
      <c r="P13" s="20">
        <f>IFERROR(__xludf.DUMMYFUNCTION("""COMPUTED_VALUE"""),2.0E7)</f>
        <v>20000000</v>
      </c>
      <c r="Q13" s="20">
        <f>IFERROR(__xludf.DUMMYFUNCTION("""COMPUTED_VALUE"""),2500000.0)</f>
        <v>2500000</v>
      </c>
      <c r="R13" s="20">
        <f>IFERROR(__xludf.DUMMYFUNCTION("""COMPUTED_VALUE"""),2.5E7)</f>
        <v>25000000</v>
      </c>
      <c r="S13" s="20">
        <f>IFERROR(__xludf.DUMMYFUNCTION("""COMPUTED_VALUE"""),1.1E7)</f>
        <v>11000000</v>
      </c>
      <c r="T13" s="17"/>
      <c r="U13" s="20">
        <f>IFERROR(__xludf.DUMMYFUNCTION("""COMPUTED_VALUE"""),1.3E7)</f>
        <v>13000000</v>
      </c>
      <c r="V13" s="20">
        <f>IFERROR(__xludf.DUMMYFUNCTION("""COMPUTED_VALUE"""),3000000.0)</f>
        <v>3000000</v>
      </c>
      <c r="W13" s="20">
        <f>IFERROR(__xludf.DUMMYFUNCTION("""COMPUTED_VALUE"""),3000000.0)</f>
        <v>3000000</v>
      </c>
      <c r="X13" s="20">
        <f>IFERROR(__xludf.DUMMYFUNCTION("""COMPUTED_VALUE"""),1.0E7)</f>
        <v>10000000</v>
      </c>
      <c r="Y13" s="17"/>
    </row>
    <row r="14">
      <c r="A14" s="17">
        <f>IFERROR(__xludf.DUMMYFUNCTION("""COMPUTED_VALUE"""),11.0)</f>
        <v>11</v>
      </c>
      <c r="B14" s="18" t="str">
        <f>IFERROR(__xludf.DUMMYFUNCTION("""COMPUTED_VALUE"""),"bagas_dribble")</f>
        <v>bagas_dribble</v>
      </c>
      <c r="C14" s="23">
        <f>IFERROR(__xludf.DUMMYFUNCTION("""COMPUTED_VALUE"""),374000.0)</f>
        <v>374000</v>
      </c>
      <c r="D14" s="17" t="str">
        <f>IFERROR(__xludf.DUMMYFUNCTION("""COMPUTED_VALUE"""),"Mid")</f>
        <v>Mid</v>
      </c>
      <c r="E14" s="18" t="str">
        <f>IFERROR(__xludf.DUMMYFUNCTION("""COMPUTED_VALUE"""),"s4y4_im0t")</f>
        <v>s4y4_im0t</v>
      </c>
      <c r="F14" s="19">
        <f>IFERROR(__xludf.DUMMYFUNCTION("""COMPUTED_VALUE"""),1900000.0)</f>
        <v>1900000</v>
      </c>
      <c r="G14" s="17" t="str">
        <f>IFERROR(__xludf.DUMMYFUNCTION("""COMPUTED_VALUE"""),"Mega")</f>
        <v>Mega</v>
      </c>
      <c r="H14" s="17" t="str">
        <f>IFERROR(__xludf.DUMMYFUNCTION("""COMPUTED_VALUE"""),"Jakarta Selatan")</f>
        <v>Jakarta Selatan</v>
      </c>
      <c r="I14" s="17" t="str">
        <f>IFERROR(__xludf.DUMMYFUNCTION("""COMPUTED_VALUE"""),"- Lifestyle Male
- Comedy")</f>
        <v>- Lifestyle Male
- Comedy</v>
      </c>
      <c r="J14" s="20">
        <f>IFERROR(__xludf.DUMMYFUNCTION("""COMPUTED_VALUE"""),2000000.0)</f>
        <v>2000000</v>
      </c>
      <c r="K14" s="20">
        <f>IFERROR(__xludf.DUMMYFUNCTION("""COMPUTED_VALUE"""),8500000.0)</f>
        <v>8500000</v>
      </c>
      <c r="L14" s="20">
        <f>IFERROR(__xludf.DUMMYFUNCTION("""COMPUTED_VALUE"""),2.2E7)</f>
        <v>22000000</v>
      </c>
      <c r="M14" s="20">
        <f>IFERROR(__xludf.DUMMYFUNCTION("""COMPUTED_VALUE"""),2000000.0)</f>
        <v>2000000</v>
      </c>
      <c r="N14" s="20">
        <f>IFERROR(__xludf.DUMMYFUNCTION("""COMPUTED_VALUE"""),2.8E7)</f>
        <v>28000000</v>
      </c>
      <c r="O14" s="20">
        <f>IFERROR(__xludf.DUMMYFUNCTION("""COMPUTED_VALUE"""),2.8E7)</f>
        <v>28000000</v>
      </c>
      <c r="P14" s="20">
        <f>IFERROR(__xludf.DUMMYFUNCTION("""COMPUTED_VALUE"""),3.5E7)</f>
        <v>35000000</v>
      </c>
      <c r="Q14" s="17"/>
      <c r="R14" s="20">
        <f>IFERROR(__xludf.DUMMYFUNCTION("""COMPUTED_VALUE"""),3.8E7)</f>
        <v>38000000</v>
      </c>
      <c r="S14" s="20">
        <f>IFERROR(__xludf.DUMMYFUNCTION("""COMPUTED_VALUE"""),6.5E7)</f>
        <v>65000000</v>
      </c>
      <c r="T14" s="20">
        <f>IFERROR(__xludf.DUMMYFUNCTION("""COMPUTED_VALUE"""),1.8E7)</f>
        <v>18000000</v>
      </c>
      <c r="U14" s="21">
        <f>IFERROR(__xludf.DUMMYFUNCTION("""COMPUTED_VALUE"""),0.5)</f>
        <v>0.5</v>
      </c>
      <c r="V14" s="20">
        <f>IFERROR(__xludf.DUMMYFUNCTION("""COMPUTED_VALUE"""),7000000.0)</f>
        <v>7000000</v>
      </c>
      <c r="W14" s="20">
        <f>IFERROR(__xludf.DUMMYFUNCTION("""COMPUTED_VALUE"""),7000000.0)</f>
        <v>7000000</v>
      </c>
      <c r="X14" s="21">
        <f>IFERROR(__xludf.DUMMYFUNCTION("""COMPUTED_VALUE"""),0.3)</f>
        <v>0.3</v>
      </c>
      <c r="Y14" s="17"/>
    </row>
    <row r="15">
      <c r="A15" s="17">
        <f>IFERROR(__xludf.DUMMYFUNCTION("""COMPUTED_VALUE"""),12.0)</f>
        <v>12</v>
      </c>
      <c r="B15" s="18" t="str">
        <f>IFERROR(__xludf.DUMMYFUNCTION("""COMPUTED_VALUE"""),"fachrulhadid")</f>
        <v>fachrulhadid</v>
      </c>
      <c r="C15" s="23">
        <f>IFERROR(__xludf.DUMMYFUNCTION("""COMPUTED_VALUE"""),770000.0)</f>
        <v>770000</v>
      </c>
      <c r="D15" s="17" t="str">
        <f>IFERROR(__xludf.DUMMYFUNCTION("""COMPUTED_VALUE"""),"Macro")</f>
        <v>Macro</v>
      </c>
      <c r="E15" s="18" t="str">
        <f>IFERROR(__xludf.DUMMYFUNCTION("""COMPUTED_VALUE"""),"fachrulhadid")</f>
        <v>fachrulhadid</v>
      </c>
      <c r="F15" s="26">
        <f>IFERROR(__xludf.DUMMYFUNCTION("""COMPUTED_VALUE"""),2700000.0)</f>
        <v>2700000</v>
      </c>
      <c r="G15" s="17" t="str">
        <f>IFERROR(__xludf.DUMMYFUNCTION("""COMPUTED_VALUE"""),"Mega")</f>
        <v>Mega</v>
      </c>
      <c r="H15" s="17" t="str">
        <f>IFERROR(__xludf.DUMMYFUNCTION("""COMPUTED_VALUE"""),"Jakarta")</f>
        <v>Jakarta</v>
      </c>
      <c r="I15" s="17" t="str">
        <f>IFERROR(__xludf.DUMMYFUNCTION("""COMPUTED_VALUE"""),"- Lifestyle Male
- Comedy")</f>
        <v>- Lifestyle Male
- Comedy</v>
      </c>
      <c r="J15" s="17"/>
      <c r="K15" s="20">
        <f>IFERROR(__xludf.DUMMYFUNCTION("""COMPUTED_VALUE"""),9000000.0)</f>
        <v>9000000</v>
      </c>
      <c r="L15" s="20">
        <f>IFERROR(__xludf.DUMMYFUNCTION("""COMPUTED_VALUE"""),2.5E7)</f>
        <v>25000000</v>
      </c>
      <c r="M15" s="20" t="str">
        <f>IFERROR(__xludf.DUMMYFUNCTION("""COMPUTED_VALUE"""),"Rp1,000,000 (Story)
Rp3,000,000 (Session)")</f>
        <v>Rp1,000,000 (Story)
Rp3,000,000 (Session)</v>
      </c>
      <c r="N15" s="20">
        <f>IFERROR(__xludf.DUMMYFUNCTION("""COMPUTED_VALUE"""),1.5E7)</f>
        <v>15000000</v>
      </c>
      <c r="O15" s="20">
        <f>IFERROR(__xludf.DUMMYFUNCTION("""COMPUTED_VALUE"""),3.5E7)</f>
        <v>35000000</v>
      </c>
      <c r="P15" s="20">
        <f>IFERROR(__xludf.DUMMYFUNCTION("""COMPUTED_VALUE"""),2.5E7)</f>
        <v>25000000</v>
      </c>
      <c r="Q15" s="21">
        <f>IFERROR(__xludf.DUMMYFUNCTION("""COMPUTED_VALUE"""),0.5)</f>
        <v>0.5</v>
      </c>
      <c r="R15" s="20">
        <f>IFERROR(__xludf.DUMMYFUNCTION("""COMPUTED_VALUE"""),3.5E7)</f>
        <v>35000000</v>
      </c>
      <c r="S15" s="20">
        <f>IFERROR(__xludf.DUMMYFUNCTION("""COMPUTED_VALUE"""),2.5E7)</f>
        <v>25000000</v>
      </c>
      <c r="T15" s="20">
        <f>IFERROR(__xludf.DUMMYFUNCTION("""COMPUTED_VALUE"""),3.5E7)</f>
        <v>35000000</v>
      </c>
      <c r="U15" s="21">
        <f>IFERROR(__xludf.DUMMYFUNCTION("""COMPUTED_VALUE"""),1.0)</f>
        <v>1</v>
      </c>
      <c r="V15" s="21">
        <f>IFERROR(__xludf.DUMMYFUNCTION("""COMPUTED_VALUE"""),0.3)</f>
        <v>0.3</v>
      </c>
      <c r="W15" s="21">
        <f>IFERROR(__xludf.DUMMYFUNCTION("""COMPUTED_VALUE"""),0.3)</f>
        <v>0.3</v>
      </c>
      <c r="X15" s="20">
        <f>IFERROR(__xludf.DUMMYFUNCTION("""COMPUTED_VALUE"""),1.5E7)</f>
        <v>15000000</v>
      </c>
      <c r="Y15" s="17"/>
    </row>
    <row r="16">
      <c r="A16" s="17">
        <f>IFERROR(__xludf.DUMMYFUNCTION("""COMPUTED_VALUE"""),13.0)</f>
        <v>13</v>
      </c>
      <c r="B16" s="17" t="str">
        <f>IFERROR(__xludf.DUMMYFUNCTION("""COMPUTED_VALUE"""),"TikTok Only")</f>
        <v>TikTok Only</v>
      </c>
      <c r="C16" s="17"/>
      <c r="D16" s="17" t="str">
        <f>IFERROR(__xludf.DUMMYFUNCTION("""COMPUTED_VALUE"""),"Nano")</f>
        <v>Nano</v>
      </c>
      <c r="E16" s="24" t="str">
        <f>IFERROR(__xludf.DUMMYFUNCTION("""COMPUTED_VALUE"""),"rifaneyy0")</f>
        <v>rifaneyy0</v>
      </c>
      <c r="F16" s="19">
        <f>IFERROR(__xludf.DUMMYFUNCTION("""COMPUTED_VALUE"""),3500000.0)</f>
        <v>3500000</v>
      </c>
      <c r="G16" s="17" t="str">
        <f>IFERROR(__xludf.DUMMYFUNCTION("""COMPUTED_VALUE"""),"Mega")</f>
        <v>Mega</v>
      </c>
      <c r="H16" s="17" t="str">
        <f>IFERROR(__xludf.DUMMYFUNCTION("""COMPUTED_VALUE"""),"Jakarta")</f>
        <v>Jakarta</v>
      </c>
      <c r="I16" s="17" t="str">
        <f>IFERROR(__xludf.DUMMYFUNCTION("""COMPUTED_VALUE"""),"- Comedy ")</f>
        <v>- Comedy </v>
      </c>
      <c r="J16" s="17"/>
      <c r="K16" s="20">
        <f>IFERROR(__xludf.DUMMYFUNCTION("""COMPUTED_VALUE"""),6000000.0)</f>
        <v>6000000</v>
      </c>
      <c r="L16" s="17"/>
      <c r="M16" s="17"/>
      <c r="N16" s="17"/>
      <c r="O16" s="17"/>
      <c r="P16" s="17"/>
      <c r="Q16" s="21">
        <f>IFERROR(__xludf.DUMMYFUNCTION("""COMPUTED_VALUE"""),0.3)</f>
        <v>0.3</v>
      </c>
      <c r="R16" s="20" t="str">
        <f>IFERROR(__xludf.DUMMYFUNCTION("""COMPUTED_VALUE"""),"Rp35,000,000
Visit: Rp40,000,000")</f>
        <v>Rp35,000,000
Visit: Rp40,000,000</v>
      </c>
      <c r="S16" s="20" t="str">
        <f>IFERROR(__xludf.DUMMYFUNCTION("""COMPUTED_VALUE"""),"Mirroring IG Reels @fachrulhadid_
Rp45,000,000
")</f>
        <v>Mirroring IG Reels @fachrulhadid_
Rp45,000,000
</v>
      </c>
      <c r="T16" s="20">
        <f>IFERROR(__xludf.DUMMYFUNCTION("""COMPUTED_VALUE"""),3.0E7)</f>
        <v>30000000</v>
      </c>
      <c r="U16" s="21">
        <f>IFERROR(__xludf.DUMMYFUNCTION("""COMPUTED_VALUE"""),1.0)</f>
        <v>1</v>
      </c>
      <c r="V16" s="21">
        <f>IFERROR(__xludf.DUMMYFUNCTION("""COMPUTED_VALUE"""),0.3)</f>
        <v>0.3</v>
      </c>
      <c r="W16" s="17"/>
      <c r="X16" s="20">
        <f>IFERROR(__xludf.DUMMYFUNCTION("""COMPUTED_VALUE"""),2.8E7)</f>
        <v>28000000</v>
      </c>
      <c r="Y16" s="17"/>
    </row>
    <row r="17">
      <c r="A17" s="17">
        <f>IFERROR(__xludf.DUMMYFUNCTION("""COMPUTED_VALUE"""),14.0)</f>
        <v>14</v>
      </c>
      <c r="B17" s="18" t="str">
        <f>IFERROR(__xludf.DUMMYFUNCTION("""COMPUTED_VALUE"""),"tutorialhidub")</f>
        <v>tutorialhidub</v>
      </c>
      <c r="C17" s="23">
        <f>IFERROR(__xludf.DUMMYFUNCTION("""COMPUTED_VALUE"""),416000.0)</f>
        <v>416000</v>
      </c>
      <c r="D17" s="17" t="str">
        <f>IFERROR(__xludf.DUMMYFUNCTION("""COMPUTED_VALUE"""),"Mid")</f>
        <v>Mid</v>
      </c>
      <c r="E17" s="24" t="str">
        <f>IFERROR(__xludf.DUMMYFUNCTION("""COMPUTED_VALUE"""),"aulianuzl")</f>
        <v>aulianuzl</v>
      </c>
      <c r="F17" s="19">
        <f>IFERROR(__xludf.DUMMYFUNCTION("""COMPUTED_VALUE"""),1200000.0)</f>
        <v>1200000</v>
      </c>
      <c r="G17" s="17" t="str">
        <f>IFERROR(__xludf.DUMMYFUNCTION("""COMPUTED_VALUE"""),"Mega")</f>
        <v>Mega</v>
      </c>
      <c r="H17" s="17" t="str">
        <f>IFERROR(__xludf.DUMMYFUNCTION("""COMPUTED_VALUE"""),"Jakarta")</f>
        <v>Jakarta</v>
      </c>
      <c r="I17" s="17" t="str">
        <f>IFERROR(__xludf.DUMMYFUNCTION("""COMPUTED_VALUE"""),"- Lifestyle Female
- Comedy")</f>
        <v>- Lifestyle Female
- Comedy</v>
      </c>
      <c r="J17" s="17"/>
      <c r="K17" s="20">
        <f>IFERROR(__xludf.DUMMYFUNCTION("""COMPUTED_VALUE"""),5000000.0)</f>
        <v>5000000</v>
      </c>
      <c r="L17" s="20">
        <f>IFERROR(__xludf.DUMMYFUNCTION("""COMPUTED_VALUE"""),2.0E7)</f>
        <v>20000000</v>
      </c>
      <c r="M17" s="20">
        <f>IFERROR(__xludf.DUMMYFUNCTION("""COMPUTED_VALUE"""),3000000.0)</f>
        <v>3000000</v>
      </c>
      <c r="N17" s="20">
        <f>IFERROR(__xludf.DUMMYFUNCTION("""COMPUTED_VALUE"""),1.5E7)</f>
        <v>15000000</v>
      </c>
      <c r="O17" s="17"/>
      <c r="P17" s="20">
        <f>IFERROR(__xludf.DUMMYFUNCTION("""COMPUTED_VALUE"""),2.1E7)</f>
        <v>21000000</v>
      </c>
      <c r="Q17" s="20">
        <f>IFERROR(__xludf.DUMMYFUNCTION("""COMPUTED_VALUE"""),1.0E7)</f>
        <v>10000000</v>
      </c>
      <c r="R17" s="20">
        <f>IFERROR(__xludf.DUMMYFUNCTION("""COMPUTED_VALUE"""),3.5E7)</f>
        <v>35000000</v>
      </c>
      <c r="S17" s="20">
        <f>IFERROR(__xludf.DUMMYFUNCTION("""COMPUTED_VALUE"""),2.1E7)</f>
        <v>21000000</v>
      </c>
      <c r="T17" s="20">
        <f>IFERROR(__xludf.DUMMYFUNCTION("""COMPUTED_VALUE"""),3.0E7)</f>
        <v>30000000</v>
      </c>
      <c r="U17" s="17"/>
      <c r="V17" s="17" t="str">
        <f>IFERROR(__xludf.DUMMYFUNCTION("""COMPUTED_VALUE"""),"FREE")</f>
        <v>FREE</v>
      </c>
      <c r="W17" s="20">
        <f>IFERROR(__xludf.DUMMYFUNCTION("""COMPUTED_VALUE"""),3000000.0)</f>
        <v>3000000</v>
      </c>
      <c r="X17" s="20">
        <f>IFERROR(__xludf.DUMMYFUNCTION("""COMPUTED_VALUE"""),1.0E7)</f>
        <v>10000000</v>
      </c>
      <c r="Y17" s="17"/>
    </row>
    <row r="18">
      <c r="A18" s="17">
        <f>IFERROR(__xludf.DUMMYFUNCTION("""COMPUTED_VALUE"""),15.0)</f>
        <v>15</v>
      </c>
      <c r="B18" s="18" t="str">
        <f>IFERROR(__xludf.DUMMYFUNCTION("""COMPUTED_VALUE"""),"utepsunarya")</f>
        <v>utepsunarya</v>
      </c>
      <c r="C18" s="23">
        <f>IFERROR(__xludf.DUMMYFUNCTION("""COMPUTED_VALUE"""),41500.0)</f>
        <v>41500</v>
      </c>
      <c r="D18" s="17" t="str">
        <f>IFERROR(__xludf.DUMMYFUNCTION("""COMPUTED_VALUE"""),"Micro")</f>
        <v>Micro</v>
      </c>
      <c r="E18" s="24" t="str">
        <f>IFERROR(__xludf.DUMMYFUNCTION("""COMPUTED_VALUE"""),"utepsunarya")</f>
        <v>utepsunarya</v>
      </c>
      <c r="F18" s="19">
        <f>IFERROR(__xludf.DUMMYFUNCTION("""COMPUTED_VALUE"""),1700000.0)</f>
        <v>1700000</v>
      </c>
      <c r="G18" s="17" t="str">
        <f>IFERROR(__xludf.DUMMYFUNCTION("""COMPUTED_VALUE"""),"Mega")</f>
        <v>Mega</v>
      </c>
      <c r="H18" s="17" t="str">
        <f>IFERROR(__xludf.DUMMYFUNCTION("""COMPUTED_VALUE"""),"Cianjur")</f>
        <v>Cianjur</v>
      </c>
      <c r="I18" s="17" t="str">
        <f>IFERROR(__xludf.DUMMYFUNCTION("""COMPUTED_VALUE"""),"Comedy")</f>
        <v>Comedy</v>
      </c>
      <c r="J18" s="17"/>
      <c r="K18" s="17"/>
      <c r="L18" s="17"/>
      <c r="M18" s="17"/>
      <c r="N18" s="17"/>
      <c r="O18" s="17"/>
      <c r="P18" s="17"/>
      <c r="Q18" s="17"/>
      <c r="R18" s="20">
        <f>IFERROR(__xludf.DUMMYFUNCTION("""COMPUTED_VALUE"""),2.0E7)</f>
        <v>20000000</v>
      </c>
      <c r="S18" s="20">
        <f>IFERROR(__xludf.DUMMYFUNCTION("""COMPUTED_VALUE"""),5000000.0)</f>
        <v>5000000</v>
      </c>
      <c r="T18" s="17"/>
      <c r="U18" s="20">
        <f>IFERROR(__xludf.DUMMYFUNCTION("""COMPUTED_VALUE"""),1.5E7)</f>
        <v>15000000</v>
      </c>
      <c r="V18" s="17"/>
      <c r="W18" s="17"/>
      <c r="X18" s="17"/>
      <c r="Y18" s="17"/>
    </row>
    <row r="19">
      <c r="A19" s="27"/>
      <c r="B19" s="33" t="str">
        <f>IFERROR(__xludf.DUMMYFUNCTION("""COMPUTED_VALUE"""),"emilmari0")</f>
        <v>emilmari0</v>
      </c>
      <c r="C19" s="34">
        <f>IFERROR(__xludf.DUMMYFUNCTION("""COMPUTED_VALUE"""),986000.0)</f>
        <v>986000</v>
      </c>
      <c r="D19" s="27" t="str">
        <f>IFERROR(__xludf.DUMMYFUNCTION("""COMPUTED_VALUE"""),"Macro")</f>
        <v>Macro</v>
      </c>
      <c r="E19" s="36" t="str">
        <f>IFERROR(__xludf.DUMMYFUNCTION("""COMPUTED_VALUE"""),"emilmario69")</f>
        <v>emilmario69</v>
      </c>
      <c r="F19" s="281">
        <f>IFERROR(__xludf.DUMMYFUNCTION("""COMPUTED_VALUE"""),7200000.0)</f>
        <v>7200000</v>
      </c>
      <c r="G19" s="27" t="str">
        <f>IFERROR(__xludf.DUMMYFUNCTION("""COMPUTED_VALUE"""),"Mega")</f>
        <v>Mega</v>
      </c>
      <c r="H19" s="27" t="str">
        <f>IFERROR(__xludf.DUMMYFUNCTION("""COMPUTED_VALUE"""),"Jakarta")</f>
        <v>Jakarta</v>
      </c>
      <c r="I19" s="27" t="str">
        <f>IFERROR(__xludf.DUMMYFUNCTION("""COMPUTED_VALUE"""),"- Lifestyle Male
- Comedy")</f>
        <v>- Lifestyle Male
- Comedy</v>
      </c>
      <c r="J19" s="27"/>
      <c r="K19" s="35">
        <f>IFERROR(__xludf.DUMMYFUNCTION("""COMPUTED_VALUE"""),1.6E7)</f>
        <v>16000000</v>
      </c>
      <c r="L19" s="35">
        <f>IFERROR(__xludf.DUMMYFUNCTION("""COMPUTED_VALUE"""),3.6E7)</f>
        <v>36000000</v>
      </c>
      <c r="M19" s="35">
        <f>IFERROR(__xludf.DUMMYFUNCTION("""COMPUTED_VALUE"""),1000000.0)</f>
        <v>1000000</v>
      </c>
      <c r="N19" s="35">
        <f>IFERROR(__xludf.DUMMYFUNCTION("""COMPUTED_VALUE"""),4.0E7)</f>
        <v>40000000</v>
      </c>
      <c r="O19" s="27"/>
      <c r="P19" s="35">
        <f>IFERROR(__xludf.DUMMYFUNCTION("""COMPUTED_VALUE"""),4.7E7)</f>
        <v>47000000</v>
      </c>
      <c r="Q19" s="27"/>
      <c r="R19" s="35">
        <f>IFERROR(__xludf.DUMMYFUNCTION("""COMPUTED_VALUE"""),6.5E7)</f>
        <v>65000000</v>
      </c>
      <c r="S19" s="35">
        <f>IFERROR(__xludf.DUMMYFUNCTION("""COMPUTED_VALUE"""),9.5E7)</f>
        <v>95000000</v>
      </c>
      <c r="T19" s="35">
        <f>IFERROR(__xludf.DUMMYFUNCTION("""COMPUTED_VALUE"""),3.5E7)</f>
        <v>35000000</v>
      </c>
      <c r="U19" s="37">
        <f>IFERROR(__xludf.DUMMYFUNCTION("""COMPUTED_VALUE"""),0.5)</f>
        <v>0.5</v>
      </c>
      <c r="V19" s="27" t="str">
        <f>IFERROR(__xludf.DUMMYFUNCTION("""COMPUTED_VALUE"""),"FREE 30d")</f>
        <v>FREE 30d</v>
      </c>
      <c r="W19" s="35">
        <f>IFERROR(__xludf.DUMMYFUNCTION("""COMPUTED_VALUE"""),8000000.0)</f>
        <v>8000000</v>
      </c>
      <c r="X19" s="35">
        <f>IFERROR(__xludf.DUMMYFUNCTION("""COMPUTED_VALUE"""),3.0E7)</f>
        <v>30000000</v>
      </c>
      <c r="Y19" s="27"/>
    </row>
    <row r="20">
      <c r="A20" s="27"/>
      <c r="B20" s="33" t="str">
        <f>IFERROR(__xludf.DUMMYFUNCTION("""COMPUTED_VALUE"""),"gilangsamiadji")</f>
        <v>gilangsamiadji</v>
      </c>
      <c r="C20" s="34">
        <f>IFERROR(__xludf.DUMMYFUNCTION("""COMPUTED_VALUE"""),384000.0)</f>
        <v>384000</v>
      </c>
      <c r="D20" s="27" t="str">
        <f>IFERROR(__xludf.DUMMYFUNCTION("""COMPUTED_VALUE"""),"Mid")</f>
        <v>Mid</v>
      </c>
      <c r="E20" s="36" t="str">
        <f>IFERROR(__xludf.DUMMYFUNCTION("""COMPUTED_VALUE"""),"gilangsamiadji")</f>
        <v>gilangsamiadji</v>
      </c>
      <c r="F20" s="281">
        <f>IFERROR(__xludf.DUMMYFUNCTION("""COMPUTED_VALUE"""),3300000.0)</f>
        <v>3300000</v>
      </c>
      <c r="G20" s="27" t="str">
        <f>IFERROR(__xludf.DUMMYFUNCTION("""COMPUTED_VALUE"""),"Mega")</f>
        <v>Mega</v>
      </c>
      <c r="H20" s="27" t="str">
        <f>IFERROR(__xludf.DUMMYFUNCTION("""COMPUTED_VALUE"""),"Jakarta")</f>
        <v>Jakarta</v>
      </c>
      <c r="I20" s="27" t="str">
        <f>IFERROR(__xludf.DUMMYFUNCTION("""COMPUTED_VALUE"""),"- Lifestyle Male
- Comedy")</f>
        <v>- Lifestyle Male
- Comedy</v>
      </c>
      <c r="J20" s="27"/>
      <c r="K20" s="35">
        <f>IFERROR(__xludf.DUMMYFUNCTION("""COMPUTED_VALUE"""),1.25E7)</f>
        <v>12500000</v>
      </c>
      <c r="L20" s="35">
        <f>IFERROR(__xludf.DUMMYFUNCTION("""COMPUTED_VALUE"""),2.55E7)</f>
        <v>25500000</v>
      </c>
      <c r="M20" s="35">
        <f>IFERROR(__xludf.DUMMYFUNCTION("""COMPUTED_VALUE"""),2000000.0)</f>
        <v>2000000</v>
      </c>
      <c r="N20" s="35">
        <f>IFERROR(__xludf.DUMMYFUNCTION("""COMPUTED_VALUE"""),3.2E7)</f>
        <v>32000000</v>
      </c>
      <c r="O20" s="27"/>
      <c r="P20" s="35">
        <f>IFERROR(__xludf.DUMMYFUNCTION("""COMPUTED_VALUE"""),3.0E7)</f>
        <v>30000000</v>
      </c>
      <c r="Q20" s="27"/>
      <c r="R20" s="35">
        <f>IFERROR(__xludf.DUMMYFUNCTION("""COMPUTED_VALUE"""),3.55E7)</f>
        <v>35500000</v>
      </c>
      <c r="S20" s="35">
        <f>IFERROR(__xludf.DUMMYFUNCTION("""COMPUTED_VALUE"""),6.0E7)</f>
        <v>60000000</v>
      </c>
      <c r="T20" s="35">
        <f>IFERROR(__xludf.DUMMYFUNCTION("""COMPUTED_VALUE"""),2.7E7)</f>
        <v>27000000</v>
      </c>
      <c r="U20" s="37">
        <f>IFERROR(__xludf.DUMMYFUNCTION("""COMPUTED_VALUE"""),0.5)</f>
        <v>0.5</v>
      </c>
      <c r="V20" s="27"/>
      <c r="W20" s="35">
        <f>IFERROR(__xludf.DUMMYFUNCTION("""COMPUTED_VALUE"""),5000000.0)</f>
        <v>5000000</v>
      </c>
      <c r="X20" s="35">
        <f>IFERROR(__xludf.DUMMYFUNCTION("""COMPUTED_VALUE"""),2.0E7)</f>
        <v>20000000</v>
      </c>
      <c r="Y20" s="27"/>
    </row>
    <row r="21">
      <c r="A21" s="27"/>
      <c r="B21" s="33" t="str">
        <f>IFERROR(__xludf.DUMMYFUNCTION("""COMPUTED_VALUE"""),"holaofadlan")</f>
        <v>holaofadlan</v>
      </c>
      <c r="C21" s="34">
        <f>IFERROR(__xludf.DUMMYFUNCTION("""COMPUTED_VALUE"""),703000.0)</f>
        <v>703000</v>
      </c>
      <c r="D21" s="27" t="str">
        <f>IFERROR(__xludf.DUMMYFUNCTION("""COMPUTED_VALUE"""),"Macro")</f>
        <v>Macro</v>
      </c>
      <c r="E21" s="36" t="str">
        <f>IFERROR(__xludf.DUMMYFUNCTION("""COMPUTED_VALUE"""),"fadlanholao")</f>
        <v>fadlanholao</v>
      </c>
      <c r="F21" s="281">
        <f>IFERROR(__xludf.DUMMYFUNCTION("""COMPUTED_VALUE"""),2300000.0)</f>
        <v>2300000</v>
      </c>
      <c r="G21" s="27" t="str">
        <f>IFERROR(__xludf.DUMMYFUNCTION("""COMPUTED_VALUE"""),"Mega")</f>
        <v>Mega</v>
      </c>
      <c r="H21" s="27" t="str">
        <f>IFERROR(__xludf.DUMMYFUNCTION("""COMPUTED_VALUE"""),"Jakarta")</f>
        <v>Jakarta</v>
      </c>
      <c r="I21" s="27" t="str">
        <f>IFERROR(__xludf.DUMMYFUNCTION("""COMPUTED_VALUE"""),"- Lifestyle Male
- Comedy")</f>
        <v>- Lifestyle Male
- Comedy</v>
      </c>
      <c r="J21" s="27"/>
      <c r="K21" s="35">
        <f>IFERROR(__xludf.DUMMYFUNCTION("""COMPUTED_VALUE"""),8000000.0)</f>
        <v>8000000</v>
      </c>
      <c r="L21" s="35">
        <f>IFERROR(__xludf.DUMMYFUNCTION("""COMPUTED_VALUE"""),1.85E7)</f>
        <v>18500000</v>
      </c>
      <c r="M21" s="35">
        <f>IFERROR(__xludf.DUMMYFUNCTION("""COMPUTED_VALUE"""),1000000.0)</f>
        <v>1000000</v>
      </c>
      <c r="N21" s="35">
        <f>IFERROR(__xludf.DUMMYFUNCTION("""COMPUTED_VALUE"""),2.0E7)</f>
        <v>20000000</v>
      </c>
      <c r="O21" s="27"/>
      <c r="P21" s="35">
        <f>IFERROR(__xludf.DUMMYFUNCTION("""COMPUTED_VALUE"""),2.3E7)</f>
        <v>23000000</v>
      </c>
      <c r="Q21" s="27"/>
      <c r="R21" s="35">
        <f>IFERROR(__xludf.DUMMYFUNCTION("""COMPUTED_VALUE"""),2.8E7)</f>
        <v>28000000</v>
      </c>
      <c r="S21" s="35">
        <f>IFERROR(__xludf.DUMMYFUNCTION("""COMPUTED_VALUE"""),4.5E7)</f>
        <v>45000000</v>
      </c>
      <c r="T21" s="35">
        <f>IFERROR(__xludf.DUMMYFUNCTION("""COMPUTED_VALUE"""),2.0E7)</f>
        <v>20000000</v>
      </c>
      <c r="U21" s="37">
        <f>IFERROR(__xludf.DUMMYFUNCTION("""COMPUTED_VALUE"""),0.5)</f>
        <v>0.5</v>
      </c>
      <c r="V21" s="27"/>
      <c r="W21" s="35">
        <f>IFERROR(__xludf.DUMMYFUNCTION("""COMPUTED_VALUE"""),5000000.0)</f>
        <v>5000000</v>
      </c>
      <c r="X21" s="35">
        <f>IFERROR(__xludf.DUMMYFUNCTION("""COMPUTED_VALUE"""),1.6E7)</f>
        <v>16000000</v>
      </c>
      <c r="Y21" s="27"/>
    </row>
    <row r="22">
      <c r="A22" s="27"/>
      <c r="B22" s="33" t="str">
        <f>IFERROR(__xludf.DUMMYFUNCTION("""COMPUTED_VALUE"""),"__ehan")</f>
        <v>__ehan</v>
      </c>
      <c r="C22" s="34">
        <f>IFERROR(__xludf.DUMMYFUNCTION("""COMPUTED_VALUE"""),337000.0)</f>
        <v>337000</v>
      </c>
      <c r="D22" s="27" t="str">
        <f>IFERROR(__xludf.DUMMYFUNCTION("""COMPUTED_VALUE"""),"Mid")</f>
        <v>Mid</v>
      </c>
      <c r="E22" s="36" t="str">
        <f>IFERROR(__xludf.DUMMYFUNCTION("""COMPUTED_VALUE"""),"__ehan")</f>
        <v>__ehan</v>
      </c>
      <c r="F22" s="281">
        <f>IFERROR(__xludf.DUMMYFUNCTION("""COMPUTED_VALUE"""),4800000.0)</f>
        <v>4800000</v>
      </c>
      <c r="G22" s="27" t="str">
        <f>IFERROR(__xludf.DUMMYFUNCTION("""COMPUTED_VALUE"""),"Mega")</f>
        <v>Mega</v>
      </c>
      <c r="H22" s="27" t="str">
        <f>IFERROR(__xludf.DUMMYFUNCTION("""COMPUTED_VALUE"""),"Jakarta")</f>
        <v>Jakarta</v>
      </c>
      <c r="I22" s="27" t="str">
        <f>IFERROR(__xludf.DUMMYFUNCTION("""COMPUTED_VALUE"""),"- Lifestyle Male
- Comedy")</f>
        <v>- Lifestyle Male
- Comedy</v>
      </c>
      <c r="J22" s="27"/>
      <c r="K22" s="35">
        <f>IFERROR(__xludf.DUMMYFUNCTION("""COMPUTED_VALUE"""),7000000.0)</f>
        <v>7000000</v>
      </c>
      <c r="L22" s="35">
        <f>IFERROR(__xludf.DUMMYFUNCTION("""COMPUTED_VALUE"""),1.7E7)</f>
        <v>17000000</v>
      </c>
      <c r="M22" s="35">
        <f>IFERROR(__xludf.DUMMYFUNCTION("""COMPUTED_VALUE"""),1000000.0)</f>
        <v>1000000</v>
      </c>
      <c r="N22" s="35">
        <f>IFERROR(__xludf.DUMMYFUNCTION("""COMPUTED_VALUE"""),8500000.0)</f>
        <v>8500000</v>
      </c>
      <c r="O22" s="35">
        <f>IFERROR(__xludf.DUMMYFUNCTION("""COMPUTED_VALUE"""),1.1E7)</f>
        <v>11000000</v>
      </c>
      <c r="P22" s="35">
        <f>IFERROR(__xludf.DUMMYFUNCTION("""COMPUTED_VALUE"""),2.2E7)</f>
        <v>22000000</v>
      </c>
      <c r="Q22" s="27"/>
      <c r="R22" s="35">
        <f>IFERROR(__xludf.DUMMYFUNCTION("""COMPUTED_VALUE"""),2.7E7)</f>
        <v>27000000</v>
      </c>
      <c r="S22" s="35">
        <f>IFERROR(__xludf.DUMMYFUNCTION("""COMPUTED_VALUE"""),4.2E7)</f>
        <v>42000000</v>
      </c>
      <c r="T22" s="35">
        <f>IFERROR(__xludf.DUMMYFUNCTION("""COMPUTED_VALUE"""),2.0E7)</f>
        <v>20000000</v>
      </c>
      <c r="U22" s="37">
        <f>IFERROR(__xludf.DUMMYFUNCTION("""COMPUTED_VALUE"""),0.5)</f>
        <v>0.5</v>
      </c>
      <c r="V22" s="27"/>
      <c r="W22" s="35">
        <f>IFERROR(__xludf.DUMMYFUNCTION("""COMPUTED_VALUE"""),4000000.0)</f>
        <v>4000000</v>
      </c>
      <c r="X22" s="35">
        <f>IFERROR(__xludf.DUMMYFUNCTION("""COMPUTED_VALUE"""),1.5E7)</f>
        <v>15000000</v>
      </c>
      <c r="Y22" s="27"/>
    </row>
    <row r="23">
      <c r="A23" s="27"/>
      <c r="B23" s="33" t="str">
        <f>IFERROR(__xludf.DUMMYFUNCTION("""COMPUTED_VALUE"""),"kaffanugroho")</f>
        <v>kaffanugroho</v>
      </c>
      <c r="C23" s="34">
        <f>IFERROR(__xludf.DUMMYFUNCTION("""COMPUTED_VALUE"""),101000.0)</f>
        <v>101000</v>
      </c>
      <c r="D23" s="27" t="str">
        <f>IFERROR(__xludf.DUMMYFUNCTION("""COMPUTED_VALUE"""),"Mid")</f>
        <v>Mid</v>
      </c>
      <c r="E23" s="36" t="str">
        <f>IFERROR(__xludf.DUMMYFUNCTION("""COMPUTED_VALUE"""),"pardonmypresence")</f>
        <v>pardonmypresence</v>
      </c>
      <c r="F23" s="281">
        <f>IFERROR(__xludf.DUMMYFUNCTION("""COMPUTED_VALUE"""),2100000.0)</f>
        <v>2100000</v>
      </c>
      <c r="G23" s="27" t="str">
        <f>IFERROR(__xludf.DUMMYFUNCTION("""COMPUTED_VALUE"""),"Mega")</f>
        <v>Mega</v>
      </c>
      <c r="H23" s="27" t="str">
        <f>IFERROR(__xludf.DUMMYFUNCTION("""COMPUTED_VALUE"""),"Jakarta")</f>
        <v>Jakarta</v>
      </c>
      <c r="I23" s="27" t="str">
        <f>IFERROR(__xludf.DUMMYFUNCTION("""COMPUTED_VALUE"""),"- Lifestyle Male
- Comedy")</f>
        <v>- Lifestyle Male
- Comedy</v>
      </c>
      <c r="J23" s="27"/>
      <c r="K23" s="35">
        <f>IFERROR(__xludf.DUMMYFUNCTION("""COMPUTED_VALUE"""),5500000.0)</f>
        <v>5500000</v>
      </c>
      <c r="L23" s="35">
        <f>IFERROR(__xludf.DUMMYFUNCTION("""COMPUTED_VALUE"""),1.3E7)</f>
        <v>13000000</v>
      </c>
      <c r="M23" s="35">
        <f>IFERROR(__xludf.DUMMYFUNCTION("""COMPUTED_VALUE"""),1000000.0)</f>
        <v>1000000</v>
      </c>
      <c r="N23" s="35">
        <f>IFERROR(__xludf.DUMMYFUNCTION("""COMPUTED_VALUE"""),1.4E7)</f>
        <v>14000000</v>
      </c>
      <c r="O23" s="27"/>
      <c r="P23" s="35">
        <f>IFERROR(__xludf.DUMMYFUNCTION("""COMPUTED_VALUE"""),1.85E7)</f>
        <v>18500000</v>
      </c>
      <c r="Q23" s="27"/>
      <c r="R23" s="35">
        <f>IFERROR(__xludf.DUMMYFUNCTION("""COMPUTED_VALUE"""),2.55E7)</f>
        <v>25500000</v>
      </c>
      <c r="S23" s="35">
        <f>IFERROR(__xludf.DUMMYFUNCTION("""COMPUTED_VALUE"""),3.0E7)</f>
        <v>30000000</v>
      </c>
      <c r="T23" s="35">
        <f>IFERROR(__xludf.DUMMYFUNCTION("""COMPUTED_VALUE"""),1.5E7)</f>
        <v>15000000</v>
      </c>
      <c r="U23" s="37">
        <f>IFERROR(__xludf.DUMMYFUNCTION("""COMPUTED_VALUE"""),0.5)</f>
        <v>0.5</v>
      </c>
      <c r="V23" s="27"/>
      <c r="W23" s="35">
        <f>IFERROR(__xludf.DUMMYFUNCTION("""COMPUTED_VALUE"""),3000000.0)</f>
        <v>3000000</v>
      </c>
      <c r="X23" s="35">
        <f>IFERROR(__xludf.DUMMYFUNCTION("""COMPUTED_VALUE"""),2.0E7)</f>
        <v>20000000</v>
      </c>
      <c r="Y23" s="27"/>
    </row>
    <row r="24">
      <c r="A24" s="27"/>
      <c r="B24" s="33" t="str">
        <f>IFERROR(__xludf.DUMMYFUNCTION("""COMPUTED_VALUE"""),"farhanrn__")</f>
        <v>farhanrn__</v>
      </c>
      <c r="C24" s="281">
        <f>IFERROR(__xludf.DUMMYFUNCTION("""COMPUTED_VALUE"""),1200000.0)</f>
        <v>1200000</v>
      </c>
      <c r="D24" s="27" t="str">
        <f>IFERROR(__xludf.DUMMYFUNCTION("""COMPUTED_VALUE"""),"Mega")</f>
        <v>Mega</v>
      </c>
      <c r="E24" s="36" t="str">
        <f>IFERROR(__xludf.DUMMYFUNCTION("""COMPUTED_VALUE"""),"farhanrn__")</f>
        <v>farhanrn__</v>
      </c>
      <c r="F24" s="281">
        <f>IFERROR(__xludf.DUMMYFUNCTION("""COMPUTED_VALUE"""),8000000.0)</f>
        <v>8000000</v>
      </c>
      <c r="G24" s="27" t="str">
        <f>IFERROR(__xludf.DUMMYFUNCTION("""COMPUTED_VALUE"""),"Mega")</f>
        <v>Mega</v>
      </c>
      <c r="H24" s="27" t="str">
        <f>IFERROR(__xludf.DUMMYFUNCTION("""COMPUTED_VALUE"""),"Jakarta")</f>
        <v>Jakarta</v>
      </c>
      <c r="I24" s="27" t="str">
        <f>IFERROR(__xludf.DUMMYFUNCTION("""COMPUTED_VALUE"""),"- Lifestyle Male
- Comedy")</f>
        <v>- Lifestyle Male
- Comedy</v>
      </c>
      <c r="J24" s="27"/>
      <c r="K24" s="35">
        <f>IFERROR(__xludf.DUMMYFUNCTION("""COMPUTED_VALUE"""),6500000.0)</f>
        <v>6500000</v>
      </c>
      <c r="L24" s="35">
        <f>IFERROR(__xludf.DUMMYFUNCTION("""COMPUTED_VALUE"""),1.55E7)</f>
        <v>15500000</v>
      </c>
      <c r="M24" s="35">
        <f>IFERROR(__xludf.DUMMYFUNCTION("""COMPUTED_VALUE"""),1000000.0)</f>
        <v>1000000</v>
      </c>
      <c r="N24" s="35">
        <f>IFERROR(__xludf.DUMMYFUNCTION("""COMPUTED_VALUE"""),2.3E7)</f>
        <v>23000000</v>
      </c>
      <c r="O24" s="27"/>
      <c r="P24" s="35">
        <f>IFERROR(__xludf.DUMMYFUNCTION("""COMPUTED_VALUE"""),2.6E7)</f>
        <v>26000000</v>
      </c>
      <c r="Q24" s="27"/>
      <c r="R24" s="35">
        <f>IFERROR(__xludf.DUMMYFUNCTION("""COMPUTED_VALUE"""),3.0E7)</f>
        <v>30000000</v>
      </c>
      <c r="S24" s="35">
        <f>IFERROR(__xludf.DUMMYFUNCTION("""COMPUTED_VALUE"""),5.0E7)</f>
        <v>50000000</v>
      </c>
      <c r="T24" s="35">
        <f>IFERROR(__xludf.DUMMYFUNCTION("""COMPUTED_VALUE"""),2.0E7)</f>
        <v>20000000</v>
      </c>
      <c r="U24" s="37">
        <f>IFERROR(__xludf.DUMMYFUNCTION("""COMPUTED_VALUE"""),0.5)</f>
        <v>0.5</v>
      </c>
      <c r="V24" s="27"/>
      <c r="W24" s="35">
        <f>IFERROR(__xludf.DUMMYFUNCTION("""COMPUTED_VALUE"""),5000000.0)</f>
        <v>5000000</v>
      </c>
      <c r="X24" s="35">
        <f>IFERROR(__xludf.DUMMYFUNCTION("""COMPUTED_VALUE"""),1.5E7)</f>
        <v>15000000</v>
      </c>
      <c r="Y24" s="27"/>
    </row>
    <row r="25">
      <c r="A25" s="27"/>
      <c r="B25" s="33" t="str">
        <f>IFERROR(__xludf.DUMMYFUNCTION("""COMPUTED_VALUE"""),"abipraya28")</f>
        <v>abipraya28</v>
      </c>
      <c r="C25" s="34">
        <f>IFERROR(__xludf.DUMMYFUNCTION("""COMPUTED_VALUE"""),712000.0)</f>
        <v>712000</v>
      </c>
      <c r="D25" s="27" t="str">
        <f>IFERROR(__xludf.DUMMYFUNCTION("""COMPUTED_VALUE"""),"Macro")</f>
        <v>Macro</v>
      </c>
      <c r="E25" s="36" t="str">
        <f>IFERROR(__xludf.DUMMYFUNCTION("""COMPUTED_VALUE"""),"reyyyz")</f>
        <v>reyyyz</v>
      </c>
      <c r="F25" s="34">
        <f>IFERROR(__xludf.DUMMYFUNCTION("""COMPUTED_VALUE"""),815000.0)</f>
        <v>815000</v>
      </c>
      <c r="G25" s="27" t="str">
        <f>IFERROR(__xludf.DUMMYFUNCTION("""COMPUTED_VALUE"""),"Macro")</f>
        <v>Macro</v>
      </c>
      <c r="H25" s="27" t="str">
        <f>IFERROR(__xludf.DUMMYFUNCTION("""COMPUTED_VALUE"""),"Jakarta")</f>
        <v>Jakarta</v>
      </c>
      <c r="I25" s="27" t="str">
        <f>IFERROR(__xludf.DUMMYFUNCTION("""COMPUTED_VALUE"""),"- Lifestyle Male
- Comedy")</f>
        <v>- Lifestyle Male
- Comedy</v>
      </c>
      <c r="J25" s="27"/>
      <c r="K25" s="35">
        <f>IFERROR(__xludf.DUMMYFUNCTION("""COMPUTED_VALUE"""),5500000.0)</f>
        <v>5500000</v>
      </c>
      <c r="L25" s="35">
        <f>IFERROR(__xludf.DUMMYFUNCTION("""COMPUTED_VALUE"""),1.2E7)</f>
        <v>12000000</v>
      </c>
      <c r="M25" s="35">
        <f>IFERROR(__xludf.DUMMYFUNCTION("""COMPUTED_VALUE"""),1000000.0)</f>
        <v>1000000</v>
      </c>
      <c r="N25" s="35">
        <f>IFERROR(__xludf.DUMMYFUNCTION("""COMPUTED_VALUE"""),1.0E7)</f>
        <v>10000000</v>
      </c>
      <c r="O25" s="27"/>
      <c r="P25" s="35">
        <f>IFERROR(__xludf.DUMMYFUNCTION("""COMPUTED_VALUE"""),1.7E7)</f>
        <v>17000000</v>
      </c>
      <c r="Q25" s="27"/>
      <c r="R25" s="35">
        <f>IFERROR(__xludf.DUMMYFUNCTION("""COMPUTED_VALUE"""),1.05E7)</f>
        <v>10500000</v>
      </c>
      <c r="S25" s="35">
        <f>IFERROR(__xludf.DUMMYFUNCTION("""COMPUTED_VALUE"""),2.35E7)</f>
        <v>23500000</v>
      </c>
      <c r="T25" s="35">
        <f>IFERROR(__xludf.DUMMYFUNCTION("""COMPUTED_VALUE"""),1.5E7)</f>
        <v>15000000</v>
      </c>
      <c r="U25" s="37">
        <f>IFERROR(__xludf.DUMMYFUNCTION("""COMPUTED_VALUE"""),0.5)</f>
        <v>0.5</v>
      </c>
      <c r="V25" s="27"/>
      <c r="W25" s="35">
        <f>IFERROR(__xludf.DUMMYFUNCTION("""COMPUTED_VALUE"""),4000000.0)</f>
        <v>4000000</v>
      </c>
      <c r="X25" s="35">
        <f>IFERROR(__xludf.DUMMYFUNCTION("""COMPUTED_VALUE"""),6000000.0)</f>
        <v>6000000</v>
      </c>
      <c r="Y25" s="27"/>
    </row>
    <row r="26">
      <c r="A26" s="27"/>
      <c r="B26" s="33" t="str">
        <f>IFERROR(__xludf.DUMMYFUNCTION("""COMPUTED_VALUE"""),"nonikmeniesszt")</f>
        <v>nonikmeniesszt</v>
      </c>
      <c r="C26" s="34">
        <f>IFERROR(__xludf.DUMMYFUNCTION("""COMPUTED_VALUE"""),12700.0)</f>
        <v>12700</v>
      </c>
      <c r="D26" s="27" t="str">
        <f>IFERROR(__xludf.DUMMYFUNCTION("""COMPUTED_VALUE"""),"Micro")</f>
        <v>Micro</v>
      </c>
      <c r="E26" s="36" t="str">
        <f>IFERROR(__xludf.DUMMYFUNCTION("""COMPUTED_VALUE"""),"nonikmenieszt")</f>
        <v>nonikmenieszt</v>
      </c>
      <c r="F26" s="34">
        <f>IFERROR(__xludf.DUMMYFUNCTION("""COMPUTED_VALUE"""),320500.0)</f>
        <v>320500</v>
      </c>
      <c r="G26" s="27" t="str">
        <f>IFERROR(__xludf.DUMMYFUNCTION("""COMPUTED_VALUE"""),"Mid")</f>
        <v>Mid</v>
      </c>
      <c r="H26" s="27" t="str">
        <f>IFERROR(__xludf.DUMMYFUNCTION("""COMPUTED_VALUE"""),"Jakarta")</f>
        <v>Jakarta</v>
      </c>
      <c r="I26" s="27" t="str">
        <f>IFERROR(__xludf.DUMMYFUNCTION("""COMPUTED_VALUE"""),"- Lifestyle Male
- Comedy")</f>
        <v>- Lifestyle Male
- Comedy</v>
      </c>
      <c r="J26" s="27"/>
      <c r="K26" s="35">
        <f>IFERROR(__xludf.DUMMYFUNCTION("""COMPUTED_VALUE"""),5500000.0)</f>
        <v>5500000</v>
      </c>
      <c r="L26" s="35">
        <f>IFERROR(__xludf.DUMMYFUNCTION("""COMPUTED_VALUE"""),6500000.0)</f>
        <v>6500000</v>
      </c>
      <c r="M26" s="35" t="str">
        <f>IFERROR(__xludf.DUMMYFUNCTION("""COMPUTED_VALUE"""),"FREE")</f>
        <v>FREE</v>
      </c>
      <c r="N26" s="35">
        <f>IFERROR(__xludf.DUMMYFUNCTION("""COMPUTED_VALUE"""),1.3E7)</f>
        <v>13000000</v>
      </c>
      <c r="O26" s="27"/>
      <c r="P26" s="35">
        <f>IFERROR(__xludf.DUMMYFUNCTION("""COMPUTED_VALUE"""),8000000.0)</f>
        <v>8000000</v>
      </c>
      <c r="Q26" s="27"/>
      <c r="R26" s="35">
        <f>IFERROR(__xludf.DUMMYFUNCTION("""COMPUTED_VALUE"""),1.25E7)</f>
        <v>12500000</v>
      </c>
      <c r="S26" s="35">
        <f>IFERROR(__xludf.DUMMYFUNCTION("""COMPUTED_VALUE"""),1.75E7)</f>
        <v>17500000</v>
      </c>
      <c r="T26" s="35">
        <f>IFERROR(__xludf.DUMMYFUNCTION("""COMPUTED_VALUE"""),1.5E7)</f>
        <v>15000000</v>
      </c>
      <c r="U26" s="37">
        <f>IFERROR(__xludf.DUMMYFUNCTION("""COMPUTED_VALUE"""),0.5)</f>
        <v>0.5</v>
      </c>
      <c r="V26" s="27"/>
      <c r="W26" s="35">
        <f>IFERROR(__xludf.DUMMYFUNCTION("""COMPUTED_VALUE"""),3000000.0)</f>
        <v>3000000</v>
      </c>
      <c r="X26" s="35">
        <f>IFERROR(__xludf.DUMMYFUNCTION("""COMPUTED_VALUE"""),7000000.0)</f>
        <v>7000000</v>
      </c>
      <c r="Y26" s="27"/>
    </row>
    <row r="27">
      <c r="A27" s="27"/>
      <c r="B27" s="33" t="str">
        <f>IFERROR(__xludf.DUMMYFUNCTION("""COMPUTED_VALUE"""),"fadiljaidi")</f>
        <v>fadiljaidi</v>
      </c>
      <c r="C27" s="281">
        <f>IFERROR(__xludf.DUMMYFUNCTION("""COMPUTED_VALUE"""),1.39E7)</f>
        <v>13900000</v>
      </c>
      <c r="D27" s="35" t="str">
        <f>IFERROR(__xludf.DUMMYFUNCTION("""COMPUTED_VALUE"""),"Mega")</f>
        <v>Mega</v>
      </c>
      <c r="E27" s="36" t="str">
        <f>IFERROR(__xludf.DUMMYFUNCTION("""COMPUTED_VALUE"""),"fadiljaidi")</f>
        <v>fadiljaidi</v>
      </c>
      <c r="F27" s="281">
        <f>IFERROR(__xludf.DUMMYFUNCTION("""COMPUTED_VALUE"""),1.63E7)</f>
        <v>16300000</v>
      </c>
      <c r="G27" s="35" t="str">
        <f>IFERROR(__xludf.DUMMYFUNCTION("""COMPUTED_VALUE"""),"Mega")</f>
        <v>Mega</v>
      </c>
      <c r="H27" s="27" t="str">
        <f>IFERROR(__xludf.DUMMYFUNCTION("""COMPUTED_VALUE"""),"Bekasi")</f>
        <v>Bekasi</v>
      </c>
      <c r="I27" s="27" t="str">
        <f>IFERROR(__xludf.DUMMYFUNCTION("""COMPUTED_VALUE"""),"- Lifestyle Male
- Family
- Comedy")</f>
        <v>- Lifestyle Male
- Family
- Comedy</v>
      </c>
      <c r="J27" s="27"/>
      <c r="K27" s="35">
        <f>IFERROR(__xludf.DUMMYFUNCTION("""COMPUTED_VALUE"""),3.0E7)</f>
        <v>30000000</v>
      </c>
      <c r="L27" s="35">
        <f>IFERROR(__xludf.DUMMYFUNCTION("""COMPUTED_VALUE"""),1.0E8)</f>
        <v>100000000</v>
      </c>
      <c r="M27" s="35" t="str">
        <f>IFERROR(__xludf.DUMMYFUNCTION("""COMPUTED_VALUE"""),"FREE")</f>
        <v>FREE</v>
      </c>
      <c r="N27" s="35">
        <f>IFERROR(__xludf.DUMMYFUNCTION("""COMPUTED_VALUE"""),7.0E7)</f>
        <v>70000000</v>
      </c>
      <c r="O27" s="35">
        <f>IFERROR(__xludf.DUMMYFUNCTION("""COMPUTED_VALUE"""),1.0E8)</f>
        <v>100000000</v>
      </c>
      <c r="P27" s="35">
        <f>IFERROR(__xludf.DUMMYFUNCTION("""COMPUTED_VALUE"""),1.1E8)</f>
        <v>110000000</v>
      </c>
      <c r="Q27" s="27"/>
      <c r="R27" s="35">
        <f>IFERROR(__xludf.DUMMYFUNCTION("""COMPUTED_VALUE"""),1.1E8)</f>
        <v>110000000</v>
      </c>
      <c r="S27" s="35">
        <f>IFERROR(__xludf.DUMMYFUNCTION("""COMPUTED_VALUE"""),1.95E8)</f>
        <v>195000000</v>
      </c>
      <c r="T27" s="27"/>
      <c r="U27" s="27"/>
      <c r="V27" s="27"/>
      <c r="W27" s="27"/>
      <c r="X27" s="27"/>
      <c r="Y27" s="27"/>
    </row>
    <row r="28">
      <c r="A28" s="27"/>
      <c r="B28" s="33" t="str">
        <f>IFERROR(__xludf.DUMMYFUNCTION("""COMPUTED_VALUE"""),"shella_cletus")</f>
        <v>shella_cletus</v>
      </c>
      <c r="C28" s="281">
        <f>IFERROR(__xludf.DUMMYFUNCTION("""COMPUTED_VALUE"""),254000.0)</f>
        <v>254000</v>
      </c>
      <c r="D28" s="35" t="str">
        <f>IFERROR(__xludf.DUMMYFUNCTION("""COMPUTED_VALUE"""),"Mid")</f>
        <v>Mid</v>
      </c>
      <c r="E28" s="36" t="str">
        <f>IFERROR(__xludf.DUMMYFUNCTION("""COMPUTED_VALUE"""),"shellacletus")</f>
        <v>shellacletus</v>
      </c>
      <c r="F28" s="281">
        <f>IFERROR(__xludf.DUMMYFUNCTION("""COMPUTED_VALUE"""),1400000.0)</f>
        <v>1400000</v>
      </c>
      <c r="G28" s="35" t="str">
        <f>IFERROR(__xludf.DUMMYFUNCTION("""COMPUTED_VALUE"""),"Mega")</f>
        <v>Mega</v>
      </c>
      <c r="H28" s="27" t="str">
        <f>IFERROR(__xludf.DUMMYFUNCTION("""COMPUTED_VALUE"""),"Jakarta")</f>
        <v>Jakarta</v>
      </c>
      <c r="I28" s="27" t="str">
        <f>IFERROR(__xludf.DUMMYFUNCTION("""COMPUTED_VALUE"""),"- Lifestyle Female
- Beauty
- Comedy")</f>
        <v>- Lifestyle Female
- Beauty
- Comedy</v>
      </c>
      <c r="J28" s="27"/>
      <c r="K28" s="35">
        <f>IFERROR(__xludf.DUMMYFUNCTION("""COMPUTED_VALUE"""),3000000.0)</f>
        <v>3000000</v>
      </c>
      <c r="L28" s="35">
        <f>IFERROR(__xludf.DUMMYFUNCTION("""COMPUTED_VALUE"""),5000000.0)</f>
        <v>5000000</v>
      </c>
      <c r="M28" s="27"/>
      <c r="N28" s="27"/>
      <c r="O28" s="27"/>
      <c r="P28" s="35">
        <f>IFERROR(__xludf.DUMMYFUNCTION("""COMPUTED_VALUE"""),2.0E7)</f>
        <v>20000000</v>
      </c>
      <c r="Q28" s="27"/>
      <c r="R28" s="35">
        <f>IFERROR(__xludf.DUMMYFUNCTION("""COMPUTED_VALUE"""),2.0E7)</f>
        <v>20000000</v>
      </c>
      <c r="S28" s="27"/>
      <c r="T28" s="27"/>
      <c r="U28" s="35">
        <f>IFERROR(__xludf.DUMMYFUNCTION("""COMPUTED_VALUE"""),5000000.0)</f>
        <v>5000000</v>
      </c>
      <c r="V28" s="27"/>
      <c r="W28" s="27"/>
      <c r="X28" s="27"/>
      <c r="Y28" s="27"/>
    </row>
    <row r="29">
      <c r="A29" s="27"/>
      <c r="B29" s="33" t="str">
        <f>IFERROR(__xludf.DUMMYFUNCTION("""COMPUTED_VALUE"""),"cantikalulu")</f>
        <v>cantikalulu</v>
      </c>
      <c r="C29" s="281">
        <f>IFERROR(__xludf.DUMMYFUNCTION("""COMPUTED_VALUE"""),288000.0)</f>
        <v>288000</v>
      </c>
      <c r="D29" s="35" t="str">
        <f>IFERROR(__xludf.DUMMYFUNCTION("""COMPUTED_VALUE"""),"Mid")</f>
        <v>Mid</v>
      </c>
      <c r="E29" s="36" t="str">
        <f>IFERROR(__xludf.DUMMYFUNCTION("""COMPUTED_VALUE"""),"heylulaa")</f>
        <v>heylulaa</v>
      </c>
      <c r="F29" s="281">
        <f>IFERROR(__xludf.DUMMYFUNCTION("""COMPUTED_VALUE"""),726900.0)</f>
        <v>726900</v>
      </c>
      <c r="G29" s="35" t="str">
        <f>IFERROR(__xludf.DUMMYFUNCTION("""COMPUTED_VALUE"""),"Macro")</f>
        <v>Macro</v>
      </c>
      <c r="H29" s="27" t="str">
        <f>IFERROR(__xludf.DUMMYFUNCTION("""COMPUTED_VALUE"""),"Jakarta")</f>
        <v>Jakarta</v>
      </c>
      <c r="I29" s="27" t="str">
        <f>IFERROR(__xludf.DUMMYFUNCTION("""COMPUTED_VALUE"""),"- Lifestyle Female
- Beauty
- Comedy")</f>
        <v>- Lifestyle Female
- Beauty
- Comedy</v>
      </c>
      <c r="J29" s="27"/>
      <c r="K29" s="35">
        <f>IFERROR(__xludf.DUMMYFUNCTION("""COMPUTED_VALUE"""),5000000.0)</f>
        <v>5000000</v>
      </c>
      <c r="L29" s="35">
        <f>IFERROR(__xludf.DUMMYFUNCTION("""COMPUTED_VALUE"""),8000000.0)</f>
        <v>8000000</v>
      </c>
      <c r="M29" s="27"/>
      <c r="N29" s="27"/>
      <c r="O29" s="27"/>
      <c r="P29" s="35">
        <f>IFERROR(__xludf.DUMMYFUNCTION("""COMPUTED_VALUE"""),2.0E7)</f>
        <v>20000000</v>
      </c>
      <c r="Q29" s="27"/>
      <c r="R29" s="35">
        <f>IFERROR(__xludf.DUMMYFUNCTION("""COMPUTED_VALUE"""),1.0E7)</f>
        <v>10000000</v>
      </c>
      <c r="S29" s="27"/>
      <c r="T29" s="27"/>
      <c r="U29" s="35">
        <f>IFERROR(__xludf.DUMMYFUNCTION("""COMPUTED_VALUE"""),5000000.0)</f>
        <v>5000000</v>
      </c>
      <c r="V29" s="27"/>
      <c r="W29" s="27"/>
      <c r="X29" s="27"/>
      <c r="Y29" s="27"/>
    </row>
    <row r="30">
      <c r="A30" s="27"/>
      <c r="B30" s="33" t="str">
        <f>IFERROR(__xludf.DUMMYFUNCTION("""COMPUTED_VALUE"""),"kevin_millenio")</f>
        <v>kevin_millenio</v>
      </c>
      <c r="C30" s="34">
        <f>IFERROR(__xludf.DUMMYFUNCTION("""COMPUTED_VALUE"""),214000.0)</f>
        <v>214000</v>
      </c>
      <c r="D30" s="35" t="str">
        <f>IFERROR(__xludf.DUMMYFUNCTION("""COMPUTED_VALUE"""),"Mid")</f>
        <v>Mid</v>
      </c>
      <c r="E30" s="36" t="str">
        <f>IFERROR(__xludf.DUMMYFUNCTION("""COMPUTED_VALUE"""),"kevinmillenio")</f>
        <v>kevinmillenio</v>
      </c>
      <c r="F30" s="34">
        <f>IFERROR(__xludf.DUMMYFUNCTION("""COMPUTED_VALUE"""),403900.0)</f>
        <v>403900</v>
      </c>
      <c r="G30" s="35" t="str">
        <f>IFERROR(__xludf.DUMMYFUNCTION("""COMPUTED_VALUE"""),"Mid")</f>
        <v>Mid</v>
      </c>
      <c r="H30" s="27" t="str">
        <f>IFERROR(__xludf.DUMMYFUNCTION("""COMPUTED_VALUE"""),"Tangerang")</f>
        <v>Tangerang</v>
      </c>
      <c r="I30" s="27" t="str">
        <f>IFERROR(__xludf.DUMMYFUNCTION("""COMPUTED_VALUE"""),"Comedy")</f>
        <v>Comedy</v>
      </c>
      <c r="J30" s="27"/>
      <c r="K30" s="35">
        <f>IFERROR(__xludf.DUMMYFUNCTION("""COMPUTED_VALUE"""),3000000.0)</f>
        <v>3000000</v>
      </c>
      <c r="L30" s="35">
        <f>IFERROR(__xludf.DUMMYFUNCTION("""COMPUTED_VALUE"""),5000000.0)</f>
        <v>5000000</v>
      </c>
      <c r="M30" s="35">
        <f>IFERROR(__xludf.DUMMYFUNCTION("""COMPUTED_VALUE"""),1500000.0)</f>
        <v>1500000</v>
      </c>
      <c r="N30" s="35">
        <f>IFERROR(__xludf.DUMMYFUNCTION("""COMPUTED_VALUE"""),8000000.0)</f>
        <v>8000000</v>
      </c>
      <c r="O30" s="35">
        <f>IFERROR(__xludf.DUMMYFUNCTION("""COMPUTED_VALUE"""),1.6E7)</f>
        <v>16000000</v>
      </c>
      <c r="P30" s="35">
        <f>IFERROR(__xludf.DUMMYFUNCTION("""COMPUTED_VALUE"""),3.5E7)</f>
        <v>35000000</v>
      </c>
      <c r="Q30" s="35">
        <f>IFERROR(__xludf.DUMMYFUNCTION("""COMPUTED_VALUE"""),2500000.0)</f>
        <v>2500000</v>
      </c>
      <c r="R30" s="35">
        <f>IFERROR(__xludf.DUMMYFUNCTION("""COMPUTED_VALUE"""),3.5E7)</f>
        <v>35000000</v>
      </c>
      <c r="S30" s="35">
        <f>IFERROR(__xludf.DUMMYFUNCTION("""COMPUTED_VALUE"""),2.0E7)</f>
        <v>20000000</v>
      </c>
      <c r="T30" s="27"/>
      <c r="U30" s="35">
        <f>IFERROR(__xludf.DUMMYFUNCTION("""COMPUTED_VALUE"""),1.8E7)</f>
        <v>18000000</v>
      </c>
      <c r="V30" s="35">
        <f>IFERROR(__xludf.DUMMYFUNCTION("""COMPUTED_VALUE"""),3000000.0)</f>
        <v>3000000</v>
      </c>
      <c r="W30" s="35">
        <f>IFERROR(__xludf.DUMMYFUNCTION("""COMPUTED_VALUE"""),3000000.0)</f>
        <v>3000000</v>
      </c>
      <c r="X30" s="35">
        <f>IFERROR(__xludf.DUMMYFUNCTION("""COMPUTED_VALUE"""),1.0E7)</f>
        <v>10000000</v>
      </c>
      <c r="Y30" s="27"/>
    </row>
    <row r="31">
      <c r="A31" s="27"/>
      <c r="B31" s="33" t="str">
        <f>IFERROR(__xludf.DUMMYFUNCTION("""COMPUTED_VALUE"""),"femimaringka")</f>
        <v>femimaringka</v>
      </c>
      <c r="C31" s="34">
        <f>IFERROR(__xludf.DUMMYFUNCTION("""COMPUTED_VALUE"""),109000.0)</f>
        <v>109000</v>
      </c>
      <c r="D31" s="35" t="str">
        <f>IFERROR(__xludf.DUMMYFUNCTION("""COMPUTED_VALUE"""),"Mid")</f>
        <v>Mid</v>
      </c>
      <c r="E31" s="36" t="str">
        <f>IFERROR(__xludf.DUMMYFUNCTION("""COMPUTED_VALUE"""),"femimaringka")</f>
        <v>femimaringka</v>
      </c>
      <c r="F31" s="34">
        <f>IFERROR(__xludf.DUMMYFUNCTION("""COMPUTED_VALUE"""),142100.0)</f>
        <v>142100</v>
      </c>
      <c r="G31" s="35" t="str">
        <f>IFERROR(__xludf.DUMMYFUNCTION("""COMPUTED_VALUE"""),"Mid")</f>
        <v>Mid</v>
      </c>
      <c r="H31" s="27" t="str">
        <f>IFERROR(__xludf.DUMMYFUNCTION("""COMPUTED_VALUE"""),"Tangerang")</f>
        <v>Tangerang</v>
      </c>
      <c r="I31" s="27" t="str">
        <f>IFERROR(__xludf.DUMMYFUNCTION("""COMPUTED_VALUE"""),"Comedy")</f>
        <v>Comedy</v>
      </c>
      <c r="J31" s="27"/>
      <c r="K31" s="35">
        <f>IFERROR(__xludf.DUMMYFUNCTION("""COMPUTED_VALUE"""),3500000.0)</f>
        <v>3500000</v>
      </c>
      <c r="L31" s="35">
        <f>IFERROR(__xludf.DUMMYFUNCTION("""COMPUTED_VALUE"""),5500000.0)</f>
        <v>5500000</v>
      </c>
      <c r="M31" s="35">
        <f>IFERROR(__xludf.DUMMYFUNCTION("""COMPUTED_VALUE"""),1500000.0)</f>
        <v>1500000</v>
      </c>
      <c r="N31" s="35">
        <f>IFERROR(__xludf.DUMMYFUNCTION("""COMPUTED_VALUE"""),8000000.0)</f>
        <v>8000000</v>
      </c>
      <c r="O31" s="35">
        <f>IFERROR(__xludf.DUMMYFUNCTION("""COMPUTED_VALUE"""),1.6E7)</f>
        <v>16000000</v>
      </c>
      <c r="P31" s="35">
        <f>IFERROR(__xludf.DUMMYFUNCTION("""COMPUTED_VALUE"""),1.2E7)</f>
        <v>12000000</v>
      </c>
      <c r="Q31" s="35">
        <f>IFERROR(__xludf.DUMMYFUNCTION("""COMPUTED_VALUE"""),2500000.0)</f>
        <v>2500000</v>
      </c>
      <c r="R31" s="35">
        <f>IFERROR(__xludf.DUMMYFUNCTION("""COMPUTED_VALUE"""),1.2E7)</f>
        <v>12000000</v>
      </c>
      <c r="S31" s="35">
        <f>IFERROR(__xludf.DUMMYFUNCTION("""COMPUTED_VALUE"""),8000000.0)</f>
        <v>8000000</v>
      </c>
      <c r="T31" s="27"/>
      <c r="U31" s="35">
        <f>IFERROR(__xludf.DUMMYFUNCTION("""COMPUTED_VALUE"""),6500000.0)</f>
        <v>6500000</v>
      </c>
      <c r="V31" s="35">
        <f>IFERROR(__xludf.DUMMYFUNCTION("""COMPUTED_VALUE"""),3000000.0)</f>
        <v>3000000</v>
      </c>
      <c r="W31" s="35">
        <f>IFERROR(__xludf.DUMMYFUNCTION("""COMPUTED_VALUE"""),3000000.0)</f>
        <v>3000000</v>
      </c>
      <c r="X31" s="35">
        <f>IFERROR(__xludf.DUMMYFUNCTION("""COMPUTED_VALUE"""),1.0E7)</f>
        <v>10000000</v>
      </c>
      <c r="Y31" s="27"/>
    </row>
    <row r="32">
      <c r="A32" s="27"/>
      <c r="B32" s="33" t="str">
        <f>IFERROR(__xludf.DUMMYFUNCTION("""COMPUTED_VALUE"""),"kesyasunjoyo")</f>
        <v>kesyasunjoyo</v>
      </c>
      <c r="C32" s="34">
        <f>IFERROR(__xludf.DUMMYFUNCTION("""COMPUTED_VALUE"""),61500.0)</f>
        <v>61500</v>
      </c>
      <c r="D32" s="35" t="str">
        <f>IFERROR(__xludf.DUMMYFUNCTION("""COMPUTED_VALUE"""),"Micro")</f>
        <v>Micro</v>
      </c>
      <c r="E32" s="36" t="str">
        <f>IFERROR(__xludf.DUMMYFUNCTION("""COMPUTED_VALUE"""),"kesyasunnn")</f>
        <v>kesyasunnn</v>
      </c>
      <c r="F32" s="34">
        <f>IFERROR(__xludf.DUMMYFUNCTION("""COMPUTED_VALUE"""),200400.0)</f>
        <v>200400</v>
      </c>
      <c r="G32" s="35" t="str">
        <f>IFERROR(__xludf.DUMMYFUNCTION("""COMPUTED_VALUE"""),"Mid")</f>
        <v>Mid</v>
      </c>
      <c r="H32" s="27" t="str">
        <f>IFERROR(__xludf.DUMMYFUNCTION("""COMPUTED_VALUE"""),"Tangerang")</f>
        <v>Tangerang</v>
      </c>
      <c r="I32" s="27" t="str">
        <f>IFERROR(__xludf.DUMMYFUNCTION("""COMPUTED_VALUE"""),"Comedy")</f>
        <v>Comedy</v>
      </c>
      <c r="J32" s="27"/>
      <c r="K32" s="35">
        <f>IFERROR(__xludf.DUMMYFUNCTION("""COMPUTED_VALUE"""),3500000.0)</f>
        <v>3500000</v>
      </c>
      <c r="L32" s="35">
        <f>IFERROR(__xludf.DUMMYFUNCTION("""COMPUTED_VALUE"""),5500000.0)</f>
        <v>5500000</v>
      </c>
      <c r="M32" s="35">
        <f>IFERROR(__xludf.DUMMYFUNCTION("""COMPUTED_VALUE"""),1500000.0)</f>
        <v>1500000</v>
      </c>
      <c r="N32" s="35">
        <f>IFERROR(__xludf.DUMMYFUNCTION("""COMPUTED_VALUE"""),8000000.0)</f>
        <v>8000000</v>
      </c>
      <c r="O32" s="35">
        <f>IFERROR(__xludf.DUMMYFUNCTION("""COMPUTED_VALUE"""),1.6E7)</f>
        <v>16000000</v>
      </c>
      <c r="P32" s="35">
        <f>IFERROR(__xludf.DUMMYFUNCTION("""COMPUTED_VALUE"""),1.0E7)</f>
        <v>10000000</v>
      </c>
      <c r="Q32" s="35">
        <f>IFERROR(__xludf.DUMMYFUNCTION("""COMPUTED_VALUE"""),2500000.0)</f>
        <v>2500000</v>
      </c>
      <c r="R32" s="35">
        <f>IFERROR(__xludf.DUMMYFUNCTION("""COMPUTED_VALUE"""),1.2E7)</f>
        <v>12000000</v>
      </c>
      <c r="S32" s="35">
        <f>IFERROR(__xludf.DUMMYFUNCTION("""COMPUTED_VALUE"""),8000000.0)</f>
        <v>8000000</v>
      </c>
      <c r="T32" s="27"/>
      <c r="U32" s="35">
        <f>IFERROR(__xludf.DUMMYFUNCTION("""COMPUTED_VALUE"""),6500000.0)</f>
        <v>6500000</v>
      </c>
      <c r="V32" s="35">
        <f>IFERROR(__xludf.DUMMYFUNCTION("""COMPUTED_VALUE"""),3000000.0)</f>
        <v>3000000</v>
      </c>
      <c r="W32" s="27"/>
      <c r="X32" s="35">
        <f>IFERROR(__xludf.DUMMYFUNCTION("""COMPUTED_VALUE"""),1.0E7)</f>
        <v>10000000</v>
      </c>
      <c r="Y32" s="27"/>
    </row>
    <row r="33">
      <c r="A33" s="27"/>
      <c r="B33" s="33" t="str">
        <f>IFERROR(__xludf.DUMMYFUNCTION("""COMPUTED_VALUE"""),"tituschrst")</f>
        <v>tituschrst</v>
      </c>
      <c r="C33" s="34">
        <f>IFERROR(__xludf.DUMMYFUNCTION("""COMPUTED_VALUE"""),31600.0)</f>
        <v>31600</v>
      </c>
      <c r="D33" s="35" t="str">
        <f>IFERROR(__xludf.DUMMYFUNCTION("""COMPUTED_VALUE"""),"Micro")</f>
        <v>Micro</v>
      </c>
      <c r="E33" s="36" t="str">
        <f>IFERROR(__xludf.DUMMYFUNCTION("""COMPUTED_VALUE"""),"tituschrst")</f>
        <v>tituschrst</v>
      </c>
      <c r="F33" s="34">
        <f>IFERROR(__xludf.DUMMYFUNCTION("""COMPUTED_VALUE"""),175400.0)</f>
        <v>175400</v>
      </c>
      <c r="G33" s="35" t="str">
        <f>IFERROR(__xludf.DUMMYFUNCTION("""COMPUTED_VALUE"""),"Mid")</f>
        <v>Mid</v>
      </c>
      <c r="H33" s="27" t="str">
        <f>IFERROR(__xludf.DUMMYFUNCTION("""COMPUTED_VALUE"""),"Tangerang")</f>
        <v>Tangerang</v>
      </c>
      <c r="I33" s="27" t="str">
        <f>IFERROR(__xludf.DUMMYFUNCTION("""COMPUTED_VALUE"""),"Comedy")</f>
        <v>Comedy</v>
      </c>
      <c r="J33" s="27"/>
      <c r="K33" s="35">
        <f>IFERROR(__xludf.DUMMYFUNCTION("""COMPUTED_VALUE"""),2000000.0)</f>
        <v>2000000</v>
      </c>
      <c r="L33" s="35">
        <f>IFERROR(__xludf.DUMMYFUNCTION("""COMPUTED_VALUE"""),4000000.0)</f>
        <v>4000000</v>
      </c>
      <c r="M33" s="35">
        <f>IFERROR(__xludf.DUMMYFUNCTION("""COMPUTED_VALUE"""),1500000.0)</f>
        <v>1500000</v>
      </c>
      <c r="N33" s="35">
        <f>IFERROR(__xludf.DUMMYFUNCTION("""COMPUTED_VALUE"""),6000000.0)</f>
        <v>6000000</v>
      </c>
      <c r="O33" s="35">
        <f>IFERROR(__xludf.DUMMYFUNCTION("""COMPUTED_VALUE"""),1.6E7)</f>
        <v>16000000</v>
      </c>
      <c r="P33" s="35">
        <f>IFERROR(__xludf.DUMMYFUNCTION("""COMPUTED_VALUE"""),1.0E7)</f>
        <v>10000000</v>
      </c>
      <c r="Q33" s="35">
        <f>IFERROR(__xludf.DUMMYFUNCTION("""COMPUTED_VALUE"""),2500000.0)</f>
        <v>2500000</v>
      </c>
      <c r="R33" s="35">
        <f>IFERROR(__xludf.DUMMYFUNCTION("""COMPUTED_VALUE"""),1.2E7)</f>
        <v>12000000</v>
      </c>
      <c r="S33" s="35">
        <f>IFERROR(__xludf.DUMMYFUNCTION("""COMPUTED_VALUE"""),5000000.0)</f>
        <v>5000000</v>
      </c>
      <c r="T33" s="27"/>
      <c r="U33" s="35">
        <f>IFERROR(__xludf.DUMMYFUNCTION("""COMPUTED_VALUE"""),6500000.0)</f>
        <v>6500000</v>
      </c>
      <c r="V33" s="35">
        <f>IFERROR(__xludf.DUMMYFUNCTION("""COMPUTED_VALUE"""),3000000.0)</f>
        <v>3000000</v>
      </c>
      <c r="W33" s="35">
        <f>IFERROR(__xludf.DUMMYFUNCTION("""COMPUTED_VALUE"""),3000000.0)</f>
        <v>3000000</v>
      </c>
      <c r="X33" s="35">
        <f>IFERROR(__xludf.DUMMYFUNCTION("""COMPUTED_VALUE"""),1.0E7)</f>
        <v>10000000</v>
      </c>
      <c r="Y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19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E10"/>
    <hyperlink r:id="rId14" ref="B11"/>
    <hyperlink r:id="rId15" ref="E11"/>
    <hyperlink r:id="rId16" ref="B12"/>
    <hyperlink r:id="rId17" ref="E12"/>
    <hyperlink r:id="rId18" ref="B13"/>
    <hyperlink r:id="rId19" ref="E13"/>
    <hyperlink r:id="rId20" ref="B14"/>
    <hyperlink r:id="rId21" ref="E14"/>
    <hyperlink r:id="rId22" ref="B15"/>
    <hyperlink r:id="rId23" ref="E15"/>
    <hyperlink r:id="rId24" ref="E16"/>
    <hyperlink r:id="rId25" ref="B17"/>
    <hyperlink r:id="rId26" ref="E17"/>
    <hyperlink r:id="rId27" ref="B18"/>
    <hyperlink r:id="rId28" ref="E18"/>
    <hyperlink r:id="rId29" ref="B19"/>
    <hyperlink r:id="rId30" ref="E19"/>
    <hyperlink r:id="rId31" ref="B20"/>
    <hyperlink r:id="rId32" ref="E20"/>
    <hyperlink r:id="rId33" ref="B21"/>
    <hyperlink r:id="rId34" ref="E21"/>
    <hyperlink r:id="rId35" ref="B22"/>
    <hyperlink r:id="rId36" ref="E22"/>
    <hyperlink r:id="rId37" ref="B23"/>
    <hyperlink r:id="rId38" ref="E23"/>
    <hyperlink r:id="rId39" ref="B24"/>
    <hyperlink r:id="rId40" ref="E24"/>
    <hyperlink r:id="rId41" ref="B25"/>
    <hyperlink r:id="rId42" ref="E25"/>
    <hyperlink r:id="rId43" ref="B26"/>
    <hyperlink r:id="rId44" ref="E26"/>
    <hyperlink r:id="rId45" ref="B27"/>
    <hyperlink r:id="rId46" ref="E27"/>
    <hyperlink r:id="rId47" ref="B28"/>
    <hyperlink r:id="rId48" ref="E28"/>
    <hyperlink r:id="rId49" ref="B29"/>
    <hyperlink r:id="rId50" ref="E29"/>
    <hyperlink r:id="rId51" ref="B30"/>
    <hyperlink r:id="rId52" ref="E30"/>
    <hyperlink r:id="rId53" ref="B31"/>
    <hyperlink r:id="rId54" ref="E31"/>
    <hyperlink r:id="rId55" ref="B32"/>
    <hyperlink r:id="rId56" ref="E32"/>
    <hyperlink r:id="rId57" ref="B33"/>
    <hyperlink r:id="rId58" ref="E33"/>
  </hyperlinks>
  <drawing r:id="rId59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3.25"/>
    <col customWidth="1" min="2" max="2" width="11.5"/>
    <col customWidth="1" min="3" max="3" width="8.75"/>
    <col customWidth="1" min="4" max="4" width="5.63"/>
    <col customWidth="1" min="5" max="5" width="12.0"/>
    <col customWidth="1" min="6" max="6" width="8.75"/>
    <col customWidth="1" min="7" max="7" width="5.63"/>
    <col customWidth="1" min="8" max="8" width="8.25"/>
    <col customWidth="1" min="9" max="9" width="19.5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""Education!A4:Y999"")"),1.0)</f>
        <v>1</v>
      </c>
      <c r="B4" s="18" t="str">
        <f>IFERROR(__xludf.DUMMYFUNCTION("""COMPUTED_VALUE"""),"@skylarsveta")</f>
        <v>@skylarsveta</v>
      </c>
      <c r="C4" s="23">
        <f>IFERROR(__xludf.DUMMYFUNCTION("""COMPUTED_VALUE"""),78000.0)</f>
        <v>78000</v>
      </c>
      <c r="D4" s="17" t="str">
        <f>IFERROR(__xludf.DUMMYFUNCTION("""COMPUTED_VALUE"""),"Micro")</f>
        <v>Micro</v>
      </c>
      <c r="E4" s="18" t="str">
        <f>IFERROR(__xludf.DUMMYFUNCTION("""COMPUTED_VALUE"""),"@skylarsveta")</f>
        <v>@skylarsveta</v>
      </c>
      <c r="F4" s="23">
        <f>IFERROR(__xludf.DUMMYFUNCTION("""COMPUTED_VALUE"""),13000.0)</f>
        <v>13000</v>
      </c>
      <c r="G4" s="17" t="str">
        <f>IFERROR(__xludf.DUMMYFUNCTION("""COMPUTED_VALUE"""),"Micro")</f>
        <v>Micro</v>
      </c>
      <c r="H4" s="17" t="str">
        <f>IFERROR(__xludf.DUMMYFUNCTION("""COMPUTED_VALUE"""),"Bandung")</f>
        <v>Bandung</v>
      </c>
      <c r="I4" s="17" t="str">
        <f>IFERROR(__xludf.DUMMYFUNCTION("""COMPUTED_VALUE"""),"- Education (tutorial masak)")</f>
        <v>- Education (tutorial masak)</v>
      </c>
      <c r="J4" s="17"/>
      <c r="K4" s="17"/>
      <c r="L4" s="17"/>
      <c r="M4" s="20" t="str">
        <f>IFERROR(__xludf.DUMMYFUNCTION("""COMPUTED_VALUE"""),"FREE")</f>
        <v>FREE</v>
      </c>
      <c r="N4" s="17"/>
      <c r="O4" s="17"/>
      <c r="P4" s="20">
        <f>IFERROR(__xludf.DUMMYFUNCTION("""COMPUTED_VALUE"""),1000000.0)</f>
        <v>1000000</v>
      </c>
      <c r="Q4" s="20" t="str">
        <f>IFERROR(__xludf.DUMMYFUNCTION("""COMPUTED_VALUE"""),"FREE")</f>
        <v>FREE</v>
      </c>
      <c r="R4" s="20" t="str">
        <f>IFERROR(__xludf.DUMMYFUNCTION("""COMPUTED_VALUE"""),"FREE")</f>
        <v>FREE</v>
      </c>
      <c r="S4" s="20" t="str">
        <f>IFERROR(__xludf.DUMMYFUNCTION("""COMPUTED_VALUE"""),"FREE")</f>
        <v>FREE</v>
      </c>
      <c r="T4" s="17"/>
      <c r="U4" s="20">
        <f>IFERROR(__xludf.DUMMYFUNCTION("""COMPUTED_VALUE"""),500000.0)</f>
        <v>500000</v>
      </c>
      <c r="V4" s="20">
        <f>IFERROR(__xludf.DUMMYFUNCTION("""COMPUTED_VALUE"""),500000.0)</f>
        <v>500000</v>
      </c>
      <c r="W4" s="20" t="str">
        <f>IFERROR(__xludf.DUMMYFUNCTION("""COMPUTED_VALUE"""),"FREE")</f>
        <v>FREE</v>
      </c>
      <c r="X4" s="20">
        <f>IFERROR(__xludf.DUMMYFUNCTION("""COMPUTED_VALUE"""),1500000.0)</f>
        <v>1500000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IFERROR(__xludf.DUMMYFUNCTION("""COMPUTED_VALUE"""),"niaghania")</f>
        <v>niaghania</v>
      </c>
      <c r="C5" s="23">
        <f>IFERROR(__xludf.DUMMYFUNCTION("""COMPUTED_VALUE"""),237000.0)</f>
        <v>237000</v>
      </c>
      <c r="D5" s="17" t="str">
        <f>IFERROR(__xludf.DUMMYFUNCTION("""COMPUTED_VALUE"""),"Mid")</f>
        <v>Mid</v>
      </c>
      <c r="E5" s="18" t="str">
        <f>IFERROR(__xludf.DUMMYFUNCTION("""COMPUTED_VALUE"""),"niaghan")</f>
        <v>niaghan</v>
      </c>
      <c r="F5" s="26">
        <f>IFERROR(__xludf.DUMMYFUNCTION("""COMPUTED_VALUE"""),1100000.0)</f>
        <v>1100000</v>
      </c>
      <c r="G5" s="17" t="str">
        <f>IFERROR(__xludf.DUMMYFUNCTION("""COMPUTED_VALUE"""),"Mega")</f>
        <v>Mega</v>
      </c>
      <c r="H5" s="17" t="str">
        <f>IFERROR(__xludf.DUMMYFUNCTION("""COMPUTED_VALUE"""),"Jakarta")</f>
        <v>Jakarta</v>
      </c>
      <c r="I5" s="17" t="str">
        <f>IFERROR(__xludf.DUMMYFUNCTION("""COMPUTED_VALUE"""),"- Lifestyle Female
- Education (tips &amp; trick)")</f>
        <v>- Lifestyle Female
- Education (tips &amp; trick)</v>
      </c>
      <c r="J5" s="17"/>
      <c r="K5" s="20">
        <f>IFERROR(__xludf.DUMMYFUNCTION("""COMPUTED_VALUE"""),3500000.0)</f>
        <v>3500000</v>
      </c>
      <c r="L5" s="20">
        <f>IFERROR(__xludf.DUMMYFUNCTION("""COMPUTED_VALUE"""),6500000.0)</f>
        <v>6500000</v>
      </c>
      <c r="M5" s="20">
        <f>IFERROR(__xludf.DUMMYFUNCTION("""COMPUTED_VALUE"""),1000000.0)</f>
        <v>1000000</v>
      </c>
      <c r="N5" s="20">
        <f>IFERROR(__xludf.DUMMYFUNCTION("""COMPUTED_VALUE"""),6000000.0)</f>
        <v>6000000</v>
      </c>
      <c r="O5" s="20">
        <f>IFERROR(__xludf.DUMMYFUNCTION("""COMPUTED_VALUE"""),7000000.0)</f>
        <v>7000000</v>
      </c>
      <c r="P5" s="20">
        <f>IFERROR(__xludf.DUMMYFUNCTION("""COMPUTED_VALUE"""),1.2E7)</f>
        <v>12000000</v>
      </c>
      <c r="Q5" s="20">
        <f>IFERROR(__xludf.DUMMYFUNCTION("""COMPUTED_VALUE"""),5000000.0)</f>
        <v>5000000</v>
      </c>
      <c r="R5" s="20">
        <f>IFERROR(__xludf.DUMMYFUNCTION("""COMPUTED_VALUE"""),1.4E7)</f>
        <v>14000000</v>
      </c>
      <c r="S5" s="20">
        <f>IFERROR(__xludf.DUMMYFUNCTION("""COMPUTED_VALUE"""),2.0E7)</f>
        <v>20000000</v>
      </c>
      <c r="T5" s="20">
        <f>IFERROR(__xludf.DUMMYFUNCTION("""COMPUTED_VALUE"""),5000000.0)</f>
        <v>5000000</v>
      </c>
      <c r="U5" s="20">
        <f>IFERROR(__xludf.DUMMYFUNCTION("""COMPUTED_VALUE"""),7000000.0)</f>
        <v>7000000</v>
      </c>
      <c r="V5" s="17"/>
      <c r="W5" s="17"/>
      <c r="X5" s="20">
        <f>IFERROR(__xludf.DUMMYFUNCTION("""COMPUTED_VALUE"""),7000000.0)</f>
        <v>7000000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IFERROR(__xludf.DUMMYFUNCTION("""COMPUTED_VALUE"""),"esthernataliaa")</f>
        <v>esthernataliaa</v>
      </c>
      <c r="C6" s="23">
        <f>IFERROR(__xludf.DUMMYFUNCTION("""COMPUTED_VALUE"""),124000.0)</f>
        <v>124000</v>
      </c>
      <c r="D6" s="17" t="str">
        <f>IFERROR(__xludf.DUMMYFUNCTION("""COMPUTED_VALUE"""),"Mid")</f>
        <v>Mid</v>
      </c>
      <c r="E6" s="24" t="str">
        <f>IFERROR(__xludf.DUMMYFUNCTION("""COMPUTED_VALUE"""),"estherlubis")</f>
        <v>estherlubis</v>
      </c>
      <c r="F6" s="23">
        <f>IFERROR(__xludf.DUMMYFUNCTION("""COMPUTED_VALUE"""),972800.0)</f>
        <v>972800</v>
      </c>
      <c r="G6" s="17" t="str">
        <f>IFERROR(__xludf.DUMMYFUNCTION("""COMPUTED_VALUE"""),"Macro")</f>
        <v>Macro</v>
      </c>
      <c r="H6" s="17" t="str">
        <f>IFERROR(__xludf.DUMMYFUNCTION("""COMPUTED_VALUE"""),"Jakarta")</f>
        <v>Jakarta</v>
      </c>
      <c r="I6" s="17" t="str">
        <f>IFERROR(__xludf.DUMMYFUNCTION("""COMPUTED_VALUE"""),"- Education")</f>
        <v>- Education</v>
      </c>
      <c r="J6" s="17"/>
      <c r="K6" s="20">
        <f>IFERROR(__xludf.DUMMYFUNCTION("""COMPUTED_VALUE"""),1000000.0)</f>
        <v>1000000</v>
      </c>
      <c r="L6" s="20">
        <f>IFERROR(__xludf.DUMMYFUNCTION("""COMPUTED_VALUE"""),3000000.0)</f>
        <v>3000000</v>
      </c>
      <c r="M6" s="20" t="str">
        <f>IFERROR(__xludf.DUMMYFUNCTION("""COMPUTED_VALUE"""),"FREE")</f>
        <v>FREE</v>
      </c>
      <c r="N6" s="20">
        <f>IFERROR(__xludf.DUMMYFUNCTION("""COMPUTED_VALUE"""),3000000.0)</f>
        <v>3000000</v>
      </c>
      <c r="O6" s="20">
        <f>IFERROR(__xludf.DUMMYFUNCTION("""COMPUTED_VALUE"""),4500000.0)</f>
        <v>4500000</v>
      </c>
      <c r="P6" s="20">
        <f>IFERROR(__xludf.DUMMYFUNCTION("""COMPUTED_VALUE"""),7000000.0)</f>
        <v>7000000</v>
      </c>
      <c r="Q6" s="20">
        <f>IFERROR(__xludf.DUMMYFUNCTION("""COMPUTED_VALUE"""),1000000.0)</f>
        <v>1000000</v>
      </c>
      <c r="R6" s="20">
        <f>IFERROR(__xludf.DUMMYFUNCTION("""COMPUTED_VALUE"""),1.0E7)</f>
        <v>10000000</v>
      </c>
      <c r="S6" s="17"/>
      <c r="T6" s="20">
        <f>IFERROR(__xludf.DUMMYFUNCTION("""COMPUTED_VALUE"""),8000000.0)</f>
        <v>8000000</v>
      </c>
      <c r="U6" s="21">
        <f>IFERROR(__xludf.DUMMYFUNCTION("""COMPUTED_VALUE"""),0.5)</f>
        <v>0.5</v>
      </c>
      <c r="V6" s="17"/>
      <c r="W6" s="17"/>
      <c r="X6" s="20">
        <f>IFERROR(__xludf.DUMMYFUNCTION("""COMPUTED_VALUE"""),7000000.0)</f>
        <v>7000000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IFERROR(__xludf.DUMMYFUNCTION("""COMPUTED_VALUE"""),"geraldvincentt")</f>
        <v>geraldvincentt</v>
      </c>
      <c r="C7" s="19">
        <f>IFERROR(__xludf.DUMMYFUNCTION("""COMPUTED_VALUE"""),1000000.0)</f>
        <v>1000000</v>
      </c>
      <c r="D7" s="17" t="str">
        <f>IFERROR(__xludf.DUMMYFUNCTION("""COMPUTED_VALUE"""),"Macro")</f>
        <v>Macro</v>
      </c>
      <c r="E7" s="24" t="str">
        <f>IFERROR(__xludf.DUMMYFUNCTION("""COMPUTED_VALUE"""),"geraldvincentt")</f>
        <v>geraldvincentt</v>
      </c>
      <c r="F7" s="19">
        <f>IFERROR(__xludf.DUMMYFUNCTION("""COMPUTED_VALUE"""),8100000.0)</f>
        <v>8100000</v>
      </c>
      <c r="G7" s="17" t="str">
        <f>IFERROR(__xludf.DUMMYFUNCTION("""COMPUTED_VALUE"""),"Mega")</f>
        <v>Mega</v>
      </c>
      <c r="H7" s="17" t="str">
        <f>IFERROR(__xludf.DUMMYFUNCTION("""COMPUTED_VALUE"""),"Jakarta")</f>
        <v>Jakarta</v>
      </c>
      <c r="I7" s="17" t="str">
        <f>IFERROR(__xludf.DUMMYFUNCTION("""COMPUTED_VALUE"""),"Education")</f>
        <v>Education</v>
      </c>
      <c r="J7" s="17"/>
      <c r="K7" s="20">
        <f>IFERROR(__xludf.DUMMYFUNCTION("""COMPUTED_VALUE"""),7000000.0)</f>
        <v>7000000</v>
      </c>
      <c r="L7" s="17"/>
      <c r="M7" s="17"/>
      <c r="N7" s="20">
        <f>IFERROR(__xludf.DUMMYFUNCTION("""COMPUTED_VALUE"""),8500000.0)</f>
        <v>8500000</v>
      </c>
      <c r="O7" s="20">
        <f>IFERROR(__xludf.DUMMYFUNCTION("""COMPUTED_VALUE"""),9500000.0)</f>
        <v>9500000</v>
      </c>
      <c r="P7" s="20">
        <f>IFERROR(__xludf.DUMMYFUNCTION("""COMPUTED_VALUE"""),2.0E7)</f>
        <v>20000000</v>
      </c>
      <c r="Q7" s="20">
        <f>IFERROR(__xludf.DUMMYFUNCTION("""COMPUTED_VALUE"""),5000000.0)</f>
        <v>5000000</v>
      </c>
      <c r="R7" s="20">
        <f>IFERROR(__xludf.DUMMYFUNCTION("""COMPUTED_VALUE"""),2.25E7)</f>
        <v>22500000</v>
      </c>
      <c r="S7" s="17"/>
      <c r="T7" s="20">
        <f>IFERROR(__xludf.DUMMYFUNCTION("""COMPUTED_VALUE"""),2.5E7)</f>
        <v>25000000</v>
      </c>
      <c r="U7" s="17"/>
      <c r="V7" s="17"/>
      <c r="W7" s="17"/>
      <c r="X7" s="17"/>
      <c r="Y7" s="17"/>
    </row>
    <row r="8">
      <c r="A8" s="17">
        <f>IFERROR(__xludf.DUMMYFUNCTION("""COMPUTED_VALUE"""),5.0)</f>
        <v>5</v>
      </c>
      <c r="B8" s="18" t="str">
        <f>IFERROR(__xludf.DUMMYFUNCTION("""COMPUTED_VALUE"""),"raymondchins")</f>
        <v>raymondchins</v>
      </c>
      <c r="C8" s="19">
        <f>IFERROR(__xludf.DUMMYFUNCTION("""COMPUTED_VALUE"""),1000000.0)</f>
        <v>1000000</v>
      </c>
      <c r="D8" s="17" t="str">
        <f>IFERROR(__xludf.DUMMYFUNCTION("""COMPUTED_VALUE"""),"Macro")</f>
        <v>Macro</v>
      </c>
      <c r="E8" s="24" t="str">
        <f>IFERROR(__xludf.DUMMYFUNCTION("""COMPUTED_VALUE"""),"raymondchins")</f>
        <v>raymondchins</v>
      </c>
      <c r="F8" s="19">
        <f>IFERROR(__xludf.DUMMYFUNCTION("""COMPUTED_VALUE"""),2200000.0)</f>
        <v>2200000</v>
      </c>
      <c r="G8" s="17" t="str">
        <f>IFERROR(__xludf.DUMMYFUNCTION("""COMPUTED_VALUE"""),"Mega")</f>
        <v>Mega</v>
      </c>
      <c r="H8" s="17" t="str">
        <f>IFERROR(__xludf.DUMMYFUNCTION("""COMPUTED_VALUE"""),"Jakarta")</f>
        <v>Jakarta</v>
      </c>
      <c r="I8" s="17" t="str">
        <f>IFERROR(__xludf.DUMMYFUNCTION("""COMPUTED_VALUE"""),"Education")</f>
        <v>Education</v>
      </c>
      <c r="J8" s="17"/>
      <c r="K8" s="20">
        <f>IFERROR(__xludf.DUMMYFUNCTION("""COMPUTED_VALUE"""),1.2E7)</f>
        <v>12000000</v>
      </c>
      <c r="L8" s="20">
        <f>IFERROR(__xludf.DUMMYFUNCTION("""COMPUTED_VALUE"""),3.5E7)</f>
        <v>35000000</v>
      </c>
      <c r="M8" s="17"/>
      <c r="N8" s="20">
        <f>IFERROR(__xludf.DUMMYFUNCTION("""COMPUTED_VALUE"""),5.0E7)</f>
        <v>50000000</v>
      </c>
      <c r="O8" s="20">
        <f>IFERROR(__xludf.DUMMYFUNCTION("""COMPUTED_VALUE"""),6.0E7)</f>
        <v>60000000</v>
      </c>
      <c r="P8" s="20">
        <f>IFERROR(__xludf.DUMMYFUNCTION("""COMPUTED_VALUE"""),5.5E7)</f>
        <v>55000000</v>
      </c>
      <c r="Q8" s="20">
        <f>IFERROR(__xludf.DUMMYFUNCTION("""COMPUTED_VALUE"""),2.75E7)</f>
        <v>27500000</v>
      </c>
      <c r="R8" s="20">
        <f>IFERROR(__xludf.DUMMYFUNCTION("""COMPUTED_VALUE"""),4.0E7)</f>
        <v>40000000</v>
      </c>
      <c r="S8" s="20">
        <f>IFERROR(__xludf.DUMMYFUNCTION("""COMPUTED_VALUE"""),2.75E7)</f>
        <v>27500000</v>
      </c>
      <c r="T8" s="17"/>
      <c r="U8" s="17"/>
      <c r="V8" s="17"/>
      <c r="W8" s="20">
        <f>IFERROR(__xludf.DUMMYFUNCTION("""COMPUTED_VALUE"""),1.5E7)</f>
        <v>15000000</v>
      </c>
      <c r="X8" s="20">
        <f>IFERROR(__xludf.DUMMYFUNCTION("""COMPUTED_VALUE"""),5.5E7)</f>
        <v>55000000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IFERROR(__xludf.DUMMYFUNCTION("""COMPUTED_VALUE"""),"jeromepolin")</f>
        <v>jeromepolin</v>
      </c>
      <c r="C9" s="19">
        <f>IFERROR(__xludf.DUMMYFUNCTION("""COMPUTED_VALUE"""),9500000.0)</f>
        <v>9500000</v>
      </c>
      <c r="D9" s="20" t="str">
        <f>IFERROR(__xludf.DUMMYFUNCTION("""COMPUTED_VALUE"""),"Mega")</f>
        <v>Mega</v>
      </c>
      <c r="E9" s="24" t="str">
        <f>IFERROR(__xludf.DUMMYFUNCTION("""COMPUTED_VALUE"""),"jeromepolin98")</f>
        <v>jeromepolin98</v>
      </c>
      <c r="F9" s="19">
        <f>IFERROR(__xludf.DUMMYFUNCTION("""COMPUTED_VALUE"""),6800000.0)</f>
        <v>6800000</v>
      </c>
      <c r="G9" s="20" t="str">
        <f>IFERROR(__xludf.DUMMYFUNCTION("""COMPUTED_VALUE"""),"Mega")</f>
        <v>Mega</v>
      </c>
      <c r="H9" s="17" t="str">
        <f>IFERROR(__xludf.DUMMYFUNCTION("""COMPUTED_VALUE"""),"Jakarta")</f>
        <v>Jakarta</v>
      </c>
      <c r="I9" s="17" t="str">
        <f>IFERROR(__xludf.DUMMYFUNCTION("""COMPUTED_VALUE"""),"- Lifestyle Male 
- Education")</f>
        <v>- Lifestyle Male 
- Education</v>
      </c>
      <c r="J9" s="17"/>
      <c r="K9" s="20">
        <f>IFERROR(__xludf.DUMMYFUNCTION("""COMPUTED_VALUE"""),1.5E7)</f>
        <v>15000000</v>
      </c>
      <c r="L9" s="20">
        <f>IFERROR(__xludf.DUMMYFUNCTION("""COMPUTED_VALUE"""),3.5E7)</f>
        <v>35000000</v>
      </c>
      <c r="M9" s="17"/>
      <c r="N9" s="20">
        <f>IFERROR(__xludf.DUMMYFUNCTION("""COMPUTED_VALUE"""),6.5E7)</f>
        <v>65000000</v>
      </c>
      <c r="O9" s="17"/>
      <c r="P9" s="20">
        <f>IFERROR(__xludf.DUMMYFUNCTION("""COMPUTED_VALUE"""),9.0E7)</f>
        <v>90000000</v>
      </c>
      <c r="Q9" s="17"/>
      <c r="R9" s="20">
        <f>IFERROR(__xludf.DUMMYFUNCTION("""COMPUTED_VALUE"""),7.0E7)</f>
        <v>70000000</v>
      </c>
      <c r="S9" s="20">
        <f>IFERROR(__xludf.DUMMYFUNCTION("""COMPUTED_VALUE"""),1.25E8)</f>
        <v>125000000</v>
      </c>
      <c r="T9" s="20">
        <f>IFERROR(__xludf.DUMMYFUNCTION("""COMPUTED_VALUE"""),6.5E7)</f>
        <v>65000000</v>
      </c>
      <c r="U9" s="17"/>
      <c r="V9" s="17"/>
      <c r="W9" s="17"/>
      <c r="X9" s="17"/>
      <c r="Y9" s="17"/>
    </row>
    <row r="10">
      <c r="A10" s="17">
        <f>IFERROR(__xludf.DUMMYFUNCTION("""COMPUTED_VALUE"""),7.0)</f>
        <v>7</v>
      </c>
      <c r="B10" s="18" t="str">
        <f>IFERROR(__xludf.DUMMYFUNCTION("""COMPUTED_VALUE"""),"jerhemynemo")</f>
        <v>jerhemynemo</v>
      </c>
      <c r="C10" s="19">
        <f>IFERROR(__xludf.DUMMYFUNCTION("""COMPUTED_VALUE"""),2000000.0)</f>
        <v>2000000</v>
      </c>
      <c r="D10" s="20" t="str">
        <f>IFERROR(__xludf.DUMMYFUNCTION("""COMPUTED_VALUE"""),"Mega")</f>
        <v>Mega</v>
      </c>
      <c r="E10" s="24" t="str">
        <f>IFERROR(__xludf.DUMMYFUNCTION("""COMPUTED_VALUE"""),"jerhemynemoo")</f>
        <v>jerhemynemoo</v>
      </c>
      <c r="F10" s="19">
        <f>IFERROR(__xludf.DUMMYFUNCTION("""COMPUTED_VALUE"""),5000000.0)</f>
        <v>5000000</v>
      </c>
      <c r="G10" s="20" t="str">
        <f>IFERROR(__xludf.DUMMYFUNCTION("""COMPUTED_VALUE"""),"Mega")</f>
        <v>Mega</v>
      </c>
      <c r="H10" s="17" t="str">
        <f>IFERROR(__xludf.DUMMYFUNCTION("""COMPUTED_VALUE"""),"Indonesia")</f>
        <v>Indonesia</v>
      </c>
      <c r="I10" s="17" t="str">
        <f>IFERROR(__xludf.DUMMYFUNCTION("""COMPUTED_VALUE"""),"- Lifestyle Male 
- Education")</f>
        <v>- Lifestyle Male 
- Education</v>
      </c>
      <c r="J10" s="17"/>
      <c r="K10" s="20">
        <f>IFERROR(__xludf.DUMMYFUNCTION("""COMPUTED_VALUE"""),5500000.0)</f>
        <v>5500000</v>
      </c>
      <c r="L10" s="20">
        <f>IFERROR(__xludf.DUMMYFUNCTION("""COMPUTED_VALUE"""),1.05E7)</f>
        <v>10500000</v>
      </c>
      <c r="M10" s="17"/>
      <c r="N10" s="17"/>
      <c r="O10" s="20">
        <f>IFERROR(__xludf.DUMMYFUNCTION("""COMPUTED_VALUE"""),1.4E7)</f>
        <v>14000000</v>
      </c>
      <c r="P10" s="20">
        <f>IFERROR(__xludf.DUMMYFUNCTION("""COMPUTED_VALUE"""),2.75E7)</f>
        <v>27500000</v>
      </c>
      <c r="Q10" s="17"/>
      <c r="R10" s="20">
        <f>IFERROR(__xludf.DUMMYFUNCTION("""COMPUTED_VALUE"""),3.0E7)</f>
        <v>30000000</v>
      </c>
      <c r="S10" s="20">
        <f>IFERROR(__xludf.DUMMYFUNCTION("""COMPUTED_VALUE"""),3.85E7)</f>
        <v>38500000</v>
      </c>
      <c r="T10" s="20">
        <f>IFERROR(__xludf.DUMMYFUNCTION("""COMPUTED_VALUE"""),9500000.0)</f>
        <v>9500000</v>
      </c>
      <c r="U10" s="17"/>
      <c r="V10" s="17"/>
      <c r="W10" s="20">
        <f>IFERROR(__xludf.DUMMYFUNCTION("""COMPUTED_VALUE"""),3500000.0)</f>
        <v>3500000</v>
      </c>
      <c r="X10" s="17"/>
      <c r="Y10" s="17"/>
    </row>
    <row r="11">
      <c r="A11" s="17">
        <f>IFERROR(__xludf.DUMMYFUNCTION("""COMPUTED_VALUE"""),8.0)</f>
        <v>8</v>
      </c>
      <c r="B11" s="18" t="str">
        <f>IFERROR(__xludf.DUMMYFUNCTION("""COMPUTED_VALUE"""),"ekidarehanf")</f>
        <v>ekidarehanf</v>
      </c>
      <c r="C11" s="23">
        <f>IFERROR(__xludf.DUMMYFUNCTION("""COMPUTED_VALUE"""),414000.0)</f>
        <v>414000</v>
      </c>
      <c r="D11" s="20" t="str">
        <f>IFERROR(__xludf.DUMMYFUNCTION("""COMPUTED_VALUE"""),"Mid")</f>
        <v>Mid</v>
      </c>
      <c r="E11" s="24" t="str">
        <f>IFERROR(__xludf.DUMMYFUNCTION("""COMPUTED_VALUE"""),"ekidarehanf")</f>
        <v>ekidarehanf</v>
      </c>
      <c r="F11" s="19">
        <f>IFERROR(__xludf.DUMMYFUNCTION("""COMPUTED_VALUE"""),1400000.0)</f>
        <v>1400000</v>
      </c>
      <c r="G11" s="20" t="str">
        <f>IFERROR(__xludf.DUMMYFUNCTION("""COMPUTED_VALUE"""),"Mega")</f>
        <v>Mega</v>
      </c>
      <c r="H11" s="17" t="str">
        <f>IFERROR(__xludf.DUMMYFUNCTION("""COMPUTED_VALUE"""),"Indonesia")</f>
        <v>Indonesia</v>
      </c>
      <c r="I11" s="17" t="str">
        <f>IFERROR(__xludf.DUMMYFUNCTION("""COMPUTED_VALUE"""),"Health &amp; Sport, Education")</f>
        <v>Health &amp; Sport, Education</v>
      </c>
      <c r="J11" s="17"/>
      <c r="K11" s="20">
        <f>IFERROR(__xludf.DUMMYFUNCTION("""COMPUTED_VALUE"""),5500000.0)</f>
        <v>5500000</v>
      </c>
      <c r="L11" s="20">
        <f>IFERROR(__xludf.DUMMYFUNCTION("""COMPUTED_VALUE"""),1.2E7)</f>
        <v>12000000</v>
      </c>
      <c r="M11" s="17"/>
      <c r="N11" s="20">
        <f>IFERROR(__xludf.DUMMYFUNCTION("""COMPUTED_VALUE"""),9000000.0)</f>
        <v>9000000</v>
      </c>
      <c r="O11" s="17"/>
      <c r="P11" s="20">
        <f>IFERROR(__xludf.DUMMYFUNCTION("""COMPUTED_VALUE"""),1.65E7)</f>
        <v>16500000</v>
      </c>
      <c r="Q11" s="17"/>
      <c r="R11" s="20">
        <f>IFERROR(__xludf.DUMMYFUNCTION("""COMPUTED_VALUE"""),1.7E7)</f>
        <v>17000000</v>
      </c>
      <c r="S11" s="20">
        <f>IFERROR(__xludf.DUMMYFUNCTION("""COMPUTED_VALUE"""),2.25E7)</f>
        <v>22500000</v>
      </c>
      <c r="T11" s="20">
        <f>IFERROR(__xludf.DUMMYFUNCTION("""COMPUTED_VALUE"""),7500000.0)</f>
        <v>7500000</v>
      </c>
      <c r="U11" s="17"/>
      <c r="V11" s="17"/>
      <c r="W11" s="17"/>
      <c r="X11" s="17"/>
      <c r="Y11" s="17"/>
    </row>
    <row r="12">
      <c r="A12" s="27"/>
      <c r="B12" s="33" t="str">
        <f>IFERROR(__xludf.DUMMYFUNCTION("""COMPUTED_VALUE"""),"farhanfirms")</f>
        <v>farhanfirms</v>
      </c>
      <c r="C12" s="34">
        <f>IFERROR(__xludf.DUMMYFUNCTION("""COMPUTED_VALUE"""),279000.0)</f>
        <v>279000</v>
      </c>
      <c r="D12" s="35" t="str">
        <f>IFERROR(__xludf.DUMMYFUNCTION("""COMPUTED_VALUE"""),"Mid")</f>
        <v>Mid</v>
      </c>
      <c r="E12" s="36" t="str">
        <f>IFERROR(__xludf.DUMMYFUNCTION("""COMPUTED_VALUE"""),"farhanfirms")</f>
        <v>farhanfirms</v>
      </c>
      <c r="F12" s="34">
        <f>IFERROR(__xludf.DUMMYFUNCTION("""COMPUTED_VALUE"""),628300.0)</f>
        <v>628300</v>
      </c>
      <c r="G12" s="35" t="str">
        <f>IFERROR(__xludf.DUMMYFUNCTION("""COMPUTED_VALUE"""),"Macro")</f>
        <v>Macro</v>
      </c>
      <c r="H12" s="27" t="str">
        <f>IFERROR(__xludf.DUMMYFUNCTION("""COMPUTED_VALUE"""),"Indonesia")</f>
        <v>Indonesia</v>
      </c>
      <c r="I12" s="27" t="str">
        <f>IFERROR(__xludf.DUMMYFUNCTION("""COMPUTED_VALUE"""),"Health &amp; Sport, Education")</f>
        <v>Health &amp; Sport, Education</v>
      </c>
      <c r="J12" s="27"/>
      <c r="K12" s="35">
        <f>IFERROR(__xludf.DUMMYFUNCTION("""COMPUTED_VALUE"""),3500000.0)</f>
        <v>3500000</v>
      </c>
      <c r="L12" s="35">
        <f>IFERROR(__xludf.DUMMYFUNCTION("""COMPUTED_VALUE"""),500000.0)</f>
        <v>500000</v>
      </c>
      <c r="M12" s="27"/>
      <c r="N12" s="35">
        <f>IFERROR(__xludf.DUMMYFUNCTION("""COMPUTED_VALUE"""),5000000.0)</f>
        <v>5000000</v>
      </c>
      <c r="O12" s="27"/>
      <c r="P12" s="35">
        <f>IFERROR(__xludf.DUMMYFUNCTION("""COMPUTED_VALUE"""),6000000.0)</f>
        <v>6000000</v>
      </c>
      <c r="Q12" s="27"/>
      <c r="R12" s="35">
        <f>IFERROR(__xludf.DUMMYFUNCTION("""COMPUTED_VALUE"""),7000000.0)</f>
        <v>7000000</v>
      </c>
      <c r="S12" s="35">
        <f>IFERROR(__xludf.DUMMYFUNCTION("""COMPUTED_VALUE"""),8500000.0)</f>
        <v>8500000</v>
      </c>
      <c r="T12" s="35">
        <f>IFERROR(__xludf.DUMMYFUNCTION("""COMPUTED_VALUE"""),5000000.0)</f>
        <v>5000000</v>
      </c>
      <c r="U12" s="27"/>
      <c r="V12" s="27"/>
      <c r="W12" s="35">
        <f>IFERROR(__xludf.DUMMYFUNCTION("""COMPUTED_VALUE"""),2000000.0)</f>
        <v>2000000</v>
      </c>
      <c r="X12" s="27"/>
      <c r="Y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12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</hyperlinks>
  <drawing r:id="rId19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""Entrepreneur!A4:Y999"")"),1.0)</f>
        <v>1</v>
      </c>
      <c r="B4" s="18" t="str">
        <f>IFERROR(__xludf.DUMMYFUNCTION("""COMPUTED_VALUE"""),"frdhuha")</f>
        <v>frdhuha</v>
      </c>
      <c r="C4" s="23">
        <f>IFERROR(__xludf.DUMMYFUNCTION("""COMPUTED_VALUE"""),188000.0)</f>
        <v>188000</v>
      </c>
      <c r="D4" s="17" t="str">
        <f>IFERROR(__xludf.DUMMYFUNCTION("""COMPUTED_VALUE"""),"Mid")</f>
        <v>Mid</v>
      </c>
      <c r="E4" s="18" t="str">
        <f>IFERROR(__xludf.DUMMYFUNCTION("""COMPUTED_VALUE"""),"faridahuha")</f>
        <v>faridahuha</v>
      </c>
      <c r="F4" s="19">
        <f>IFERROR(__xludf.DUMMYFUNCTION("""COMPUTED_VALUE"""),3800000.0)</f>
        <v>3800000</v>
      </c>
      <c r="G4" s="17" t="str">
        <f>IFERROR(__xludf.DUMMYFUNCTION("""COMPUTED_VALUE"""),"Mega")</f>
        <v>Mega</v>
      </c>
      <c r="H4" s="17" t="str">
        <f>IFERROR(__xludf.DUMMYFUNCTION("""COMPUTED_VALUE"""),"Jakarta")</f>
        <v>Jakarta</v>
      </c>
      <c r="I4" s="17" t="str">
        <f>IFERROR(__xludf.DUMMYFUNCTION("""COMPUTED_VALUE"""),"- Lifestyle Female 
- Pasutri
- Entrepreneur")</f>
        <v>- Lifestyle Female 
- Pasutri
- Entrepreneur</v>
      </c>
      <c r="J4" s="17"/>
      <c r="K4" s="20">
        <f>IFERROR(__xludf.DUMMYFUNCTION("""COMPUTED_VALUE"""),1000000.0)</f>
        <v>1000000</v>
      </c>
      <c r="L4" s="17"/>
      <c r="M4" s="20" t="str">
        <f>IFERROR(__xludf.DUMMYFUNCTION("""COMPUTED_VALUE"""),"FREE")</f>
        <v>FREE</v>
      </c>
      <c r="N4" s="17"/>
      <c r="O4" s="17"/>
      <c r="P4" s="20">
        <f>IFERROR(__xludf.DUMMYFUNCTION("""COMPUTED_VALUE"""),5000000.0)</f>
        <v>5000000</v>
      </c>
      <c r="Q4" s="17"/>
      <c r="R4" s="20">
        <f>IFERROR(__xludf.DUMMYFUNCTION("""COMPUTED_VALUE"""),1.5E7)</f>
        <v>15000000</v>
      </c>
      <c r="S4" s="20">
        <f>IFERROR(__xludf.DUMMYFUNCTION("""COMPUTED_VALUE"""),500000.0)</f>
        <v>500000</v>
      </c>
      <c r="T4" s="17"/>
      <c r="U4" s="17"/>
      <c r="V4" s="20" t="str">
        <f>IFERROR(__xludf.DUMMYFUNCTION("""COMPUTED_VALUE"""),"FREE")</f>
        <v>FREE</v>
      </c>
      <c r="W4" s="20">
        <f>IFERROR(__xludf.DUMMYFUNCTION("""COMPUTED_VALUE"""),500000.0)</f>
        <v>500000</v>
      </c>
      <c r="X4" s="20">
        <f>IFERROR(__xludf.DUMMYFUNCTION("""COMPUTED_VALUE"""),1.5E7)</f>
        <v>15000000</v>
      </c>
      <c r="Y4" s="17"/>
    </row>
    <row r="5">
      <c r="A5" s="17">
        <f>IFERROR(__xludf.DUMMYFUNCTION("""COMPUTED_VALUE"""),2.0)</f>
        <v>2</v>
      </c>
      <c r="B5" s="18" t="str">
        <f>IFERROR(__xludf.DUMMYFUNCTION("""COMPUTED_VALUE"""),"jehianps")</f>
        <v>jehianps</v>
      </c>
      <c r="C5" s="23">
        <f>IFERROR(__xludf.DUMMYFUNCTION("""COMPUTED_VALUE"""),614000.0)</f>
        <v>614000</v>
      </c>
      <c r="D5" s="20" t="str">
        <f>IFERROR(__xludf.DUMMYFUNCTION("""COMPUTED_VALUE"""),"Macro")</f>
        <v>Macro</v>
      </c>
      <c r="E5" s="24" t="str">
        <f>IFERROR(__xludf.DUMMYFUNCTION("""COMPUTED_VALUE"""),"jehianps")</f>
        <v>jehianps</v>
      </c>
      <c r="F5" s="23">
        <f>IFERROR(__xludf.DUMMYFUNCTION("""COMPUTED_VALUE"""),301800.0)</f>
        <v>301800</v>
      </c>
      <c r="G5" s="20" t="str">
        <f>IFERROR(__xludf.DUMMYFUNCTION("""COMPUTED_VALUE"""),"Mid")</f>
        <v>Mid</v>
      </c>
      <c r="H5" s="17" t="str">
        <f>IFERROR(__xludf.DUMMYFUNCTION("""COMPUTED_VALUE"""),"Jakarta")</f>
        <v>Jakarta</v>
      </c>
      <c r="I5" s="17" t="str">
        <f>IFERROR(__xludf.DUMMYFUNCTION("""COMPUTED_VALUE"""),"- Entrepreneur
- Lifestyle Male")</f>
        <v>- Entrepreneur
- Lifestyle Male</v>
      </c>
      <c r="J5" s="17"/>
      <c r="K5" s="20">
        <f>IFERROR(__xludf.DUMMYFUNCTION("""COMPUTED_VALUE"""),4000000.0)</f>
        <v>4000000</v>
      </c>
      <c r="L5" s="20">
        <f>IFERROR(__xludf.DUMMYFUNCTION("""COMPUTED_VALUE"""),1.0E7)</f>
        <v>10000000</v>
      </c>
      <c r="M5" s="17"/>
      <c r="N5" s="20">
        <f>IFERROR(__xludf.DUMMYFUNCTION("""COMPUTED_VALUE"""),1.5E7)</f>
        <v>15000000</v>
      </c>
      <c r="O5" s="20">
        <f>IFERROR(__xludf.DUMMYFUNCTION("""COMPUTED_VALUE"""),2.0E7)</f>
        <v>20000000</v>
      </c>
      <c r="P5" s="20">
        <f>IFERROR(__xludf.DUMMYFUNCTION("""COMPUTED_VALUE"""),2.0E7)</f>
        <v>20000000</v>
      </c>
      <c r="Q5" s="17"/>
      <c r="R5" s="20">
        <f>IFERROR(__xludf.DUMMYFUNCTION("""COMPUTED_VALUE"""),1.25E7)</f>
        <v>12500000</v>
      </c>
      <c r="S5" s="20">
        <f>IFERROR(__xludf.DUMMYFUNCTION("""COMPUTED_VALUE"""),2.55E7)</f>
        <v>25500000</v>
      </c>
      <c r="T5" s="20">
        <f>IFERROR(__xludf.DUMMYFUNCTION("""COMPUTED_VALUE"""),1.5E7)</f>
        <v>15000000</v>
      </c>
      <c r="U5" s="17"/>
      <c r="V5" s="17"/>
      <c r="W5" s="17"/>
      <c r="X5" s="20" t="str">
        <f>IFERROR(__xludf.DUMMYFUNCTION("""COMPUTED_VALUE"""),"Rp 45,000,000 - Rp 54,500,000")</f>
        <v>Rp 45,000,000 - Rp 54,500,000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IFERROR(__xludf.DUMMYFUNCTION("""COMPUTED_VALUE"""),"@yolanyoo")</f>
        <v>@yolanyoo</v>
      </c>
      <c r="C6" s="23">
        <f>IFERROR(__xludf.DUMMYFUNCTION("""COMPUTED_VALUE"""),71900.0)</f>
        <v>71900</v>
      </c>
      <c r="D6" s="17" t="str">
        <f>IFERROR(__xludf.DUMMYFUNCTION("""COMPUTED_VALUE"""),"Micro")</f>
        <v>Micro</v>
      </c>
      <c r="E6" s="18" t="str">
        <f>IFERROR(__xludf.DUMMYFUNCTION("""COMPUTED_VALUE"""),"@yolanyoo")</f>
        <v>@yolanyoo</v>
      </c>
      <c r="F6" s="23">
        <f>IFERROR(__xludf.DUMMYFUNCTION("""COMPUTED_VALUE"""),171700.0)</f>
        <v>171700</v>
      </c>
      <c r="G6" s="17" t="str">
        <f>IFERROR(__xludf.DUMMYFUNCTION("""COMPUTED_VALUE"""),"Mid")</f>
        <v>Mid</v>
      </c>
      <c r="H6" s="17" t="str">
        <f>IFERROR(__xludf.DUMMYFUNCTION("""COMPUTED_VALUE"""),"Yogyakarta")</f>
        <v>Yogyakarta</v>
      </c>
      <c r="I6" s="17" t="str">
        <f>IFERROR(__xludf.DUMMYFUNCTION("""COMPUTED_VALUE"""),"Entrepreneur")</f>
        <v>Entrepreneur</v>
      </c>
      <c r="J6" s="17"/>
      <c r="K6" s="20">
        <f>IFERROR(__xludf.DUMMYFUNCTION("""COMPUTED_VALUE"""),1500000.0)</f>
        <v>1500000</v>
      </c>
      <c r="L6" s="17"/>
      <c r="M6" s="17"/>
      <c r="N6" s="20">
        <f>IFERROR(__xludf.DUMMYFUNCTION("""COMPUTED_VALUE"""),2000000.0)</f>
        <v>2000000</v>
      </c>
      <c r="O6" s="17"/>
      <c r="P6" s="20">
        <f>IFERROR(__xludf.DUMMYFUNCTION("""COMPUTED_VALUE"""),3000000.0)</f>
        <v>3000000</v>
      </c>
      <c r="Q6" s="17"/>
      <c r="R6" s="20">
        <f>IFERROR(__xludf.DUMMYFUNCTION("""COMPUTED_VALUE"""),3000000.0)</f>
        <v>3000000</v>
      </c>
      <c r="S6" s="20">
        <f>IFERROR(__xludf.DUMMYFUNCTION("""COMPUTED_VALUE"""),4000000.0)</f>
        <v>4000000</v>
      </c>
      <c r="T6" s="17"/>
      <c r="U6" s="17"/>
      <c r="V6" s="17"/>
      <c r="W6" s="17"/>
      <c r="X6" s="17"/>
      <c r="Y6" s="17"/>
    </row>
    <row r="7">
      <c r="A7" s="17">
        <f>IFERROR(__xludf.DUMMYFUNCTION("""COMPUTED_VALUE"""),4.0)</f>
        <v>4</v>
      </c>
      <c r="B7" s="18" t="str">
        <f>IFERROR(__xludf.DUMMYFUNCTION("""COMPUTED_VALUE"""),"renaldfadli")</f>
        <v>renaldfadli</v>
      </c>
      <c r="C7" s="19">
        <f>IFERROR(__xludf.DUMMYFUNCTION("""COMPUTED_VALUE"""),1900000.0)</f>
        <v>1900000</v>
      </c>
      <c r="D7" s="17" t="str">
        <f>IFERROR(__xludf.DUMMYFUNCTION("""COMPUTED_VALUE"""),"Mega")</f>
        <v>Mega</v>
      </c>
      <c r="E7" s="24" t="str">
        <f>IFERROR(__xludf.DUMMYFUNCTION("""COMPUTED_VALUE"""),"mahasiswagendut")</f>
        <v>mahasiswagendut</v>
      </c>
      <c r="F7" s="19">
        <f>IFERROR(__xludf.DUMMYFUNCTION("""COMPUTED_VALUE"""),3300000.0)</f>
        <v>3300000</v>
      </c>
      <c r="G7" s="17" t="str">
        <f>IFERROR(__xludf.DUMMYFUNCTION("""COMPUTED_VALUE"""),"Mega")</f>
        <v>Mega</v>
      </c>
      <c r="H7" s="17" t="str">
        <f>IFERROR(__xludf.DUMMYFUNCTION("""COMPUTED_VALUE"""),"Jakarta")</f>
        <v>Jakarta</v>
      </c>
      <c r="I7" s="17" t="str">
        <f>IFERROR(__xludf.DUMMYFUNCTION("""COMPUTED_VALUE"""),"- FnB
- Lifestyle Male
- Entrepreneur")</f>
        <v>- FnB
- Lifestyle Male
- Entrepreneur</v>
      </c>
      <c r="J7" s="17"/>
      <c r="K7" s="17"/>
      <c r="L7" s="20">
        <f>IFERROR(__xludf.DUMMYFUNCTION("""COMPUTED_VALUE"""),8000000.0)</f>
        <v>8000000</v>
      </c>
      <c r="M7" s="17"/>
      <c r="N7" s="17"/>
      <c r="O7" s="20">
        <f>IFERROR(__xludf.DUMMYFUNCTION("""COMPUTED_VALUE"""),1.2E7)</f>
        <v>12000000</v>
      </c>
      <c r="P7" s="20">
        <f>IFERROR(__xludf.DUMMYFUNCTION("""COMPUTED_VALUE"""),1.5E7)</f>
        <v>15000000</v>
      </c>
      <c r="Q7" s="17"/>
      <c r="R7" s="20">
        <f>IFERROR(__xludf.DUMMYFUNCTION("""COMPUTED_VALUE"""),1.7E7)</f>
        <v>17000000</v>
      </c>
      <c r="S7" s="20">
        <f>IFERROR(__xludf.DUMMYFUNCTION("""COMPUTED_VALUE"""),2.6E7)</f>
        <v>26000000</v>
      </c>
      <c r="T7" s="17"/>
      <c r="U7" s="20">
        <f>IFERROR(__xludf.DUMMYFUNCTION("""COMPUTED_VALUE"""),1.0E7)</f>
        <v>10000000</v>
      </c>
      <c r="V7" s="20">
        <f>IFERROR(__xludf.DUMMYFUNCTION("""COMPUTED_VALUE"""),1000000.0)</f>
        <v>1000000</v>
      </c>
      <c r="W7" s="17"/>
      <c r="X7" s="20">
        <f>IFERROR(__xludf.DUMMYFUNCTION("""COMPUTED_VALUE"""),4000000.0)</f>
        <v>4000000</v>
      </c>
      <c r="Y7" s="17"/>
    </row>
    <row r="8">
      <c r="A8" s="27">
        <f>IFERROR(__xludf.DUMMYFUNCTION("""COMPUTED_VALUE"""),5.0)</f>
        <v>5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08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</hyperlinks>
  <drawing r:id="rId9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""Gaming!A4:Y999"")"),1.0)</f>
        <v>1</v>
      </c>
      <c r="B4" s="18" t="str">
        <f>IFERROR(__xludf.DUMMYFUNCTION("""COMPUTED_VALUE"""),"apiipp")</f>
        <v>apiipp</v>
      </c>
      <c r="C4" s="19">
        <f>IFERROR(__xludf.DUMMYFUNCTION("""COMPUTED_VALUE"""),1900000.0)</f>
        <v>1900000</v>
      </c>
      <c r="D4" s="17" t="str">
        <f>IFERROR(__xludf.DUMMYFUNCTION("""COMPUTED_VALUE"""),"Mega")</f>
        <v>Mega</v>
      </c>
      <c r="E4" s="18" t="str">
        <f>IFERROR(__xludf.DUMMYFUNCTION("""COMPUTED_VALUE"""),"apiipp1294")</f>
        <v>apiipp1294</v>
      </c>
      <c r="F4" s="19">
        <f>IFERROR(__xludf.DUMMYFUNCTION("""COMPUTED_VALUE"""),1300000.0)</f>
        <v>1300000</v>
      </c>
      <c r="G4" s="17" t="str">
        <f>IFERROR(__xludf.DUMMYFUNCTION("""COMPUTED_VALUE"""),"Mega")</f>
        <v>Mega</v>
      </c>
      <c r="H4" s="17" t="str">
        <f>IFERROR(__xludf.DUMMYFUNCTION("""COMPUTED_VALUE"""),"Jakarta")</f>
        <v>Jakarta</v>
      </c>
      <c r="I4" s="17" t="str">
        <f>IFERROR(__xludf.DUMMYFUNCTION("""COMPUTED_VALUE"""),"- Lifestlye Male
- Gaming
- Family")</f>
        <v>- Lifestlye Male
- Gaming
- Family</v>
      </c>
      <c r="J4" s="17"/>
      <c r="K4" s="20">
        <f>IFERROR(__xludf.DUMMYFUNCTION("""COMPUTED_VALUE"""),5000000.0)</f>
        <v>5000000</v>
      </c>
      <c r="L4" s="20">
        <f>IFERROR(__xludf.DUMMYFUNCTION("""COMPUTED_VALUE"""),9000000.0)</f>
        <v>9000000</v>
      </c>
      <c r="M4" s="17"/>
      <c r="N4" s="20">
        <f>IFERROR(__xludf.DUMMYFUNCTION("""COMPUTED_VALUE"""),1.2E7)</f>
        <v>12000000</v>
      </c>
      <c r="O4" s="17"/>
      <c r="P4" s="20">
        <f>IFERROR(__xludf.DUMMYFUNCTION("""COMPUTED_VALUE"""),2.5E7)</f>
        <v>25000000</v>
      </c>
      <c r="Q4" s="20" t="str">
        <f>IFERROR(__xludf.DUMMYFUNCTION("""COMPUTED_VALUE"""),"FREE")</f>
        <v>FREE</v>
      </c>
      <c r="R4" s="20">
        <f>IFERROR(__xludf.DUMMYFUNCTION("""COMPUTED_VALUE"""),1.5E7)</f>
        <v>15000000</v>
      </c>
      <c r="S4" s="20">
        <f>IFERROR(__xludf.DUMMYFUNCTION("""COMPUTED_VALUE"""),3.0E7)</f>
        <v>30000000</v>
      </c>
      <c r="T4" s="17"/>
      <c r="U4" s="21">
        <f>IFERROR(__xludf.DUMMYFUNCTION("""COMPUTED_VALUE"""),1.0)</f>
        <v>1</v>
      </c>
      <c r="V4" s="21">
        <f>IFERROR(__xludf.DUMMYFUNCTION("""COMPUTED_VALUE"""),0.3)</f>
        <v>0.3</v>
      </c>
      <c r="W4" s="17"/>
      <c r="X4" s="17"/>
      <c r="Y4" s="17"/>
    </row>
    <row r="5">
      <c r="A5" s="17">
        <f>IFERROR(__xludf.DUMMYFUNCTION("""COMPUTED_VALUE"""),2.0)</f>
        <v>2</v>
      </c>
      <c r="B5" s="18" t="str">
        <f>IFERROR(__xludf.DUMMYFUNCTION("""COMPUTED_VALUE"""),"fandidk")</f>
        <v>fandidk</v>
      </c>
      <c r="C5" s="23">
        <f>IFERROR(__xludf.DUMMYFUNCTION("""COMPUTED_VALUE"""),267000.0)</f>
        <v>267000</v>
      </c>
      <c r="D5" s="17" t="str">
        <f>IFERROR(__xludf.DUMMYFUNCTION("""COMPUTED_VALUE"""),"Mid")</f>
        <v>Mid</v>
      </c>
      <c r="E5" s="18" t="str">
        <f>IFERROR(__xludf.DUMMYFUNCTION("""COMPUTED_VALUE"""),"fandidk6")</f>
        <v>fandidk6</v>
      </c>
      <c r="F5" s="23">
        <f>IFERROR(__xludf.DUMMYFUNCTION("""COMPUTED_VALUE"""),110400.0)</f>
        <v>110400</v>
      </c>
      <c r="G5" s="17" t="str">
        <f>IFERROR(__xludf.DUMMYFUNCTION("""COMPUTED_VALUE"""),"Mid")</f>
        <v>Mid</v>
      </c>
      <c r="H5" s="17" t="str">
        <f>IFERROR(__xludf.DUMMYFUNCTION("""COMPUTED_VALUE"""),"Bandung &amp; Jakarta")</f>
        <v>Bandung &amp; Jakarta</v>
      </c>
      <c r="I5" s="17" t="str">
        <f>IFERROR(__xludf.DUMMYFUNCTION("""COMPUTED_VALUE"""),"Gaming")</f>
        <v>Gaming</v>
      </c>
      <c r="J5" s="17"/>
      <c r="K5" s="20">
        <f>IFERROR(__xludf.DUMMYFUNCTION("""COMPUTED_VALUE"""),3500000.0)</f>
        <v>3500000</v>
      </c>
      <c r="L5" s="20">
        <f>IFERROR(__xludf.DUMMYFUNCTION("""COMPUTED_VALUE"""),4000000.0)</f>
        <v>4000000</v>
      </c>
      <c r="M5" s="20" t="str">
        <f>IFERROR(__xludf.DUMMYFUNCTION("""COMPUTED_VALUE"""),"FREE")</f>
        <v>FREE</v>
      </c>
      <c r="N5" s="20">
        <f>IFERROR(__xludf.DUMMYFUNCTION("""COMPUTED_VALUE"""),5000000.0)</f>
        <v>5000000</v>
      </c>
      <c r="O5" s="20">
        <f>IFERROR(__xludf.DUMMYFUNCTION("""COMPUTED_VALUE"""),6000000.0)</f>
        <v>6000000</v>
      </c>
      <c r="P5" s="20">
        <f>IFERROR(__xludf.DUMMYFUNCTION("""COMPUTED_VALUE"""),7000000.0)</f>
        <v>7000000</v>
      </c>
      <c r="Q5" s="20" t="str">
        <f>IFERROR(__xludf.DUMMYFUNCTION("""COMPUTED_VALUE"""),"FREE")</f>
        <v>FREE</v>
      </c>
      <c r="R5" s="20">
        <f>IFERROR(__xludf.DUMMYFUNCTION("""COMPUTED_VALUE"""),7000000.0)</f>
        <v>7000000</v>
      </c>
      <c r="S5" s="20">
        <f>IFERROR(__xludf.DUMMYFUNCTION("""COMPUTED_VALUE"""),1.0E7)</f>
        <v>10000000</v>
      </c>
      <c r="T5" s="20">
        <f>IFERROR(__xludf.DUMMYFUNCTION("""COMPUTED_VALUE"""),1.0E7)</f>
        <v>10000000</v>
      </c>
      <c r="U5" s="21">
        <f>IFERROR(__xludf.DUMMYFUNCTION("""COMPUTED_VALUE"""),1.0)</f>
        <v>1</v>
      </c>
      <c r="V5" s="20">
        <f>IFERROR(__xludf.DUMMYFUNCTION("""COMPUTED_VALUE"""),2000000.0)</f>
        <v>2000000</v>
      </c>
      <c r="W5" s="20" t="str">
        <f>IFERROR(__xludf.DUMMYFUNCTION("""COMPUTED_VALUE"""),"Rp1,000,000/item")</f>
        <v>Rp1,000,000/item</v>
      </c>
      <c r="X5" s="20">
        <f>IFERROR(__xludf.DUMMYFUNCTION("""COMPUTED_VALUE"""),1.0E7)</f>
        <v>10000000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IFERROR(__xludf.DUMMYFUNCTION("""COMPUTED_VALUE"""),"kairirds")</f>
        <v>kairirds</v>
      </c>
      <c r="C6" s="19">
        <f>IFERROR(__xludf.DUMMYFUNCTION("""COMPUTED_VALUE"""),1600000.0)</f>
        <v>1600000</v>
      </c>
      <c r="D6" s="17" t="str">
        <f>IFERROR(__xludf.DUMMYFUNCTION("""COMPUTED_VALUE"""),"Mega")</f>
        <v>Mega</v>
      </c>
      <c r="E6" s="18" t="str">
        <f>IFERROR(__xludf.DUMMYFUNCTION("""COMPUTED_VALUE"""),"kairirisolmayo")</f>
        <v>kairirisolmayo</v>
      </c>
      <c r="F6" s="19">
        <f>IFERROR(__xludf.DUMMYFUNCTION("""COMPUTED_VALUE"""),1700000.0)</f>
        <v>1700000</v>
      </c>
      <c r="G6" s="17" t="str">
        <f>IFERROR(__xludf.DUMMYFUNCTION("""COMPUTED_VALUE"""),"Mega")</f>
        <v>Mega</v>
      </c>
      <c r="H6" s="17" t="str">
        <f>IFERROR(__xludf.DUMMYFUNCTION("""COMPUTED_VALUE"""),"Jakarta")</f>
        <v>Jakarta</v>
      </c>
      <c r="I6" s="17" t="str">
        <f>IFERROR(__xludf.DUMMYFUNCTION("""COMPUTED_VALUE"""),"Gaming")</f>
        <v>Gaming</v>
      </c>
      <c r="J6" s="17"/>
      <c r="K6" s="20">
        <f>IFERROR(__xludf.DUMMYFUNCTION("""COMPUTED_VALUE"""),1.75E7)</f>
        <v>17500000</v>
      </c>
      <c r="L6" s="20">
        <f>IFERROR(__xludf.DUMMYFUNCTION("""COMPUTED_VALUE"""),6.0E7)</f>
        <v>60000000</v>
      </c>
      <c r="M6" s="20">
        <f>IFERROR(__xludf.DUMMYFUNCTION("""COMPUTED_VALUE"""),2500000.0)</f>
        <v>2500000</v>
      </c>
      <c r="N6" s="20">
        <f>IFERROR(__xludf.DUMMYFUNCTION("""COMPUTED_VALUE"""),3.0E7)</f>
        <v>30000000</v>
      </c>
      <c r="O6" s="20">
        <f>IFERROR(__xludf.DUMMYFUNCTION("""COMPUTED_VALUE"""),3.5E7)</f>
        <v>35000000</v>
      </c>
      <c r="P6" s="20">
        <f>IFERROR(__xludf.DUMMYFUNCTION("""COMPUTED_VALUE"""),3.2E7)</f>
        <v>32000000</v>
      </c>
      <c r="Q6" s="20">
        <f>IFERROR(__xludf.DUMMYFUNCTION("""COMPUTED_VALUE"""),2000000.0)</f>
        <v>2000000</v>
      </c>
      <c r="R6" s="20">
        <f>IFERROR(__xludf.DUMMYFUNCTION("""COMPUTED_VALUE"""),2.0E7)</f>
        <v>20000000</v>
      </c>
      <c r="S6" s="20">
        <f>IFERROR(__xludf.DUMMYFUNCTION("""COMPUTED_VALUE"""),5.2E7)</f>
        <v>52000000</v>
      </c>
      <c r="T6" s="20">
        <f>IFERROR(__xludf.DUMMYFUNCTION("""COMPUTED_VALUE"""),3.6E7)</f>
        <v>36000000</v>
      </c>
      <c r="U6" s="20">
        <f>IFERROR(__xludf.DUMMYFUNCTION("""COMPUTED_VALUE"""),6000000.0)</f>
        <v>6000000</v>
      </c>
      <c r="V6" s="20">
        <f>IFERROR(__xludf.DUMMYFUNCTION("""COMPUTED_VALUE"""),9600000.0)</f>
        <v>9600000</v>
      </c>
      <c r="W6" s="20">
        <f>IFERROR(__xludf.DUMMYFUNCTION("""COMPUTED_VALUE"""),5000000.0)</f>
        <v>5000000</v>
      </c>
      <c r="X6" s="20">
        <f>IFERROR(__xludf.DUMMYFUNCTION("""COMPUTED_VALUE"""),3.5E7)</f>
        <v>35000000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IFERROR(__xludf.DUMMYFUNCTION("""COMPUTED_VALUE"""),"luthfihalimawan")</f>
        <v>luthfihalimawan</v>
      </c>
      <c r="C7" s="23">
        <f>IFERROR(__xludf.DUMMYFUNCTION("""COMPUTED_VALUE"""),813000.0)</f>
        <v>813000</v>
      </c>
      <c r="D7" s="17" t="str">
        <f>IFERROR(__xludf.DUMMYFUNCTION("""COMPUTED_VALUE"""),"Macro")</f>
        <v>Macro</v>
      </c>
      <c r="E7" s="18" t="str">
        <f>IFERROR(__xludf.DUMMYFUNCTION("""COMPUTED_VALUE"""),"luthfihalimawan42")</f>
        <v>luthfihalimawan42</v>
      </c>
      <c r="F7" s="23">
        <f>IFERROR(__xludf.DUMMYFUNCTION("""COMPUTED_VALUE"""),142800.0)</f>
        <v>142800</v>
      </c>
      <c r="G7" s="17" t="str">
        <f>IFERROR(__xludf.DUMMYFUNCTION("""COMPUTED_VALUE"""),"Mid")</f>
        <v>Mid</v>
      </c>
      <c r="H7" s="17" t="str">
        <f>IFERROR(__xludf.DUMMYFUNCTION("""COMPUTED_VALUE"""),"Jakarta")</f>
        <v>Jakarta</v>
      </c>
      <c r="I7" s="17" t="str">
        <f>IFERROR(__xludf.DUMMYFUNCTION("""COMPUTED_VALUE"""),"Gaming")</f>
        <v>Gaming</v>
      </c>
      <c r="J7" s="17"/>
      <c r="K7" s="20">
        <f>IFERROR(__xludf.DUMMYFUNCTION("""COMPUTED_VALUE"""),1.15E7)</f>
        <v>11500000</v>
      </c>
      <c r="L7" s="17"/>
      <c r="M7" s="17"/>
      <c r="N7" s="20">
        <f>IFERROR(__xludf.DUMMYFUNCTION("""COMPUTED_VALUE"""),2.0E7)</f>
        <v>20000000</v>
      </c>
      <c r="O7" s="17"/>
      <c r="P7" s="20">
        <f>IFERROR(__xludf.DUMMYFUNCTION("""COMPUTED_VALUE"""),2.6E7)</f>
        <v>26000000</v>
      </c>
      <c r="Q7" s="17"/>
      <c r="R7" s="20">
        <f>IFERROR(__xludf.DUMMYFUNCTION("""COMPUTED_VALUE"""),2.4E7)</f>
        <v>24000000</v>
      </c>
      <c r="S7" s="17"/>
      <c r="T7" s="17"/>
      <c r="U7" s="17"/>
      <c r="V7" s="17"/>
      <c r="W7" s="17"/>
      <c r="X7" s="17"/>
      <c r="Y7" s="17"/>
    </row>
    <row r="8">
      <c r="A8" s="27"/>
      <c r="B8" s="33" t="str">
        <f>IFERROR(__xludf.DUMMYFUNCTION("""COMPUTED_VALUE"""),"rofiefauzie")</f>
        <v>rofiefauzie</v>
      </c>
      <c r="C8" s="34">
        <f>IFERROR(__xludf.DUMMYFUNCTION("""COMPUTED_VALUE"""),102000.0)</f>
        <v>102000</v>
      </c>
      <c r="D8" s="35" t="str">
        <f>IFERROR(__xludf.DUMMYFUNCTION("""COMPUTED_VALUE"""),"Mid")</f>
        <v>Mid</v>
      </c>
      <c r="E8" s="36" t="str">
        <f>IFERROR(__xludf.DUMMYFUNCTION("""COMPUTED_VALUE"""),"hirofie")</f>
        <v>hirofie</v>
      </c>
      <c r="F8" s="34">
        <f>IFERROR(__xludf.DUMMYFUNCTION("""COMPUTED_VALUE"""),429800.0)</f>
        <v>429800</v>
      </c>
      <c r="G8" s="35" t="str">
        <f>IFERROR(__xludf.DUMMYFUNCTION("""COMPUTED_VALUE"""),"Mid")</f>
        <v>Mid</v>
      </c>
      <c r="H8" s="27" t="str">
        <f>IFERROR(__xludf.DUMMYFUNCTION("""COMPUTED_VALUE"""),"Jakarta")</f>
        <v>Jakarta</v>
      </c>
      <c r="I8" s="27" t="str">
        <f>IFERROR(__xludf.DUMMYFUNCTION("""COMPUTED_VALUE"""),"- Lifestyle Male 
- Gaming")</f>
        <v>- Lifestyle Male 
- Gaming</v>
      </c>
      <c r="J8" s="27"/>
      <c r="K8" s="35">
        <f>IFERROR(__xludf.DUMMYFUNCTION("""COMPUTED_VALUE"""),1000000.0)</f>
        <v>1000000</v>
      </c>
      <c r="L8" s="35">
        <f>IFERROR(__xludf.DUMMYFUNCTION("""COMPUTED_VALUE"""),2000000.0)</f>
        <v>2000000</v>
      </c>
      <c r="M8" s="35">
        <f>IFERROR(__xludf.DUMMYFUNCTION("""COMPUTED_VALUE"""),500000.0)</f>
        <v>500000</v>
      </c>
      <c r="N8" s="35">
        <f>IFERROR(__xludf.DUMMYFUNCTION("""COMPUTED_VALUE"""),2500000.0)</f>
        <v>2500000</v>
      </c>
      <c r="O8" s="35">
        <f>IFERROR(__xludf.DUMMYFUNCTION("""COMPUTED_VALUE"""),2500000.0)</f>
        <v>2500000</v>
      </c>
      <c r="P8" s="35">
        <f>IFERROR(__xludf.DUMMYFUNCTION("""COMPUTED_VALUE"""),3000000.0)</f>
        <v>3000000</v>
      </c>
      <c r="Q8" s="27"/>
      <c r="R8" s="35">
        <f>IFERROR(__xludf.DUMMYFUNCTION("""COMPUTED_VALUE"""),4000000.0)</f>
        <v>4000000</v>
      </c>
      <c r="S8" s="35">
        <f>IFERROR(__xludf.DUMMYFUNCTION("""COMPUTED_VALUE"""),5000000.0)</f>
        <v>5000000</v>
      </c>
      <c r="T8" s="27"/>
      <c r="U8" s="35">
        <f>IFERROR(__xludf.DUMMYFUNCTION("""COMPUTED_VALUE"""),3000000.0)</f>
        <v>3000000</v>
      </c>
      <c r="V8" s="27"/>
      <c r="W8" s="27"/>
      <c r="X8" s="27"/>
      <c r="Y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508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</hyperlinks>
  <drawing r:id="rId1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25"/>
    <col customWidth="1" min="2" max="2" width="15.63"/>
    <col customWidth="1" min="5" max="5" width="15.63"/>
    <col customWidth="1" min="9" max="9" width="20.0"/>
  </cols>
  <sheetData>
    <row r="1">
      <c r="A1" s="279"/>
      <c r="B1" s="3"/>
      <c r="C1" s="3"/>
      <c r="D1" s="3"/>
      <c r="E1" s="3"/>
      <c r="F1" s="3"/>
      <c r="G1" s="3"/>
      <c r="H1" s="3"/>
      <c r="I1" s="4"/>
      <c r="J1" s="280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>
      <c r="A2" s="30" t="s">
        <v>2</v>
      </c>
      <c r="B2" s="31" t="s">
        <v>3</v>
      </c>
      <c r="C2" s="3"/>
      <c r="D2" s="3"/>
      <c r="E2" s="3"/>
      <c r="F2" s="3"/>
      <c r="G2" s="3"/>
      <c r="H2" s="3"/>
      <c r="I2" s="4"/>
      <c r="J2" s="8" t="s">
        <v>4</v>
      </c>
      <c r="K2" s="9" t="s">
        <v>5</v>
      </c>
      <c r="L2" s="3"/>
      <c r="M2" s="3"/>
      <c r="N2" s="3"/>
      <c r="O2" s="3"/>
      <c r="P2" s="3"/>
      <c r="Q2" s="4"/>
      <c r="R2" s="10" t="s">
        <v>6</v>
      </c>
      <c r="S2" s="3"/>
      <c r="T2" s="3"/>
      <c r="U2" s="3"/>
      <c r="V2" s="3"/>
      <c r="W2" s="3"/>
      <c r="X2" s="4"/>
      <c r="Y2" s="17"/>
    </row>
    <row r="3">
      <c r="A3" s="12"/>
      <c r="B3" s="32" t="s">
        <v>7</v>
      </c>
      <c r="C3" s="32" t="s">
        <v>8</v>
      </c>
      <c r="D3" s="32" t="s">
        <v>9</v>
      </c>
      <c r="E3" s="32" t="s">
        <v>10</v>
      </c>
      <c r="F3" s="14" t="s">
        <v>8</v>
      </c>
      <c r="G3" s="32" t="s">
        <v>9</v>
      </c>
      <c r="H3" s="32" t="s">
        <v>11</v>
      </c>
      <c r="I3" s="32" t="s">
        <v>12</v>
      </c>
      <c r="J3" s="15" t="s">
        <v>13</v>
      </c>
      <c r="K3" s="15" t="s">
        <v>14</v>
      </c>
      <c r="L3" s="15" t="s">
        <v>15</v>
      </c>
      <c r="M3" s="16" t="s">
        <v>16</v>
      </c>
      <c r="N3" s="15" t="s">
        <v>17</v>
      </c>
      <c r="O3" s="15" t="s">
        <v>18</v>
      </c>
      <c r="P3" s="15" t="s">
        <v>19</v>
      </c>
      <c r="Q3" s="16" t="s">
        <v>20</v>
      </c>
      <c r="R3" s="15" t="s">
        <v>10</v>
      </c>
      <c r="S3" s="15" t="s">
        <v>21</v>
      </c>
      <c r="T3" s="15" t="s">
        <v>22</v>
      </c>
      <c r="U3" s="16" t="s">
        <v>23</v>
      </c>
      <c r="V3" s="16" t="s">
        <v>24</v>
      </c>
      <c r="W3" s="16" t="s">
        <v>25</v>
      </c>
      <c r="X3" s="16" t="s">
        <v>26</v>
      </c>
      <c r="Y3" s="15" t="s">
        <v>27</v>
      </c>
    </row>
    <row r="4">
      <c r="A4" s="17">
        <f>IFERROR(__xludf.DUMMYFUNCTION("importrange(""https://docs.google.com/spreadsheets/d/1NAi0n9YWN2dZXnXivcpnWPdwZSm3nhv4zn9Z92u3soE/edit?gid=464088615#gid=464088615"", ""Actor/Actress!A4:Y999"")"),1.0)</f>
        <v>1</v>
      </c>
      <c r="B4" s="18" t="str">
        <f>IFERROR(__xludf.DUMMYFUNCTION("""COMPUTED_VALUE"""),"rklopperr")</f>
        <v>rklopperr</v>
      </c>
      <c r="C4" s="19">
        <f>IFERROR(__xludf.DUMMYFUNCTION("""COMPUTED_VALUE"""),7000000.0)</f>
        <v>7000000</v>
      </c>
      <c r="D4" s="17" t="str">
        <f>IFERROR(__xludf.DUMMYFUNCTION("""COMPUTED_VALUE"""),"Mega")</f>
        <v>Mega</v>
      </c>
      <c r="E4" s="18" t="str">
        <f>IFERROR(__xludf.DUMMYFUNCTION("""COMPUTED_VALUE"""),"rklopperrr")</f>
        <v>rklopperrr</v>
      </c>
      <c r="F4" s="19">
        <f>IFERROR(__xludf.DUMMYFUNCTION("""COMPUTED_VALUE"""),3000000.0)</f>
        <v>3000000</v>
      </c>
      <c r="G4" s="17" t="str">
        <f>IFERROR(__xludf.DUMMYFUNCTION("""COMPUTED_VALUE"""),"Mega")</f>
        <v>Mega</v>
      </c>
      <c r="H4" s="17" t="str">
        <f>IFERROR(__xludf.DUMMYFUNCTION("""COMPUTED_VALUE"""),"Tangerang")</f>
        <v>Tangerang</v>
      </c>
      <c r="I4" s="17" t="str">
        <f>IFERROR(__xludf.DUMMYFUNCTION("""COMPUTED_VALUE"""),"- Lifestyle Female
- Actor/Actress
- Beauty")</f>
        <v>- Lifestyle Female
- Actor/Actress
- Beauty</v>
      </c>
      <c r="J4" s="17"/>
      <c r="K4" s="20">
        <f>IFERROR(__xludf.DUMMYFUNCTION("""COMPUTED_VALUE"""),2.0E7)</f>
        <v>20000000</v>
      </c>
      <c r="L4" s="20">
        <f>IFERROR(__xludf.DUMMYFUNCTION("""COMPUTED_VALUE"""),3.5E7)</f>
        <v>35000000</v>
      </c>
      <c r="M4" s="20">
        <f>IFERROR(__xludf.DUMMYFUNCTION("""COMPUTED_VALUE"""),5000000.0)</f>
        <v>5000000</v>
      </c>
      <c r="N4" s="20">
        <f>IFERROR(__xludf.DUMMYFUNCTION("""COMPUTED_VALUE"""),3.0E7)</f>
        <v>30000000</v>
      </c>
      <c r="O4" s="20">
        <f>IFERROR(__xludf.DUMMYFUNCTION("""COMPUTED_VALUE"""),4.5E7)</f>
        <v>45000000</v>
      </c>
      <c r="P4" s="20">
        <f>IFERROR(__xludf.DUMMYFUNCTION("""COMPUTED_VALUE"""),4.5E7)</f>
        <v>45000000</v>
      </c>
      <c r="Q4" s="20">
        <f>IFERROR(__xludf.DUMMYFUNCTION("""COMPUTED_VALUE"""),1.0E7)</f>
        <v>10000000</v>
      </c>
      <c r="R4" s="20">
        <f>IFERROR(__xludf.DUMMYFUNCTION("""COMPUTED_VALUE"""),4.5E7)</f>
        <v>45000000</v>
      </c>
      <c r="S4" s="20">
        <f>IFERROR(__xludf.DUMMYFUNCTION("""COMPUTED_VALUE"""),6.5E7)</f>
        <v>65000000</v>
      </c>
      <c r="T4" s="20">
        <f>IFERROR(__xludf.DUMMYFUNCTION("""COMPUTED_VALUE"""),4.5E7)</f>
        <v>45000000</v>
      </c>
      <c r="U4" s="20">
        <f>IFERROR(__xludf.DUMMYFUNCTION("""COMPUTED_VALUE"""),1.0E7)</f>
        <v>10000000</v>
      </c>
      <c r="V4" s="20">
        <f>IFERROR(__xludf.DUMMYFUNCTION("""COMPUTED_VALUE"""),1.0E7)</f>
        <v>10000000</v>
      </c>
      <c r="W4" s="17"/>
      <c r="X4" s="17"/>
      <c r="Y4" s="17"/>
    </row>
    <row r="5">
      <c r="A5" s="17">
        <f>IFERROR(__xludf.DUMMYFUNCTION("""COMPUTED_VALUE"""),2.0)</f>
        <v>2</v>
      </c>
      <c r="B5" s="18" t="str">
        <f>IFERROR(__xludf.DUMMYFUNCTION("""COMPUTED_VALUE"""),"@aaliyah.massaid")</f>
        <v>@aaliyah.massaid</v>
      </c>
      <c r="C5" s="19">
        <f>IFERROR(__xludf.DUMMYFUNCTION("""COMPUTED_VALUE"""),2600000.0)</f>
        <v>2600000</v>
      </c>
      <c r="D5" s="17" t="str">
        <f>IFERROR(__xludf.DUMMYFUNCTION("""COMPUTED_VALUE"""),"Mega")</f>
        <v>Mega</v>
      </c>
      <c r="E5" s="18" t="str">
        <f>IFERROR(__xludf.DUMMYFUNCTION("""COMPUTED_VALUE"""),"@aalmassaid")</f>
        <v>@aalmassaid</v>
      </c>
      <c r="F5" s="23">
        <f>IFERROR(__xludf.DUMMYFUNCTION("""COMPUTED_VALUE"""),705600.0)</f>
        <v>705600</v>
      </c>
      <c r="G5" s="17" t="str">
        <f>IFERROR(__xludf.DUMMYFUNCTION("""COMPUTED_VALUE"""),"Macro")</f>
        <v>Macro</v>
      </c>
      <c r="H5" s="17" t="str">
        <f>IFERROR(__xludf.DUMMYFUNCTION("""COMPUTED_VALUE"""),"Jakarta")</f>
        <v>Jakarta</v>
      </c>
      <c r="I5" s="17" t="str">
        <f>IFERROR(__xludf.DUMMYFUNCTION("""COMPUTED_VALUE"""),"- Lifestyle Female
- Actor/Actress")</f>
        <v>- Lifestyle Female
- Actor/Actress</v>
      </c>
      <c r="J5" s="17"/>
      <c r="K5" s="20">
        <f>IFERROR(__xludf.DUMMYFUNCTION("""COMPUTED_VALUE"""),1.5E7)</f>
        <v>15000000</v>
      </c>
      <c r="L5" s="20">
        <f>IFERROR(__xludf.DUMMYFUNCTION("""COMPUTED_VALUE"""),3.5E7)</f>
        <v>35000000</v>
      </c>
      <c r="M5" s="17"/>
      <c r="N5" s="20">
        <f>IFERROR(__xludf.DUMMYFUNCTION("""COMPUTED_VALUE"""),3.5E7)</f>
        <v>35000000</v>
      </c>
      <c r="O5" s="17"/>
      <c r="P5" s="20">
        <f>IFERROR(__xludf.DUMMYFUNCTION("""COMPUTED_VALUE"""),4.5E7)</f>
        <v>45000000</v>
      </c>
      <c r="Q5" s="17"/>
      <c r="R5" s="20">
        <f>IFERROR(__xludf.DUMMYFUNCTION("""COMPUTED_VALUE"""),3.5E7)</f>
        <v>35000000</v>
      </c>
      <c r="S5" s="17"/>
      <c r="T5" s="20">
        <f>IFERROR(__xludf.DUMMYFUNCTION("""COMPUTED_VALUE"""),4.0E7)</f>
        <v>40000000</v>
      </c>
      <c r="U5" s="17"/>
      <c r="V5" s="17"/>
      <c r="W5" s="17"/>
      <c r="X5" s="20" t="str">
        <f>IFERROR(__xludf.DUMMYFUNCTION("""COMPUTED_VALUE"""),"Rp 50,000,000 - Rp 60,000,000")</f>
        <v>Rp 50,000,000 - Rp 60,000,000</v>
      </c>
      <c r="Y5" s="17"/>
    </row>
    <row r="6">
      <c r="A6" s="17">
        <f>IFERROR(__xludf.DUMMYFUNCTION("""COMPUTED_VALUE"""),3.0)</f>
        <v>3</v>
      </c>
      <c r="B6" s="18" t="str">
        <f>IFERROR(__xludf.DUMMYFUNCTION("""COMPUTED_VALUE"""),"angga")</f>
        <v>angga</v>
      </c>
      <c r="C6" s="19">
        <f>IFERROR(__xludf.DUMMYFUNCTION("""COMPUTED_VALUE"""),1.14E7)</f>
        <v>11400000</v>
      </c>
      <c r="D6" s="17" t="str">
        <f>IFERROR(__xludf.DUMMYFUNCTION("""COMPUTED_VALUE"""),"Mega")</f>
        <v>Mega</v>
      </c>
      <c r="E6" s="24" t="str">
        <f>IFERROR(__xludf.DUMMYFUNCTION("""COMPUTED_VALUE"""),"angga.yunanda")</f>
        <v>angga.yunanda</v>
      </c>
      <c r="F6" s="19">
        <f>IFERROR(__xludf.DUMMYFUNCTION("""COMPUTED_VALUE"""),1800000.0)</f>
        <v>1800000</v>
      </c>
      <c r="G6" s="17" t="str">
        <f>IFERROR(__xludf.DUMMYFUNCTION("""COMPUTED_VALUE"""),"Mega")</f>
        <v>Mega</v>
      </c>
      <c r="H6" s="17" t="str">
        <f>IFERROR(__xludf.DUMMYFUNCTION("""COMPUTED_VALUE"""),"Jakarta")</f>
        <v>Jakarta</v>
      </c>
      <c r="I6" s="17" t="str">
        <f>IFERROR(__xludf.DUMMYFUNCTION("""COMPUTED_VALUE"""),"- Actor/Actress")</f>
        <v>- Actor/Actress</v>
      </c>
      <c r="J6" s="17"/>
      <c r="K6" s="20">
        <f>IFERROR(__xludf.DUMMYFUNCTION("""COMPUTED_VALUE"""),3.5E7)</f>
        <v>35000000</v>
      </c>
      <c r="L6" s="20">
        <f>IFERROR(__xludf.DUMMYFUNCTION("""COMPUTED_VALUE"""),5.0E7)</f>
        <v>50000000</v>
      </c>
      <c r="M6" s="20">
        <f>IFERROR(__xludf.DUMMYFUNCTION("""COMPUTED_VALUE"""),5000000.0)</f>
        <v>5000000</v>
      </c>
      <c r="N6" s="20">
        <f>IFERROR(__xludf.DUMMYFUNCTION("""COMPUTED_VALUE"""),6.0E7)</f>
        <v>60000000</v>
      </c>
      <c r="O6" s="20">
        <f>IFERROR(__xludf.DUMMYFUNCTION("""COMPUTED_VALUE"""),8.5E7)</f>
        <v>85000000</v>
      </c>
      <c r="P6" s="20">
        <f>IFERROR(__xludf.DUMMYFUNCTION("""COMPUTED_VALUE"""),7.5E7)</f>
        <v>75000000</v>
      </c>
      <c r="Q6" s="20">
        <f>IFERROR(__xludf.DUMMYFUNCTION("""COMPUTED_VALUE"""),1.5E7)</f>
        <v>15000000</v>
      </c>
      <c r="R6" s="20">
        <f>IFERROR(__xludf.DUMMYFUNCTION("""COMPUTED_VALUE"""),7.0E7)</f>
        <v>70000000</v>
      </c>
      <c r="S6" s="20">
        <f>IFERROR(__xludf.DUMMYFUNCTION("""COMPUTED_VALUE"""),1.0E8)</f>
        <v>100000000</v>
      </c>
      <c r="T6" s="20">
        <f>IFERROR(__xludf.DUMMYFUNCTION("""COMPUTED_VALUE"""),8.0E7)</f>
        <v>80000000</v>
      </c>
      <c r="U6" s="20">
        <f>IFERROR(__xludf.DUMMYFUNCTION("""COMPUTED_VALUE"""),1.5E7)</f>
        <v>15000000</v>
      </c>
      <c r="V6" s="20">
        <f>IFERROR(__xludf.DUMMYFUNCTION("""COMPUTED_VALUE"""),1.0E7)</f>
        <v>10000000</v>
      </c>
      <c r="W6" s="20">
        <f>IFERROR(__xludf.DUMMYFUNCTION("""COMPUTED_VALUE"""),3000000.0)</f>
        <v>3000000</v>
      </c>
      <c r="X6" s="20">
        <f>IFERROR(__xludf.DUMMYFUNCTION("""COMPUTED_VALUE"""),8.0E7)</f>
        <v>80000000</v>
      </c>
      <c r="Y6" s="17"/>
    </row>
    <row r="7">
      <c r="A7" s="17">
        <f>IFERROR(__xludf.DUMMYFUNCTION("""COMPUTED_VALUE"""),4.0)</f>
        <v>4</v>
      </c>
      <c r="B7" s="18" t="str">
        <f>IFERROR(__xludf.DUMMYFUNCTION("""COMPUTED_VALUE"""),"dindacresheilla")</f>
        <v>dindacresheilla</v>
      </c>
      <c r="C7" s="23">
        <f>IFERROR(__xludf.DUMMYFUNCTION("""COMPUTED_VALUE"""),205000.0)</f>
        <v>205000</v>
      </c>
      <c r="D7" s="17" t="str">
        <f>IFERROR(__xludf.DUMMYFUNCTION("""COMPUTED_VALUE"""),"Mid")</f>
        <v>Mid</v>
      </c>
      <c r="E7" s="24" t="str">
        <f>IFERROR(__xludf.DUMMYFUNCTION("""COMPUTED_VALUE"""),"dindacresheilla")</f>
        <v>dindacresheilla</v>
      </c>
      <c r="F7" s="23">
        <f>IFERROR(__xludf.DUMMYFUNCTION("""COMPUTED_VALUE"""),10600.0)</f>
        <v>10600</v>
      </c>
      <c r="G7" s="17" t="str">
        <f>IFERROR(__xludf.DUMMYFUNCTION("""COMPUTED_VALUE"""),"Micro")</f>
        <v>Micro</v>
      </c>
      <c r="H7" s="17" t="str">
        <f>IFERROR(__xludf.DUMMYFUNCTION("""COMPUTED_VALUE"""),"Jakarta")</f>
        <v>Jakarta</v>
      </c>
      <c r="I7" s="17" t="str">
        <f>IFERROR(__xludf.DUMMYFUNCTION("""COMPUTED_VALUE"""),"- Actor/Actress")</f>
        <v>- Actor/Actress</v>
      </c>
      <c r="J7" s="17"/>
      <c r="K7" s="20">
        <f>IFERROR(__xludf.DUMMYFUNCTION("""COMPUTED_VALUE"""),7000000.0)</f>
        <v>7000000</v>
      </c>
      <c r="L7" s="20">
        <f>IFERROR(__xludf.DUMMYFUNCTION("""COMPUTED_VALUE"""),1.0E7)</f>
        <v>10000000</v>
      </c>
      <c r="M7" s="20">
        <f>IFERROR(__xludf.DUMMYFUNCTION("""COMPUTED_VALUE"""),2000000.0)</f>
        <v>2000000</v>
      </c>
      <c r="N7" s="20">
        <f>IFERROR(__xludf.DUMMYFUNCTION("""COMPUTED_VALUE"""),1.0E7)</f>
        <v>10000000</v>
      </c>
      <c r="O7" s="20">
        <f>IFERROR(__xludf.DUMMYFUNCTION("""COMPUTED_VALUE"""),1.5E7)</f>
        <v>15000000</v>
      </c>
      <c r="P7" s="20">
        <f>IFERROR(__xludf.DUMMYFUNCTION("""COMPUTED_VALUE"""),2.5E7)</f>
        <v>25000000</v>
      </c>
      <c r="Q7" s="20">
        <f>IFERROR(__xludf.DUMMYFUNCTION("""COMPUTED_VALUE"""),2500000.0)</f>
        <v>2500000</v>
      </c>
      <c r="R7" s="20">
        <f>IFERROR(__xludf.DUMMYFUNCTION("""COMPUTED_VALUE"""),8000000.0)</f>
        <v>8000000</v>
      </c>
      <c r="S7" s="20">
        <f>IFERROR(__xludf.DUMMYFUNCTION("""COMPUTED_VALUE"""),3.0E7)</f>
        <v>30000000</v>
      </c>
      <c r="T7" s="20">
        <f>IFERROR(__xludf.DUMMYFUNCTION("""COMPUTED_VALUE"""),1.5E7)</f>
        <v>15000000</v>
      </c>
      <c r="U7" s="20">
        <f>IFERROR(__xludf.DUMMYFUNCTION("""COMPUTED_VALUE"""),2500000.0)</f>
        <v>2500000</v>
      </c>
      <c r="V7" s="20">
        <f>IFERROR(__xludf.DUMMYFUNCTION("""COMPUTED_VALUE"""),2500000.0)</f>
        <v>2500000</v>
      </c>
      <c r="W7" s="20">
        <f>IFERROR(__xludf.DUMMYFUNCTION("""COMPUTED_VALUE"""),1000000.0)</f>
        <v>1000000</v>
      </c>
      <c r="X7" s="20">
        <f>IFERROR(__xludf.DUMMYFUNCTION("""COMPUTED_VALUE"""),2.5E7)</f>
        <v>25000000</v>
      </c>
      <c r="Y7" s="17"/>
    </row>
    <row r="8">
      <c r="A8" s="17">
        <f>IFERROR(__xludf.DUMMYFUNCTION("""COMPUTED_VALUE"""),5.0)</f>
        <v>5</v>
      </c>
      <c r="B8" s="18" t="str">
        <f>IFERROR(__xludf.DUMMYFUNCTION("""COMPUTED_VALUE"""),"amandamanopo")</f>
        <v>amandamanopo</v>
      </c>
      <c r="C8" s="19">
        <f>IFERROR(__xludf.DUMMYFUNCTION("""COMPUTED_VALUE"""),1.58E7)</f>
        <v>15800000</v>
      </c>
      <c r="D8" s="17" t="str">
        <f>IFERROR(__xludf.DUMMYFUNCTION("""COMPUTED_VALUE"""),"Mega")</f>
        <v>Mega</v>
      </c>
      <c r="E8" s="24" t="str">
        <f>IFERROR(__xludf.DUMMYFUNCTION("""COMPUTED_VALUE"""),"agml612")</f>
        <v>agml612</v>
      </c>
      <c r="F8" s="19">
        <f>IFERROR(__xludf.DUMMYFUNCTION("""COMPUTED_VALUE"""),6300000.0)</f>
        <v>6300000</v>
      </c>
      <c r="G8" s="17" t="str">
        <f>IFERROR(__xludf.DUMMYFUNCTION("""COMPUTED_VALUE"""),"Mega")</f>
        <v>Mega</v>
      </c>
      <c r="H8" s="17" t="str">
        <f>IFERROR(__xludf.DUMMYFUNCTION("""COMPUTED_VALUE"""),"Jakarta")</f>
        <v>Jakarta</v>
      </c>
      <c r="I8" s="17" t="str">
        <f>IFERROR(__xludf.DUMMYFUNCTION("""COMPUTED_VALUE"""),"Actor/Actress")</f>
        <v>Actor/Actress</v>
      </c>
      <c r="J8" s="20">
        <f>IFERROR(__xludf.DUMMYFUNCTION("""COMPUTED_VALUE"""),1.5E7)</f>
        <v>15000000</v>
      </c>
      <c r="K8" s="20">
        <f>IFERROR(__xludf.DUMMYFUNCTION("""COMPUTED_VALUE"""),2.5E7)</f>
        <v>25000000</v>
      </c>
      <c r="L8" s="20">
        <f>IFERROR(__xludf.DUMMYFUNCTION("""COMPUTED_VALUE"""),3.5E7)</f>
        <v>35000000</v>
      </c>
      <c r="M8" s="20" t="str">
        <f>IFERROR(__xludf.DUMMYFUNCTION("""COMPUTED_VALUE"""),"FREE")</f>
        <v>FREE</v>
      </c>
      <c r="N8" s="20">
        <f>IFERROR(__xludf.DUMMYFUNCTION("""COMPUTED_VALUE"""),6.0E7)</f>
        <v>60000000</v>
      </c>
      <c r="O8" s="20">
        <f>IFERROR(__xludf.DUMMYFUNCTION("""COMPUTED_VALUE"""),7.5E7)</f>
        <v>75000000</v>
      </c>
      <c r="P8" s="20">
        <f>IFERROR(__xludf.DUMMYFUNCTION("""COMPUTED_VALUE"""),1.35E8)</f>
        <v>135000000</v>
      </c>
      <c r="Q8" s="20">
        <f>IFERROR(__xludf.DUMMYFUNCTION("""COMPUTED_VALUE"""),2.5E7)</f>
        <v>25000000</v>
      </c>
      <c r="R8" s="20">
        <f>IFERROR(__xludf.DUMMYFUNCTION("""COMPUTED_VALUE"""),1.2E8)</f>
        <v>120000000</v>
      </c>
      <c r="S8" s="20">
        <f>IFERROR(__xludf.DUMMYFUNCTION("""COMPUTED_VALUE"""),2.5E8)</f>
        <v>250000000</v>
      </c>
      <c r="T8" s="20">
        <f>IFERROR(__xludf.DUMMYFUNCTION("""COMPUTED_VALUE"""),1.1E8)</f>
        <v>110000000</v>
      </c>
      <c r="U8" s="20">
        <f>IFERROR(__xludf.DUMMYFUNCTION("""COMPUTED_VALUE"""),8.8E7)</f>
        <v>88000000</v>
      </c>
      <c r="V8" s="20">
        <f>IFERROR(__xludf.DUMMYFUNCTION("""COMPUTED_VALUE"""),5000000.0)</f>
        <v>5000000</v>
      </c>
      <c r="W8" s="20">
        <f>IFERROR(__xludf.DUMMYFUNCTION("""COMPUTED_VALUE"""),2.5E7)</f>
        <v>25000000</v>
      </c>
      <c r="X8" s="20">
        <f>IFERROR(__xludf.DUMMYFUNCTION("""COMPUTED_VALUE"""),8.8E7)</f>
        <v>88000000</v>
      </c>
      <c r="Y8" s="17"/>
    </row>
    <row r="9">
      <c r="A9" s="17">
        <f>IFERROR(__xludf.DUMMYFUNCTION("""COMPUTED_VALUE"""),6.0)</f>
        <v>6</v>
      </c>
      <c r="B9" s="18" t="str">
        <f>IFERROR(__xludf.DUMMYFUNCTION("""COMPUTED_VALUE"""),"fajjarsadboy")</f>
        <v>fajjarsadboy</v>
      </c>
      <c r="C9" s="23">
        <f>IFERROR(__xludf.DUMMYFUNCTION("""COMPUTED_VALUE"""),601000.0)</f>
        <v>601000</v>
      </c>
      <c r="D9" s="17" t="str">
        <f>IFERROR(__xludf.DUMMYFUNCTION("""COMPUTED_VALUE"""),"Macro")</f>
        <v>Macro</v>
      </c>
      <c r="E9" s="24" t="str">
        <f>IFERROR(__xludf.DUMMYFUNCTION("""COMPUTED_VALUE"""),"fajarlabatjo")</f>
        <v>fajarlabatjo</v>
      </c>
      <c r="F9" s="19">
        <f>IFERROR(__xludf.DUMMYFUNCTION("""COMPUTED_VALUE"""),1400000.0)</f>
        <v>1400000</v>
      </c>
      <c r="G9" s="17" t="str">
        <f>IFERROR(__xludf.DUMMYFUNCTION("""COMPUTED_VALUE"""),"Mega")</f>
        <v>Mega</v>
      </c>
      <c r="H9" s="17" t="str">
        <f>IFERROR(__xludf.DUMMYFUNCTION("""COMPUTED_VALUE"""),"Jakarta")</f>
        <v>Jakarta</v>
      </c>
      <c r="I9" s="17" t="str">
        <f>IFERROR(__xludf.DUMMYFUNCTION("""COMPUTED_VALUE"""),"Actor/Actress")</f>
        <v>Actor/Actress</v>
      </c>
      <c r="J9" s="17"/>
      <c r="K9" s="20">
        <f>IFERROR(__xludf.DUMMYFUNCTION("""COMPUTED_VALUE"""),7000000.0)</f>
        <v>7000000</v>
      </c>
      <c r="L9" s="17"/>
      <c r="M9" s="17"/>
      <c r="N9" s="20">
        <f>IFERROR(__xludf.DUMMYFUNCTION("""COMPUTED_VALUE"""),4.0E7)</f>
        <v>40000000</v>
      </c>
      <c r="O9" s="17"/>
      <c r="P9" s="20">
        <f>IFERROR(__xludf.DUMMYFUNCTION("""COMPUTED_VALUE"""),5.0E7)</f>
        <v>50000000</v>
      </c>
      <c r="Q9" s="20">
        <f>IFERROR(__xludf.DUMMYFUNCTION("""COMPUTED_VALUE"""),4.5E7)</f>
        <v>45000000</v>
      </c>
      <c r="R9" s="20">
        <f>IFERROR(__xludf.DUMMYFUNCTION("""COMPUTED_VALUE"""),6.0E7)</f>
        <v>60000000</v>
      </c>
      <c r="S9" s="17"/>
      <c r="T9" s="20">
        <f>IFERROR(__xludf.DUMMYFUNCTION("""COMPUTED_VALUE"""),7.0E7)</f>
        <v>70000000</v>
      </c>
      <c r="U9" s="17"/>
      <c r="V9" s="17"/>
      <c r="W9" s="17"/>
      <c r="X9" s="17"/>
      <c r="Y9" s="17"/>
    </row>
    <row r="10">
      <c r="A10" s="17"/>
      <c r="B10" s="18" t="str">
        <f>IFERROR(__xludf.DUMMYFUNCTION("""COMPUTED_VALUE"""),"kennyauztin")</f>
        <v>kennyauztin</v>
      </c>
      <c r="C10" s="19">
        <f>IFERROR(__xludf.DUMMYFUNCTION("""COMPUTED_VALUE"""),3000000.0)</f>
        <v>3000000</v>
      </c>
      <c r="D10" s="17" t="str">
        <f>IFERROR(__xludf.DUMMYFUNCTION("""COMPUTED_VALUE"""),"Mega")</f>
        <v>Mega</v>
      </c>
      <c r="E10" s="24" t="str">
        <f>IFERROR(__xludf.DUMMYFUNCTION("""COMPUTED_VALUE"""),"kennyauztin16")</f>
        <v>kennyauztin16</v>
      </c>
      <c r="F10" s="19">
        <f>IFERROR(__xludf.DUMMYFUNCTION("""COMPUTED_VALUE"""),1300000.0)</f>
        <v>1300000</v>
      </c>
      <c r="G10" s="17" t="str">
        <f>IFERROR(__xludf.DUMMYFUNCTION("""COMPUTED_VALUE"""),"Mega")</f>
        <v>Mega</v>
      </c>
      <c r="H10" s="17" t="str">
        <f>IFERROR(__xludf.DUMMYFUNCTION("""COMPUTED_VALUE"""),"Jakarta")</f>
        <v>Jakarta</v>
      </c>
      <c r="I10" s="17" t="str">
        <f>IFERROR(__xludf.DUMMYFUNCTION("""COMPUTED_VALUE"""),"Actor/Actress")</f>
        <v>Actor/Actress</v>
      </c>
      <c r="J10" s="17"/>
      <c r="K10" s="20">
        <f>IFERROR(__xludf.DUMMYFUNCTION("""COMPUTED_VALUE"""),1.5E7)</f>
        <v>15000000</v>
      </c>
      <c r="L10" s="20">
        <f>IFERROR(__xludf.DUMMYFUNCTION("""COMPUTED_VALUE"""),2.25E7)</f>
        <v>22500000</v>
      </c>
      <c r="M10" s="20" t="str">
        <f>IFERROR(__xludf.DUMMYFUNCTION("""COMPUTED_VALUE"""),"FREE")</f>
        <v>FREE</v>
      </c>
      <c r="N10" s="20">
        <f>IFERROR(__xludf.DUMMYFUNCTION("""COMPUTED_VALUE"""),3.0E7)</f>
        <v>30000000</v>
      </c>
      <c r="O10" s="20">
        <f>IFERROR(__xludf.DUMMYFUNCTION("""COMPUTED_VALUE"""),3.5E7)</f>
        <v>35000000</v>
      </c>
      <c r="P10" s="20">
        <f>IFERROR(__xludf.DUMMYFUNCTION("""COMPUTED_VALUE"""),5.0E7)</f>
        <v>50000000</v>
      </c>
      <c r="Q10" s="17"/>
      <c r="R10" s="20">
        <f>IFERROR(__xludf.DUMMYFUNCTION("""COMPUTED_VALUE"""),5.0E7)</f>
        <v>50000000</v>
      </c>
      <c r="S10" s="17"/>
      <c r="T10" s="20">
        <f>IFERROR(__xludf.DUMMYFUNCTION("""COMPUTED_VALUE"""),5.0E7)</f>
        <v>50000000</v>
      </c>
      <c r="U10" s="17"/>
      <c r="V10" s="20">
        <f>IFERROR(__xludf.DUMMYFUNCTION("""COMPUTED_VALUE"""),5000000.0)</f>
        <v>5000000</v>
      </c>
      <c r="W10" s="17"/>
      <c r="X10" s="17"/>
      <c r="Y10" s="17"/>
    </row>
    <row r="11">
      <c r="A11" s="27"/>
      <c r="B11" s="33" t="str">
        <f>IFERROR(__xludf.DUMMYFUNCTION("""COMPUTED_VALUE"""),"maudyeffrosina")</f>
        <v>maudyeffrosina</v>
      </c>
      <c r="C11" s="281">
        <f>IFERROR(__xludf.DUMMYFUNCTION("""COMPUTED_VALUE"""),1200000.0)</f>
        <v>1200000</v>
      </c>
      <c r="D11" s="35" t="str">
        <f>IFERROR(__xludf.DUMMYFUNCTION("""COMPUTED_VALUE"""),"Mega")</f>
        <v>Mega</v>
      </c>
      <c r="E11" s="36" t="str">
        <f>IFERROR(__xludf.DUMMYFUNCTION("""COMPUTED_VALUE"""),"maudyeffrosinaa")</f>
        <v>maudyeffrosinaa</v>
      </c>
      <c r="F11" s="281">
        <f>IFERROR(__xludf.DUMMYFUNCTION("""COMPUTED_VALUE"""),1000000.0)</f>
        <v>1000000</v>
      </c>
      <c r="G11" s="35" t="str">
        <f>IFERROR(__xludf.DUMMYFUNCTION("""COMPUTED_VALUE"""),"Macro")</f>
        <v>Macro</v>
      </c>
      <c r="H11" s="27" t="str">
        <f>IFERROR(__xludf.DUMMYFUNCTION("""COMPUTED_VALUE"""),"Jakarta")</f>
        <v>Jakarta</v>
      </c>
      <c r="I11" s="27" t="str">
        <f>IFERROR(__xludf.DUMMYFUNCTION("""COMPUTED_VALUE"""),"- Actor/Actress")</f>
        <v>- Actor/Actress</v>
      </c>
      <c r="J11" s="27"/>
      <c r="K11" s="35">
        <f>IFERROR(__xludf.DUMMYFUNCTION("""COMPUTED_VALUE"""),1.5E7)</f>
        <v>15000000</v>
      </c>
      <c r="L11" s="35">
        <f>IFERROR(__xludf.DUMMYFUNCTION("""COMPUTED_VALUE"""),2.5E7)</f>
        <v>25000000</v>
      </c>
      <c r="M11" s="35">
        <f>IFERROR(__xludf.DUMMYFUNCTION("""COMPUTED_VALUE"""),1000000.0)</f>
        <v>1000000</v>
      </c>
      <c r="N11" s="35">
        <f>IFERROR(__xludf.DUMMYFUNCTION("""COMPUTED_VALUE"""),3.5E7)</f>
        <v>35000000</v>
      </c>
      <c r="O11" s="35">
        <f>IFERROR(__xludf.DUMMYFUNCTION("""COMPUTED_VALUE"""),3.75E7)</f>
        <v>37500000</v>
      </c>
      <c r="P11" s="35">
        <f>IFERROR(__xludf.DUMMYFUNCTION("""COMPUTED_VALUE"""),6.5E7)</f>
        <v>65000000</v>
      </c>
      <c r="Q11" s="27"/>
      <c r="R11" s="35">
        <f>IFERROR(__xludf.DUMMYFUNCTION("""COMPUTED_VALUE"""),6.5E7)</f>
        <v>65000000</v>
      </c>
      <c r="S11" s="27"/>
      <c r="T11" s="27"/>
      <c r="U11" s="27"/>
      <c r="V11" s="27"/>
      <c r="W11" s="27"/>
      <c r="X11" s="27"/>
      <c r="Y11" s="27"/>
    </row>
    <row r="12">
      <c r="A12" s="27"/>
      <c r="B12" s="33" t="str">
        <f>IFERROR(__xludf.DUMMYFUNCTION("""COMPUTED_VALUE"""),"gabriellaekaputri")</f>
        <v>gabriellaekaputri</v>
      </c>
      <c r="C12" s="281">
        <f>IFERROR(__xludf.DUMMYFUNCTION("""COMPUTED_VALUE"""),1000000.0)</f>
        <v>1000000</v>
      </c>
      <c r="D12" s="35" t="str">
        <f>IFERROR(__xludf.DUMMYFUNCTION("""COMPUTED_VALUE"""),"Macro")</f>
        <v>Macro</v>
      </c>
      <c r="E12" s="36" t="str">
        <f>IFERROR(__xludf.DUMMYFUNCTION("""COMPUTED_VALUE"""),"gabriellaekaputrii")</f>
        <v>gabriellaekaputrii</v>
      </c>
      <c r="F12" s="281">
        <f>IFERROR(__xludf.DUMMYFUNCTION("""COMPUTED_VALUE"""),1800000.0)</f>
        <v>1800000</v>
      </c>
      <c r="G12" s="35" t="str">
        <f>IFERROR(__xludf.DUMMYFUNCTION("""COMPUTED_VALUE"""),"Mega")</f>
        <v>Mega</v>
      </c>
      <c r="H12" s="27" t="str">
        <f>IFERROR(__xludf.DUMMYFUNCTION("""COMPUTED_VALUE"""),"Jakarta")</f>
        <v>Jakarta</v>
      </c>
      <c r="I12" s="27" t="str">
        <f>IFERROR(__xludf.DUMMYFUNCTION("""COMPUTED_VALUE"""),"- Lifestyle Female
- Actor/Actress")</f>
        <v>- Lifestyle Female
- Actor/Actress</v>
      </c>
      <c r="J12" s="27"/>
      <c r="K12" s="35">
        <f>IFERROR(__xludf.DUMMYFUNCTION("""COMPUTED_VALUE"""),1.0E7)</f>
        <v>10000000</v>
      </c>
      <c r="L12" s="35">
        <f>IFERROR(__xludf.DUMMYFUNCTION("""COMPUTED_VALUE"""),1.7E7)</f>
        <v>17000000</v>
      </c>
      <c r="M12" s="35">
        <f>IFERROR(__xludf.DUMMYFUNCTION("""COMPUTED_VALUE"""),2000000.0)</f>
        <v>2000000</v>
      </c>
      <c r="N12" s="35">
        <f>IFERROR(__xludf.DUMMYFUNCTION("""COMPUTED_VALUE"""),1.7E7)</f>
        <v>17000000</v>
      </c>
      <c r="O12" s="35">
        <f>IFERROR(__xludf.DUMMYFUNCTION("""COMPUTED_VALUE"""),2.0E7)</f>
        <v>20000000</v>
      </c>
      <c r="P12" s="35">
        <f>IFERROR(__xludf.DUMMYFUNCTION("""COMPUTED_VALUE"""),3.0E7)</f>
        <v>30000000</v>
      </c>
      <c r="Q12" s="35">
        <f>IFERROR(__xludf.DUMMYFUNCTION("""COMPUTED_VALUE"""),8000000.0)</f>
        <v>8000000</v>
      </c>
      <c r="R12" s="35">
        <f>IFERROR(__xludf.DUMMYFUNCTION("""COMPUTED_VALUE"""),3.75E7)</f>
        <v>37500000</v>
      </c>
      <c r="S12" s="35">
        <f>IFERROR(__xludf.DUMMYFUNCTION("""COMPUTED_VALUE"""),6.0E7)</f>
        <v>60000000</v>
      </c>
      <c r="T12" s="35">
        <f>IFERROR(__xludf.DUMMYFUNCTION("""COMPUTED_VALUE"""),3.0E7)</f>
        <v>30000000</v>
      </c>
      <c r="U12" s="35">
        <f>IFERROR(__xludf.DUMMYFUNCTION("""COMPUTED_VALUE"""),3.0E8)</f>
        <v>300000000</v>
      </c>
      <c r="V12" s="35">
        <f>IFERROR(__xludf.DUMMYFUNCTION("""COMPUTED_VALUE"""),8000000.0)</f>
        <v>8000000</v>
      </c>
      <c r="W12" s="35">
        <f>IFERROR(__xludf.DUMMYFUNCTION("""COMPUTED_VALUE"""),1.0E7)</f>
        <v>10000000</v>
      </c>
      <c r="X12" s="35">
        <f>IFERROR(__xludf.DUMMYFUNCTION("""COMPUTED_VALUE"""),5000000.0)</f>
        <v>5000000</v>
      </c>
      <c r="Y12" s="27"/>
    </row>
    <row r="13">
      <c r="A13" s="27"/>
      <c r="B13" s="33" t="str">
        <f>IFERROR(__xludf.DUMMYFUNCTION("""COMPUTED_VALUE"""),"eri.carl")</f>
        <v>eri.carl</v>
      </c>
      <c r="C13" s="281">
        <f>IFERROR(__xludf.DUMMYFUNCTION("""COMPUTED_VALUE"""),4600000.0)</f>
        <v>4600000</v>
      </c>
      <c r="D13" s="35" t="str">
        <f>IFERROR(__xludf.DUMMYFUNCTION("""COMPUTED_VALUE"""),"Mega")</f>
        <v>Mega</v>
      </c>
      <c r="E13" s="36" t="str">
        <f>IFERROR(__xludf.DUMMYFUNCTION("""COMPUTED_VALUE"""),"eri_carl")</f>
        <v>eri_carl</v>
      </c>
      <c r="F13" s="281">
        <f>IFERROR(__xludf.DUMMYFUNCTION("""COMPUTED_VALUE"""),3700000.0)</f>
        <v>3700000</v>
      </c>
      <c r="G13" s="35" t="str">
        <f>IFERROR(__xludf.DUMMYFUNCTION("""COMPUTED_VALUE"""),"Mega")</f>
        <v>Mega</v>
      </c>
      <c r="H13" s="27" t="str">
        <f>IFERROR(__xludf.DUMMYFUNCTION("""COMPUTED_VALUE"""),"Jakarta")</f>
        <v>Jakarta</v>
      </c>
      <c r="I13" s="27" t="str">
        <f>IFERROR(__xludf.DUMMYFUNCTION("""COMPUTED_VALUE"""),"- Lifestyle Female
- Actor/Actress")</f>
        <v>- Lifestyle Female
- Actor/Actress</v>
      </c>
      <c r="J13" s="27"/>
      <c r="K13" s="35">
        <f>IFERROR(__xludf.DUMMYFUNCTION("""COMPUTED_VALUE"""),2.5E7)</f>
        <v>25000000</v>
      </c>
      <c r="L13" s="27"/>
      <c r="M13" s="35">
        <f>IFERROR(__xludf.DUMMYFUNCTION("""COMPUTED_VALUE"""),1500000.0)</f>
        <v>1500000</v>
      </c>
      <c r="N13" s="35">
        <f>IFERROR(__xludf.DUMMYFUNCTION("""COMPUTED_VALUE"""),5.0E7)</f>
        <v>50000000</v>
      </c>
      <c r="O13" s="27"/>
      <c r="P13" s="35">
        <f>IFERROR(__xludf.DUMMYFUNCTION("""COMPUTED_VALUE"""),1.0E8)</f>
        <v>100000000</v>
      </c>
      <c r="Q13" s="27"/>
      <c r="R13" s="35">
        <f>IFERROR(__xludf.DUMMYFUNCTION("""COMPUTED_VALUE"""),1.0E8)</f>
        <v>100000000</v>
      </c>
      <c r="S13" s="27"/>
      <c r="T13" s="27"/>
      <c r="U13" s="27"/>
      <c r="V13" s="37">
        <f>IFERROR(__xludf.DUMMYFUNCTION("""COMPUTED_VALUE"""),0.5)</f>
        <v>0.5</v>
      </c>
      <c r="W13" s="27"/>
      <c r="X13" s="35">
        <f>IFERROR(__xludf.DUMMYFUNCTION("""COMPUTED_VALUE"""),7.5E7)</f>
        <v>75000000</v>
      </c>
      <c r="Y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</row>
  </sheetData>
  <mergeCells count="6">
    <mergeCell ref="A1:I1"/>
    <mergeCell ref="J1:Y1"/>
    <mergeCell ref="A2:A3"/>
    <mergeCell ref="B2:I2"/>
    <mergeCell ref="K2:Q2"/>
    <mergeCell ref="R2:X2"/>
  </mergeCells>
  <conditionalFormatting sqref="A1:Y1012">
    <cfRule type="containsBlanks" dxfId="0" priority="1">
      <formula>LEN(TRIM(A1))=0</formula>
    </cfRule>
  </conditionalFormatting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</hyperlinks>
  <drawing r:id="rId21"/>
</worksheet>
</file>